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000"/>
  </bookViews>
  <sheets>
    <sheet name="exportReport" sheetId="1" r:id="rId1"/>
    <sheet name="Sheet1" sheetId="2" state="hidden" r:id="rId2"/>
    <sheet name="Sheet3" sheetId="4" state="hidden" r:id="rId3"/>
  </sheets>
  <definedNames>
    <definedName name="_xlnm._FilterDatabase" localSheetId="0" hidden="1">exportReport!$A$1:$AG$135</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<sst xmlns="http://schemas.openxmlformats.org/spreadsheetml/2006/main" count="3600" uniqueCount="1565">
  <si>
    <t>最后修改时间</t>
  </si>
  <si>
    <t>创建时间</t>
  </si>
  <si>
    <t>项目编号</t>
  </si>
  <si>
    <t>项目名称</t>
  </si>
  <si>
    <t>扣分原因</t>
  </si>
  <si>
    <t>项目概况</t>
  </si>
  <si>
    <t>隧道情况</t>
  </si>
  <si>
    <t>行业分类</t>
  </si>
  <si>
    <t>产品事业部</t>
  </si>
  <si>
    <t>承揽主办方</t>
  </si>
  <si>
    <t>承揽协办方1</t>
  </si>
  <si>
    <t>项目所在省份</t>
  </si>
  <si>
    <t>投资规模（亿元）</t>
  </si>
  <si>
    <t>业主单位</t>
  </si>
  <si>
    <t>设计单位</t>
  </si>
  <si>
    <t>施工单位</t>
  </si>
  <si>
    <t>设备需求预测（产品类型-数量-预计需求时间）</t>
  </si>
  <si>
    <t>预计签约日期</t>
  </si>
  <si>
    <t>预计成交金额（元）</t>
  </si>
  <si>
    <t>项目经理</t>
  </si>
  <si>
    <t>项目经理2</t>
  </si>
  <si>
    <t>项目详细阶段</t>
  </si>
  <si>
    <t>跟进具体情况描述</t>
  </si>
  <si>
    <t>下一步工作计划</t>
  </si>
  <si>
    <t>项目阶段</t>
  </si>
  <si>
    <t>已完成工作与成效</t>
  </si>
  <si>
    <t>信息等级</t>
  </si>
  <si>
    <t>所有人</t>
  </si>
  <si>
    <t>取消跟进原因</t>
  </si>
  <si>
    <t>取消跟进说明</t>
  </si>
  <si>
    <t>创建人</t>
  </si>
  <si>
    <t>目前状态</t>
  </si>
  <si>
    <t>最后修改人</t>
  </si>
  <si>
    <t>2025-09-01 08:32:50</t>
  </si>
  <si>
    <t>XM-2025090120213</t>
  </si>
  <si>
    <t>浙江物产DZ622盾构机维修改造项目</t>
  </si>
  <si>
    <t>浙江物产工服DZ622盾构机维修改造，更换主轴承、新制刀盘、二级维修</t>
  </si>
  <si>
    <t>区间长度1205m</t>
  </si>
  <si>
    <t>地铁-5</t>
  </si>
  <si>
    <t>掘进机事业部</t>
  </si>
  <si>
    <t>华东区域</t>
  </si>
  <si>
    <t>华南区域</t>
  </si>
  <si>
    <t>浙江</t>
  </si>
  <si>
    <t>5.0000000000</t>
  </si>
  <si>
    <t>浙江物产工程技术服务有限公司</t>
  </si>
  <si>
    <t>ZTE6410-1-(2025-12-20);</t>
  </si>
  <si>
    <t>2025-12-10</t>
  </si>
  <si>
    <t>CNY 5,900,000.000</t>
  </si>
  <si>
    <t>唐作栋</t>
  </si>
  <si>
    <t>已完成洽谈，合同总价590万，已签订定购函</t>
  </si>
  <si>
    <t>2026年4月完成合同签订</t>
  </si>
  <si>
    <t>合同评审</t>
  </si>
  <si>
    <t>一般信息（Ⅲ级）</t>
  </si>
  <si>
    <t/>
  </si>
  <si>
    <t>跟进中</t>
  </si>
  <si>
    <t>2021-03-22 16:17:32</t>
  </si>
  <si>
    <t>XM-202103225487</t>
  </si>
  <si>
    <t>浙江金华金武永东轨道交通项目</t>
  </si>
  <si>
    <t>金武永东市域铁路预计总投资435.2亿元，线路全长111.7公里，其中地下线长约32.9公里，占比29.5%，位于金华市、武义县、永康市的中心城区和在建横店机场、横店镇；高架线及过渡段长约72.4公里，山岭隧道线长约6.4公里。全线设站26座，其中地下站14座，高架站12座。换乘站4座，平均站间距约4.5公里。</t>
  </si>
  <si>
    <t>地下线长约32.9公里</t>
  </si>
  <si>
    <t>435.2000000000</t>
  </si>
  <si>
    <t>金华市轨道交通集团有限公司</t>
  </si>
  <si>
    <t>北京城建院</t>
  </si>
  <si>
    <t>土压平衡盾构机-4-(/);</t>
  </si>
  <si>
    <t>2027-10-30</t>
  </si>
  <si>
    <t>CNY 40,000,000.000</t>
  </si>
  <si>
    <t>万赛</t>
  </si>
  <si>
    <t>定测及初步设计阶段</t>
  </si>
  <si>
    <t>目前业主及设计单位正在准备报批工作</t>
  </si>
  <si>
    <t>持续跟进项目进展情况</t>
  </si>
  <si>
    <t>1、核心问题：目前项目项目还未获批；
2、工作思路：等项目获批后，与设计院及业主、施工单位开展拜访、技术交流等工作；
3、关键点：跟踪项目审批、招标等时间节点，确定设备需求型号；
4、行动计划：时刻保持与客户的联系，配合各施工单位投标工作。</t>
  </si>
  <si>
    <t>重点信息（Ⅱ级）</t>
  </si>
  <si>
    <t>接口专用帐号</t>
  </si>
  <si>
    <t>2024-12-31 10:27:46</t>
  </si>
  <si>
    <t>XM-2024123118565</t>
  </si>
  <si>
    <t>义龙庆高速公路义乌至龙泉段（金华段）▲</t>
  </si>
  <si>
    <t>全长约105.5公里，采用双向四/六车道高速公路标准，设计速度120km/h</t>
  </si>
  <si>
    <t>桥隧比83%</t>
  </si>
  <si>
    <t>公路-4</t>
  </si>
  <si>
    <t>特种装备事业部</t>
  </si>
  <si>
    <t>372.2000000000</t>
  </si>
  <si>
    <t>浙江金华义龙庆高速公路有限公司</t>
  </si>
  <si>
    <t>2026-04-30</t>
  </si>
  <si>
    <t>CNY 8,000,000.000</t>
  </si>
  <si>
    <t>设备招标阶段</t>
  </si>
  <si>
    <t>施工已中标，一共九个标段，1公里以上的隧道要求上全电脑三臂凿岩台车，落实目前2标、3标、7标、9标有全电脑三臂凿岩台车需求，按照标书文件要求4个标段分别需要4台设备，合计16台；3标重新招标后，中标单位11月已公示，为浙江交工宏途，正式施工合同近期会完成签订。1月份跟踪各标段情况如下：9标劳务已经确定，设备需求第一台设备计划进展时间是2026年4月1日，目前正在和劳务老板洽谈中；2标、3标、7标目前劳务队还没有确定，预计年后才能完成招标，设备需求等劳务队确认后才能订设备。</t>
  </si>
  <si>
    <t>完成与2标、3标等各标段项目部及施工单位技术交流，劳务老板对接，设备需求时间确认等工作。</t>
  </si>
  <si>
    <t>项目施工中标公示</t>
  </si>
  <si>
    <t>9月份已完成与浙高建领导的拜访及交流，同时义龙庆汪副指挥长一同参会，计划国庆节后浙高建领导会组织去我司考察；12月份邀请指挥部及各大机施工项目经理到我司考察交流。</t>
  </si>
  <si>
    <t>2022-03-30 11:56:51</t>
  </si>
  <si>
    <t>XM-2022033010131</t>
  </si>
  <si>
    <t>杭州下沙至嘉兴长安城际铁路</t>
  </si>
  <si>
    <t>本项目线路总体由南向北,由杭州地铁1号线文海南路站引出，自浙江钱塘区下沙街道经海宁高新区至长安镇区，终点杭海城际铁路长安站。项目线路全长约20公里，暂定设车站7座（另预留1座），包含地上、地下车站，最高运行速度120km/h，隨道长度5.10公里，2区间</t>
  </si>
  <si>
    <t>隨道长度5.10公里，2区间</t>
  </si>
  <si>
    <t>轨道交通</t>
  </si>
  <si>
    <t>掘进机研发运营中心</t>
  </si>
  <si>
    <t>96.8500000000</t>
  </si>
  <si>
    <t>海宁市轨道交通投资建设有限公司</t>
  </si>
  <si>
    <t>2026-06-30</t>
  </si>
  <si>
    <t>CNY 15,000,000.000</t>
  </si>
  <si>
    <t>剩余1个地下段SG-2标暂未招标，目前已有消息项目内定给中铁十八局市政公司</t>
  </si>
  <si>
    <t>1.与十八局了解相关情况
2.配合系统内单位进行地下段投标</t>
  </si>
  <si>
    <t>施工图设计阶段</t>
  </si>
  <si>
    <t>2021-03-22 16:17:29</t>
  </si>
  <si>
    <t>XM-202103225470</t>
  </si>
  <si>
    <t>文一西路西延工程（三期）</t>
  </si>
  <si>
    <t>项目西起临余桥东，与现状已建科技大道（临安段）衔接，东至南湖圩堤北6#盾构井，全长约5公里。项目分为快速路系统和地面辅道系统两部分。快速路系统重，地下快速路长约1.77公里，地面快速路长约3.25公里；地面辅道全长约3.76公里。</t>
  </si>
  <si>
    <t>其中地下快速路采用盾构法，长约1.77km，含1.24km 盾构隧道和0.53km 明挖隧道</t>
  </si>
  <si>
    <t>城建</t>
  </si>
  <si>
    <t>无部门</t>
  </si>
  <si>
    <t>93.0000000000</t>
  </si>
  <si>
    <t>杭州余杭城市发展投资集团有限公司</t>
  </si>
  <si>
    <t>中国电建集团华东勘测设计研究院有限公司</t>
  </si>
  <si>
    <t>泥水平衡盾构机-1-(2027-02-01);</t>
  </si>
  <si>
    <t>2026-12-31</t>
  </si>
  <si>
    <t>CNY 50,000,000.000</t>
  </si>
  <si>
    <t>刘新峥</t>
  </si>
  <si>
    <t>1.中交隧道局中标施工标，我司无可租赁设备
2.中铁十五局横琴项目设备目前闲置，正在对接进行转租或进行维修改造</t>
  </si>
  <si>
    <t>跟进中交隧道局，了解设备需求情况</t>
  </si>
  <si>
    <t>2024-03-17 00:00:10</t>
  </si>
  <si>
    <t>XM-2024031716419</t>
  </si>
  <si>
    <t>杭州站经望江门越江隧道至杭州南站连接线工程</t>
  </si>
  <si>
    <t>望江门隧道是杭州铁路枢纽规划中预留的一条过江通道。北端连接杭州城站，以过江隧道的形式穿过钱塘江，进入滨江区境内，继续以地下隧道的形式向东延伸，经过萧山城区。最终向东可连接机场高铁，连通萧山机场，向南可连至火车南站。线路全长14.74km，其中地下隧道长11.7km,计划2024启动可研编制</t>
  </si>
  <si>
    <t>地下隧道长11.7km</t>
  </si>
  <si>
    <t>铁路-2</t>
  </si>
  <si>
    <t>100.0000000000</t>
  </si>
  <si>
    <t>杭州铁路枢纽工程建设指挥部</t>
  </si>
  <si>
    <t>中铁第四勘察设计院集团有限公司</t>
  </si>
  <si>
    <t>ZTS13200-3-(2026-12-31);</t>
  </si>
  <si>
    <t>CNY 100,000,000.000</t>
  </si>
  <si>
    <t>铁四院中标望江门隧道建设方案研究，已对接铁四院杭州分院了解相关情况，暂定隧道管片外径12m8</t>
  </si>
  <si>
    <t>1.持续跟进铁四院，了解项目进展
2.4月拜访杭州铁路建设枢纽指挥部，进行大直径盾构技术交流</t>
  </si>
  <si>
    <t>2024-04-01 17:44:56</t>
  </si>
  <si>
    <t>XM-2024040116522</t>
  </si>
  <si>
    <t>G2531杭州至上饶高速公路（杭淳开高速公路）（杭州段）</t>
  </si>
  <si>
    <t>杭州至上饶高速公路中环至浙赣界（杭淳开高速公路）项目工可推荐方案起点位于富阳区银湖街道六家山村附近与杭州中环相交，起点桩号K0+000，浙江段止于浙江省开化县与江西省德兴市交界处，终点桩号K246+057，路线全长约246km（含千黄高速公路利用段约20km），新建里程约226km。工程总投资约709亿元</t>
  </si>
  <si>
    <t>隧道总长度约76km</t>
  </si>
  <si>
    <t>709.0000000000</t>
  </si>
  <si>
    <t>浙江省交通投资集团有限公司</t>
  </si>
  <si>
    <t>浙江数智交院科技股份有限公司</t>
  </si>
  <si>
    <t>ZYS113-4-(2025-06-30);</t>
  </si>
  <si>
    <t>2026-03-31</t>
  </si>
  <si>
    <t>CNY 30,000,000.000</t>
  </si>
  <si>
    <t>3月拜访杭淳开高速杭州段建设指挥部及2、3、7、8、10、12标项目部，了解建设指挥部对大机施工设备的要求，桐庐-富阳段3月26日给各项目部宣贯设备要求，淳安段2月底已向各项目部下发设备要求通知。目前各项目部正在与劳务分包签订合同，设备均由劳务队自带。</t>
  </si>
  <si>
    <t>1.从建设指挥部切入，在3km以上长大隧道，推行全电脑三臂凿岩台车
2.与各项目部及分包老板进行设备采购洽谈</t>
  </si>
  <si>
    <t>XM-202103225471</t>
  </si>
  <si>
    <t>漳汕铁路项目</t>
  </si>
  <si>
    <t>1标中铁十一局一公司，门口山隧道5800m
2标中铁十二局二公司，大岭隧道13434m；3标中铁四局五公司，林萍隧道2800m；
4标中铁大桥局六公司，凤山岭隧道1870m。</t>
  </si>
  <si>
    <t>/</t>
  </si>
  <si>
    <t>铁路</t>
  </si>
  <si>
    <t>福建</t>
  </si>
  <si>
    <t>210.0000000000</t>
  </si>
  <si>
    <t>东南沿海铁路福建公司</t>
  </si>
  <si>
    <t>铁二院</t>
  </si>
  <si>
    <t>待定</t>
  </si>
  <si>
    <t>CNY 14,000,000.000</t>
  </si>
  <si>
    <t>杨志胜</t>
  </si>
  <si>
    <t>因施工单价原因，浙江万慧詹总还未确定是否使用大机施工，需求待定。</t>
  </si>
  <si>
    <t>配合经销商继续保持跟进。</t>
  </si>
  <si>
    <t>商务交流</t>
  </si>
  <si>
    <t>2023-06-04 14:11:20</t>
  </si>
  <si>
    <t>XM-2023060413963</t>
  </si>
  <si>
    <t>铅山抽水蓄能项目</t>
  </si>
  <si>
    <t>铅山县高桥抽水蓄能电站位于铅山县境内，电站拟建规模为200～240万千瓦。项目动态投资约200亿元</t>
  </si>
  <si>
    <t>引水洞、交通洞，通风安全洞等</t>
  </si>
  <si>
    <t>水利水电-0</t>
  </si>
  <si>
    <t>江西</t>
  </si>
  <si>
    <t>200.0000000000</t>
  </si>
  <si>
    <t>中广核风电有限公司</t>
  </si>
  <si>
    <t>中国电建华东勘测设计院</t>
  </si>
  <si>
    <t>掘进机-1-(/);</t>
  </si>
  <si>
    <t>2026-09-30</t>
  </si>
  <si>
    <t>CNY 0.000</t>
  </si>
  <si>
    <t>本项目原投资主体已退出，11月3日已发布了投资主体优选公告，计划12月底前确定新的投资主体。本项目原投资主体国电投已退出，新的投资人已确定为中广核风电有限公司，项目后续进展待跟进。</t>
  </si>
  <si>
    <t>计划对接中广核风电公司项目负责人。</t>
  </si>
  <si>
    <t>郭亚楠</t>
  </si>
  <si>
    <t>2023-06-04 15:23:57</t>
  </si>
  <si>
    <t>XM-2023060413977</t>
  </si>
  <si>
    <t>遂川抽水蓄能电站</t>
  </si>
  <si>
    <t>进厂交通洞1786m，断面8*8.8，通风安全洞1087m，断面7*6.5，施工支洞共3782m.</t>
  </si>
  <si>
    <t>110.0000000000</t>
  </si>
  <si>
    <t>江西省投资集团</t>
  </si>
  <si>
    <t>本项目原投资主体已退出，11月3日已发布了投资主体优选公告，计划12月底前确定新的投资主体。新的投资人确定为江西省投资集团，已拜访江西省投资集团下属峰山抽水蓄能公司朱胜江总和王志刚总，项目预计年底前招先期标。</t>
  </si>
  <si>
    <t>拜访江西省投资集团下属峰山抽蓄公司领导，跟进项目推进计划，开展相关技术交流。</t>
  </si>
  <si>
    <t>已拜访江西省投资集团下属峰山抽水蓄能公司朱胜江总和王志刚总，项目预计年底前招先期标。</t>
  </si>
  <si>
    <t>2023-06-04 15:25:58</t>
  </si>
  <si>
    <t>XM-2023060413982</t>
  </si>
  <si>
    <t>永新抽水蓄能电站</t>
  </si>
  <si>
    <t>进厂交通洞1485m，断面尺寸8*8.5，通风安全洞1138m，断面尺寸7*6.5，采用钻爆法全断面开挖。自流排水洞4011m,断面3*3，拟采用TBM施工。</t>
  </si>
  <si>
    <t>80.0000000000</t>
  </si>
  <si>
    <t>华能（永新）抽水蓄能有限责任公司</t>
  </si>
  <si>
    <t>安能二局</t>
  </si>
  <si>
    <t>已对接安能二局市场部杨邑文，安能二局中标筹建期进厂交通洞兼通风安全洞工程，TBM标段暂未招标。本月无最新进展。</t>
  </si>
  <si>
    <t>近期计划拜访永新抽蓄公司范庆龙总，交流钻爆法及盾构机施工。</t>
  </si>
  <si>
    <t>2023-06-04 15:28:00</t>
  </si>
  <si>
    <t>XM-2023060413978</t>
  </si>
  <si>
    <t>永丰抽水蓄能电站</t>
  </si>
  <si>
    <t>电站总装机容量1200MW（4×300MW）为一等大（1）型工程。枢纽工程主要建筑物由上水库、下水库、输水系统、地下厂房和开关站等组成。</t>
  </si>
  <si>
    <t>江西华电抽水蓄能有限公司</t>
  </si>
  <si>
    <t>2025年3月，水电水利规划设计总院主持评审，预可研通过，同意1200兆瓦方案。现处于可研阶段。暂无明确推进计划。</t>
  </si>
  <si>
    <t>1、对接华东院，了解项目概况及关键信息。                                           2、对接股份赣南中心，了解系统内单位跟进情况。</t>
  </si>
  <si>
    <t>项目立项阶段（预可研，初测及可研，环评）</t>
  </si>
  <si>
    <t>已通过铁建赣南经营中心了解项目进展，属于中远期项目，保持关注。</t>
  </si>
  <si>
    <t>2024-04-29 14:12:35</t>
  </si>
  <si>
    <t>XM-2024042916696</t>
  </si>
  <si>
    <t>厦门钨业武宁县大湖塘北区钨矿20000t/d采选工程</t>
  </si>
  <si>
    <t>现有生产系统为地下开采，平硐开拓，留矿法采矿。本次矿山建设开采方式为露天开采。建设规模：采选矿规模为20000t/d。</t>
  </si>
  <si>
    <t>非煤矿山-11</t>
  </si>
  <si>
    <t>矿山装备事业部</t>
  </si>
  <si>
    <t>50.0000000000</t>
  </si>
  <si>
    <t>厦门钨业（江西巨通实业）</t>
  </si>
  <si>
    <t>中国瑞林</t>
  </si>
  <si>
    <t>廊道皮带机-1-(/);</t>
  </si>
  <si>
    <t>因矿区发现了稀土储量，该项目暂时停滞，后续推进计划暂不明确。该项目重新纳入了江西省2026年预备开工项目。</t>
  </si>
  <si>
    <t>计划近期拜访中国瑞林门总，了解项目最新进展，适时开展技术交流。</t>
  </si>
  <si>
    <t>前期拜访了中国瑞林矿山事业部门总，因矿区发现了稀土储量，该项目暂时停滞，后续推进计划暂不明确。现该项目重新纳入了江西省2026年预备开工项目。</t>
  </si>
  <si>
    <t>2025-05-30 22:27:47</t>
  </si>
  <si>
    <t>XM-2025053019572</t>
  </si>
  <si>
    <t>市域供水联通保障工程（九溪水厂过江通道）</t>
  </si>
  <si>
    <t>本项目投资估算 37733.75万元，建设规模 ：本项目建设内容为（1）滨江区与西湖区实现互联互通新建管线，主要为新建供水管道DN1600mm长度约3.2公里，新建供水管DN1200mm长度约1.1公里；（2）新建过江盾构管廊一座内径5.5m，外径6.2m，长度约为1.8公里 。</t>
  </si>
  <si>
    <t>新建过江盾构管廊一座，内径5.5m，外径6.2m， 长度约为1.8公里</t>
  </si>
  <si>
    <t>市政管廊-6</t>
  </si>
  <si>
    <t>3.7700000000</t>
  </si>
  <si>
    <t>杭州滨江水务有限公司</t>
  </si>
  <si>
    <t>中建三局集团有限公司</t>
  </si>
  <si>
    <t>ZTS6410-1-(2026-12-31);</t>
  </si>
  <si>
    <t>CNY 9,000,000.000</t>
  </si>
  <si>
    <t>中建三局中标施工标，正在对接中建三局了解设备需求情况</t>
  </si>
  <si>
    <t>跟进了解是否有可用设备</t>
  </si>
  <si>
    <t>2025-03-31 10:42:11</t>
  </si>
  <si>
    <t>XM-2025033119073</t>
  </si>
  <si>
    <t>赣州市中心城区供水一体化项目取水及隧洞建设工程（上犹江水资源配置工程）</t>
  </si>
  <si>
    <t>骨干引调水线路总长108.6km，其中引水隧洞27.0km、城乡供水输水管道长63.1km、灌溉输水干管长18.5km。引水隧洞拟采用TBM施工。</t>
  </si>
  <si>
    <t>引水隧洞27.0km，采用TBM施工，开挖直径5米。</t>
  </si>
  <si>
    <t>58.0000000000</t>
  </si>
  <si>
    <t>赣州市市政公用集团</t>
  </si>
  <si>
    <t>上海市政院</t>
  </si>
  <si>
    <t>ZTT5260-2-(/);ZTE5260-2-(/);</t>
  </si>
  <si>
    <t>引水隧洞27公里，采用TBM施工，开挖直径5米。项目业主单位调整为赣州市市政公用集团，计划2026年6月份启动招标，系统内11局、18局、14局均在跟进。已对接赣州市水务集团和上海市政院，并为设计院提供了TBM和盾构机选型建议及专家。</t>
  </si>
  <si>
    <t>1、协同18局隧道公司对接业主单位赣州市水务集团；                                  2、拜访上海市政院，交流TBM施工。
3、参加业主和设计院组织的设备选型专家评审会。</t>
  </si>
  <si>
    <t>已对接赣州市水务集团和上海市政院，并为设计院提供了TBM和盾构机选型建议及专家。</t>
  </si>
  <si>
    <t>2024-12-30 19:58:12</t>
  </si>
  <si>
    <t>XM-2024123018582</t>
  </si>
  <si>
    <t>浙江特高压交流环网嘉兴-宁波段跨越钱塘江输电工程GIL管廊</t>
  </si>
  <si>
    <t>项目处于可研阶段，管廊长度约4.9km，采用11m6管片外径泥水平衡盾构机施工</t>
  </si>
  <si>
    <t>隧道长度约4.9km，采用11m6管片外径泥水平衡盾构机施工</t>
  </si>
  <si>
    <t>电力-14</t>
  </si>
  <si>
    <t>国网浙江省电力有限公司</t>
  </si>
  <si>
    <t>中国电力工程顾问集团华东电力设计院有限公司</t>
  </si>
  <si>
    <t>ZTS12000-1-(/);</t>
  </si>
  <si>
    <t>1.中铁十四局大盾构公司已中标施工标，投标时为保证业绩分，使用海瑞克技术方案投标。
2.已拜访业主单位，业主暂未强制要求使用进口设备或投标厂商设备，国网特高压事业部拟考察国产设备厂商设备。</t>
  </si>
  <si>
    <t>1.与十四局进行对接洽谈，了解十四局拟使用设备情况
2.邀请业主前往我司进行考察</t>
  </si>
  <si>
    <t>2025-04-27 17:35:04</t>
  </si>
  <si>
    <t>XM-2025042719283</t>
  </si>
  <si>
    <t>上饶市广丰区壶峤砂岩矿绿色开发运营一体化项目</t>
  </si>
  <si>
    <t>规划建设生产规模不低于600万吨/年，建设期1年，合作期20年，由中铁十九局和上饶市泽海建材有限公司联合中标，十九局中标金额76.84亿元，由广州公司实施。</t>
  </si>
  <si>
    <t>略</t>
  </si>
  <si>
    <t>89.0000000000</t>
  </si>
  <si>
    <t>上饶市建广绿色建筑材料有限公司</t>
  </si>
  <si>
    <t>中铁十九局广州公司</t>
  </si>
  <si>
    <t>DG600-YS-1-(/);</t>
  </si>
  <si>
    <t>该项目具体由十九局广州公司实施，已拜访了十九局江西经营部贾总和项目经理张洋，计划由联合体成员方上饶市泽海建材负责销售及设备采购。</t>
  </si>
  <si>
    <t>计划近期前往现场拜访项目经理张洋，让其引荐合作方泽海建材，交流设备需求。</t>
  </si>
  <si>
    <t>2024-12-30 20:10:19</t>
  </si>
  <si>
    <t>XM-2024123018564</t>
  </si>
  <si>
    <t>沪昆铁路立交(滨江区段)城市枢纽综合管网工程(江南大道 -信诚路)标段</t>
  </si>
  <si>
    <t>南环路综合管廊(东信大道-信诚路)综合管廊工程，路径总长约2.49km，设计外径8.8m</t>
  </si>
  <si>
    <t>路径总长约2.49km，设计外径8.8m</t>
  </si>
  <si>
    <t>31.2000000000</t>
  </si>
  <si>
    <t>杭州滨江环境发展有限公司</t>
  </si>
  <si>
    <t>ZTE9100-1-(/);</t>
  </si>
  <si>
    <t>CNY 22,780,000.000</t>
  </si>
  <si>
    <t>业主在2025年已上报项目财政计划并已获得批复，2026年年度投资已落实，年度任务已完成，因此对于项目招标及进度并不是很着急，项目招标时间可能延后至春节后</t>
  </si>
  <si>
    <t>4月30日前拜访中铁十八局、十六局杭州经营部了解项目跟进情况及后续计划安排</t>
  </si>
  <si>
    <t>项目施工招标阶段</t>
  </si>
  <si>
    <t>2025-06-28 14:14:37</t>
  </si>
  <si>
    <t>XM-2025062819740</t>
  </si>
  <si>
    <t>江西漂塘钨业液压掘进台车采购需求</t>
  </si>
  <si>
    <t>江钨集团漂塘钨业计划采购1台液压掘进台车。</t>
  </si>
  <si>
    <t>10.0000000000</t>
  </si>
  <si>
    <t>江西漂塘钨业有限公司</t>
  </si>
  <si>
    <t>CYDJ45(D)-1-(/);</t>
  </si>
  <si>
    <t>2025-12-31</t>
  </si>
  <si>
    <t>CNY 1,190,000.000</t>
  </si>
  <si>
    <t>我司提供了方案报价，但设备无法满足现场工况要求，最终客户选择采购五新装备的设备，采购价114万。</t>
  </si>
  <si>
    <t>无下一步计划。</t>
  </si>
  <si>
    <t>设备未中标</t>
  </si>
  <si>
    <t>供销公司已完成供应商准入的审查，我司已进入合格供应商名录。同时提供了设备技术方案及报价。</t>
  </si>
  <si>
    <t>2025-05-30 22:36:59</t>
  </si>
  <si>
    <t>XM-2025053019573</t>
  </si>
  <si>
    <t>舟山市百兆瓦潮流能发电机组并网示范项目</t>
  </si>
  <si>
    <t>舟山市百兆瓦潮流能发电机组并网示范项目，开展发电机组关键部件的制造工艺技术研究，本项目的大型结构件主要包括塔筒、基座、艇舱及端盖、总成平台等，其特点是大尺寸（单件超过30米）、大重量（单件超过100吨），全焊透Ⅰ级焊缝，并且要求热处理消除焊接应力</t>
  </si>
  <si>
    <t>无</t>
  </si>
  <si>
    <t>25.0000000000</t>
  </si>
  <si>
    <t>中铁建发展集团有限公司</t>
  </si>
  <si>
    <t>总成平台基座-40-(/);</t>
  </si>
  <si>
    <t>CNY 300,000,000.000</t>
  </si>
  <si>
    <t>1.戴董事长拟前往发展集团考察调研，由发展集团做本项目的专项汇报后进行下一步推进，但由于时间问题，董事长暂未前往考察
2.林东新能源还在与国家能源局就并网补贴进行洽谈，目前洽谈价格为1.6元
3.暂无最新进展</t>
  </si>
  <si>
    <t>股份公司决策存在阻力，发展集团还在争取获得股份公司批准
跟进了解相关进展</t>
  </si>
  <si>
    <t>1.已完成股份公司专家评审会</t>
  </si>
  <si>
    <t>2025-07-30 21:51:39</t>
  </si>
  <si>
    <t>XM-2025073019964</t>
  </si>
  <si>
    <t>合肥至温州高速公路浙皖界至桐庐段（湖州北段）</t>
  </si>
  <si>
    <t>项目起点位于湖州市长兴县泗安镇小界碑村西北侧浙皖交界处，终于与规划德安高速公路安吉昌硕至天荒坪段交叉处，合计约37.915km。全线共设置桥梁约15904m/42座，隧道约2277m/5座，全线桥隧占比约48.0%。沿线共设置枢纽式互通立体交叉1处，一般式互通立体交叉5处，服务区1处（与互通合建）</t>
  </si>
  <si>
    <t>隧道约2277m/5座</t>
  </si>
  <si>
    <t>湖州市公路与运输管理中心</t>
  </si>
  <si>
    <t>HZS180-4-(/);</t>
  </si>
  <si>
    <t>初步设计项目，暂无最新进展</t>
  </si>
  <si>
    <t>4月30日前，前往数智交院进行交流，整体对初步设计项目进行了解</t>
  </si>
  <si>
    <t>初步设计项目，已拜访数智交院了解项目情况</t>
  </si>
  <si>
    <t>2025-07-30 21:54:11</t>
  </si>
  <si>
    <t>XM-2025073019965</t>
  </si>
  <si>
    <t>德清至安吉高速公路德清舞阳至安吉昌硕段</t>
  </si>
  <si>
    <t>项目推荐方案全长24.13公里，全线采用高速公路标准、双向六车道，设计速度100公里/小时。全线设枢纽互通立交2处，一般互通立交2处。共布设桥梁8208.79米/17座(含枢纽互通区及分离主线桥)，其中特大桥3293.79米/2座，大桥4465.00米/10座、中桥450.00米/5座；隧道6座，折合双洞全长11815.00米，其中:特长隧道3826.50米/1座，长隧道6835.00米/3座，中隧道870.00米/1座，短隧道283.50米/1座；全线桥隧占比82.97%。沿线设施包括互通收费站2处，路段监控通信分中心1处，桥隧监控通信站1处。</t>
  </si>
  <si>
    <t>隧道6座，折合双洞全长11815.00米</t>
  </si>
  <si>
    <t>安吉德安高速公路有限公司</t>
  </si>
  <si>
    <t>浙江数智交院科技股份有限公司安吉德安高速公路有限公司</t>
  </si>
  <si>
    <t>ZYS113-1-(/);</t>
  </si>
  <si>
    <t>项目正在中标公示中，TJ01标：浙江交工集团股份有限公司，TJ02标：中交一公局集团有限公司</t>
  </si>
  <si>
    <t>跟进中标项目单位，了解设备需求情况。</t>
  </si>
  <si>
    <t>2025-07-30 21:57:25</t>
  </si>
  <si>
    <t>XM-2025073019966</t>
  </si>
  <si>
    <t>德清至安吉高速公路德清雷甸至舞阳段</t>
  </si>
  <si>
    <t>本项目推荐方案全长21.7公里，全线设枢纽互通立交2处，一般互通立交3处（含续建的上柏互通），设德清南互通连接线2.08km/1条，采用一级公路标准，设计速度80km/h，双向四车道，路基宽度25.5米。共布设桥梁12座，全长17832.18米（其中连续高架桥长约16.195km）；全线桥梁占比82.17%。沿线设施包括互通收费站2处，管理分中心1处，服务区1处。项目估算总投资约116.9亿元（其中涉铁费用约9亿元），建安费约57.68亿元（不含涉铁段）。</t>
  </si>
  <si>
    <t>116.9000000000</t>
  </si>
  <si>
    <t>HZS180K-2-(/);</t>
  </si>
  <si>
    <t>CNY 500.000</t>
  </si>
  <si>
    <t>已拜访数智交院，项目处于前期设计阶段</t>
  </si>
  <si>
    <t>4月30日前，拜访数智交院项目设计，了解项目进展</t>
  </si>
  <si>
    <t>2025-07-30 22:00:05</t>
  </si>
  <si>
    <t>XM-2025073019967</t>
  </si>
  <si>
    <t>S304临平至安吉公路德清县雷甸至舞阳段</t>
  </si>
  <si>
    <t>路线全长约21.3km。涉铁范围总长1290米，其中宁杭高铁、合杭高铁段690米，宣杭铁路段600米。项目拟采用双向六车道和四车道一级公路标准（兼顾城市道路功能），设计速度采用80km/h，整体式路基宽度39m、41m、47m和33.5m。桥梁总长6202.5m/16座，其中特大桥3717.5m/3座，大桥2005m/7座，项目估算总投资约30.3亿元（其中涉铁费用约4亿元），建安费约18.74亿元（不含涉铁段）。</t>
  </si>
  <si>
    <t>34.0000000000</t>
  </si>
  <si>
    <t>HZS180-2-(/);</t>
  </si>
  <si>
    <t>CNY 5,000,000.000</t>
  </si>
  <si>
    <t>已拜访数智交院，项目处于前期设计阶段，无进展</t>
  </si>
  <si>
    <t>1.已拜访数智交院，项目处于前期设计阶段，无进展</t>
  </si>
  <si>
    <t>2025-08-31 18:42:24</t>
  </si>
  <si>
    <t>XM-2025083120210</t>
  </si>
  <si>
    <t>文二西路提升改造工程</t>
  </si>
  <si>
    <t>项目西起运溪路，东至荆长大道，长约6.7km，工程内容包括新建下穿隧道、地面道路改造、景观品质提升等。新建文二西路隧道长约2.65km，隧道规模为双向四车道。</t>
  </si>
  <si>
    <t>新建文二西路隧道长约2.65km，隧道规模为双向四车道。</t>
  </si>
  <si>
    <t>城建-1</t>
  </si>
  <si>
    <t>中交第二公路勘察设计研究院有限公司</t>
  </si>
  <si>
    <t>ZTS11700-1-(/);</t>
  </si>
  <si>
    <t>项目已发布招标计划，计划4月底进行施工招标</t>
  </si>
  <si>
    <t>4月15日前拜访业主及各施工单位了解项目情况及后续建设计划</t>
  </si>
  <si>
    <t>1.8月27日设计招标已开标，
2.8月29日已公示入围单位。
3.9月24日，中交第二公路勘察设计研究院有限公司中标项目设计
4.3月31日，项目已发布招标计划，计划4月底进行施工招标</t>
  </si>
  <si>
    <t>2025-08-31 18:57:41</t>
  </si>
  <si>
    <t>XM-2025083120211</t>
  </si>
  <si>
    <t>庄河核电厂循环水进水管道与排水管道隧道</t>
  </si>
  <si>
    <t>庄河核电厂一期工程每台机组设置 2 条循环水进水管道(GD)，循环水进水管道(GD)采用现浇钢筋混凝土管道内衬玻璃钢管道，内径尺寸为 4000mm；庄河核电厂一期工程每台机组设置 2 条循环水排水管道(GE)，循环水排水管道(GE)采用现浇钢筋混凝土管道内衬玻璃钢管道，内径尺寸为 4750mm</t>
  </si>
  <si>
    <t>庄河核电厂一期工程每台机组设置 2 条循环水进水管道(GD)、 2 条循环水排水管道(GE)</t>
  </si>
  <si>
    <t>其他-13</t>
  </si>
  <si>
    <t>辽宁</t>
  </si>
  <si>
    <t>3,200.0000000000</t>
  </si>
  <si>
    <t>中核大唐庄河核电有限公司</t>
  </si>
  <si>
    <t>中国核电工程有限公司</t>
  </si>
  <si>
    <t>核工业井巷建设集团有限公司</t>
  </si>
  <si>
    <t>ZTT5500-1-(/);/-1-(/);</t>
  </si>
  <si>
    <t>3月已与核工业井巷公司进行两次技术交流，拟就非全断面连续开挖设备技术申报浙江省“尖兵”、“领雁”科研项目，目前正在进行开题报告复核，并在第二批指南中进行申报。</t>
  </si>
  <si>
    <t>核工业井巷公司拟在起其建项目中寻找一个项目，试用我司EBM设备，考察设备实用性及可靠性。</t>
  </si>
  <si>
    <t>2025-09-28 22:31:42</t>
  </si>
  <si>
    <t>XM-2025092820433</t>
  </si>
  <si>
    <t>新建上海至杭州高速铁路（沪杭高铁）</t>
  </si>
  <si>
    <t>线路起自上海东站，经嘉兴进入杭州市，终至杭州西站，全线运营长度220.9km，新建线路长度182.0km，其中嘉兴境内约100公里，设平湖南、嘉兴南、桐乡三座车站。</t>
  </si>
  <si>
    <t>无隧道</t>
  </si>
  <si>
    <t>400.0000000000</t>
  </si>
  <si>
    <t>中国铁路设计集团有限公司</t>
  </si>
  <si>
    <t>1月14日开始施工图审查招标，施工招标26年2季度进行</t>
  </si>
  <si>
    <t>拜访业主单位，了解后续招标计划</t>
  </si>
  <si>
    <t>2023-08-26 22:48:07</t>
  </si>
  <si>
    <t>XM-2023082614800</t>
  </si>
  <si>
    <t>巴东至张家界高速沪蓉沪渝连接线项目</t>
  </si>
  <si>
    <t>巴东至张家界高速沪蓉沪渝连接线（含巴东长江二桥）起于巴东县城北侧与沪蓉高速公路设枢纽互通相接，向南跨长江，经巴东县茶店子镇、秭归县磨坪乡，止于巴东县野三关镇关镇西侧与沪渝高速公路设枢纽互通相接，路线全长约70.596km。巴东城区北互通连接线全长约4km，磨坪互通连接线长约4.3km，两处连接线均按二车道二级公路标准建设。桥梁全长16250m/35座（其中：特大桥6290m/4座，大桥9870m/30座，中桥90m/1座，其中巴东长江公路二桥主桥推荐采用主跨1150m钢箱梁悬索桥）。隧道全长40511m/16座（其中：特长隧道26743m/5座（其中信陵隧道长度10082m），长隧道11610/7座，中隧道1515/2座，短隧道643/2座）。设互通式立交7处（巴东高铁新区互通、溪丘湾枢纽、巴东城区北互通、巴东城区南互通、秭归磨坪互通、野三关北互通、野三关枢纽）、养护工区1处，服务区1处，路段管理分中心1处。技术标准：全线拟采用80km/h设计速度，四车道的高速公路设计标准，路基宽25.5m，长江大桥采用双向六车道标准。本项目估算总金额约为201亿元。</t>
  </si>
  <si>
    <t>隧道全长40511m/16座（其中：特长隧道26743m/5座（其中信陵隧道长度10082m），长隧道11610/7座，中隧道1515/2座，短隧道643/2座）。</t>
  </si>
  <si>
    <t>华中区域</t>
  </si>
  <si>
    <t>湖北</t>
  </si>
  <si>
    <t>201.0000000000</t>
  </si>
  <si>
    <t>湖北交通投资集团有限公司</t>
  </si>
  <si>
    <t>ZY112B-2-(2026-06-01);</t>
  </si>
  <si>
    <t>3月23日从十九华东公司了解到该项目计划6月份启动。</t>
  </si>
  <si>
    <t>持续跟进，了解设备具体需求时间。</t>
  </si>
  <si>
    <t>1、核心问题：目前还未正式明确所需大机配套设备；
2、工作思路：已经要求客户到我司考察大机配套设备及技术交流；
3、关键点：项目设计还有部分为完成，项目启动资金也还未到位；
4、行动计划：时刻保持与公司及项目部的对接工作，配合该项目做好大机配套方案。</t>
  </si>
  <si>
    <t>2025-03-28 09:13:07</t>
  </si>
  <si>
    <t>XM-2025032819047</t>
  </si>
  <si>
    <t>宁波枢纽建设工程绕城高速改扩建项目</t>
  </si>
  <si>
    <t>起于古中路与绕城高速的交叉点，止于朝阳互通。路线全长9.4km，隧道长度5.2km，其中盾构段长度3.65km，设置2座通风塔。</t>
  </si>
  <si>
    <t>其中盾构段长度3.65km，拟采用16米级盾构机</t>
  </si>
  <si>
    <t>170.0000000000</t>
  </si>
  <si>
    <t>宁波市高等级高速公路建设</t>
  </si>
  <si>
    <t>待定-1-(/);</t>
  </si>
  <si>
    <t>2028-09-13</t>
  </si>
  <si>
    <t>CNY 250,000,000.000</t>
  </si>
  <si>
    <t>沈腾飞</t>
  </si>
  <si>
    <t>目前已对接西枢纽和市铁办建设管理中心一处处长，项目可研阶段，拟采用盾构施工，计划近期拜访宁波西枢纽和市铁办建设管理中心前期处处长，项目规划阶段，拟采用盾构施工，考虑16米盾构方案概率较小，拟高架或明挖。项目规划中，暂无进展</t>
  </si>
  <si>
    <t>拜访业主单位及前期设计单位，梳理项目最新进展。</t>
  </si>
  <si>
    <t>核心问题：1、采用多大直径盾构机施工方案还未明确；2、最终业主单位还未明确
行动计划：拜访西枢纽管理中心前期规划处领导，了解项目情况，组织方案交流事宜。</t>
  </si>
  <si>
    <t>重大信息（Ⅰ级）</t>
  </si>
  <si>
    <t>2021-10-22 22:28:26</t>
  </si>
  <si>
    <t>XM-202110228391</t>
  </si>
  <si>
    <t>宁波至余慈市域（郊）铁路二期</t>
  </si>
  <si>
    <t>全长53.95km，全线新建车站13座，其中余姚段21km</t>
  </si>
  <si>
    <t>暂未确定</t>
  </si>
  <si>
    <t>250.0000000000</t>
  </si>
  <si>
    <t>宁波轨道交通集团</t>
  </si>
  <si>
    <t>ZTE8600-4-(2026-07-22);</t>
  </si>
  <si>
    <t>2026-05-13</t>
  </si>
  <si>
    <t>目前项目未获批，宁象宁慈线盾构设备明年全部贯通，盾构机会用到该项目继续施工。</t>
  </si>
  <si>
    <t>跟进项目工可获批情况，预计2027年获批！</t>
  </si>
  <si>
    <t>核心问题：隧道施工潜在中标单位中铁工一/二/三/四/隧道局,铁建重工十四/十九局，系统为争取单位：中铁隆/宁波建工/龙元建设。
工作思路：配合系统内单位投标，充分利用供应链公司介入设备租赁
关键点：设备租赁价格8000-9000元/米，价格较低
行动计划：跟踪项目进展，了解区间划分情况。预计2025年启动先行标招标。</t>
  </si>
  <si>
    <t>余广</t>
  </si>
  <si>
    <t>2023-07-30 11:38:46</t>
  </si>
  <si>
    <t>XM-2023073014507</t>
  </si>
  <si>
    <t>甬江流域南排通道工程</t>
  </si>
  <si>
    <t>西线工程总长约57.8公里，主要采用13米级TBM/双模盾构、土压盾构法和钻爆法进行施工。东线工程总长约42.2公里，主要采用13米级土压盾构法、13米级TBM/双模盾构和钻爆法进行施工。此外，全线设计有7口竖井，深度为45米，直径在23米至25米之间，采用竖井掘进机进行施工。</t>
  </si>
  <si>
    <t>隧道长度16km，拟采用9米敞开式TBM施工，主要以2.3类围岩为主，4.5类围岩占比15%</t>
  </si>
  <si>
    <t>宁波市水库管理中心</t>
  </si>
  <si>
    <t>项目建议书为宁波市水利水电规划设计院</t>
  </si>
  <si>
    <t>8米敞开式TBM-1-(/);</t>
  </si>
  <si>
    <t>2026-01-05</t>
  </si>
  <si>
    <t>CNY 140,000,000.000</t>
  </si>
  <si>
    <t>1.11月可研挂网招标，预计中标单位浙江水院和宁波水院；
2.宁波将项目列入十五五重点启动项目，前期启动；
3、3月31日已对接8米TBM同步衬砌事宜，节后技术交流。周公宅与亭下之间新建分洪隧洞启动较快</t>
  </si>
  <si>
    <t>1.同宁波水院交流8米TBM掘进衬砌同步技术，竖井布置情况等；
2.拜访浙江省水院设计负责人；
3.邀请宁波水利局到我司或大盾构项目考察。</t>
  </si>
  <si>
    <t>核心问题：项目建议书阶段，投资200亿元，是否最终获批
工作思路：告知系统内单位，共同跟进，配合项目建议书单位编制项目建议书
关键点：是否采用大盾构/TBM施工方案
行动计划：跟踪项目进展，配合浙江省水院设计院做前期项目建议书。目前项目建议书暂未批复。</t>
  </si>
  <si>
    <t>2024-10-27 12:47:44</t>
  </si>
  <si>
    <t>XM-2024102718062</t>
  </si>
  <si>
    <t>甬金衢上高速公路台州段</t>
  </si>
  <si>
    <t>甬金衢上高速台州段工程路线起点设置仆船隧道内与绍兴段顺接，隧道出口后设置石梁互通及连接线，过后设置天台山1号隧道（分离式左线长9470m），进洞后路线转向西南，出洞后设置桥梁后再次进入隧道，出洞后进入天台盆地，路线继续向西于白鹤镇南端设置白鹤枢纽与上三高速交叉，跨越上三高速和104国道后，于楼外村附近设置互通与104国道相接，之后向西下穿杭绍台高铁，路线向西于上坝头村附近上跨合溪干渠，在王里溪村附近设置平桥互通及连接线与323省道连通，向西沿山脚布线，于合溪口村西侧跨越合溪，向西在杭绍台高速天台街头互通北侧上跨既有杭绍台高速，并设置街头枢纽与杭绍台高速交叉，路线继续向西沿山脚布线在后洋村附近设置街头互通与连接线与323省道连通，路线沿杨家溪南岸，沿峡谷地带靠山侧布线，采用路基为主的方案进入山区，设置庄家岙隧道、寒山湖隧道，至寒山湖隧道内台州与金华交界处与甬金衢上高速金华段顺接，路线全长约46.6km。项目估算总投资约156.7亿元，其中建安费约93.5亿元。本项目设桥梁长约12678米／30座；隧道长约18680米／6座（其中特长隧道2座、长隧道2座）；主线设枢纽2处（白鹤枢纽、街头枢纽）；互通及收费站4处（石梁互通、天台北互通、平桥互通、街头互通）；服务区1处（平桥服务区）；设置隧道管理站2处；共设置石梁互通、平桥互通与街头互通3条连接线。全线采用双向六车道高速公路设计标准，其中起点至白鹤枢纽、街头互通至终点段采用设计速度100km/h，路基宽度33.5m；白鹤枢纽至街头互通段约20km采用设计速度120km/h，路基宽度34.0m。</t>
  </si>
  <si>
    <t>隧道长约18680米／6座（其中特长隧道2座、长隧道2座）</t>
  </si>
  <si>
    <t>93.5000000000</t>
  </si>
  <si>
    <t>天台县交通运输局</t>
  </si>
  <si>
    <t>招标中</t>
  </si>
  <si>
    <t>HZS1800-2-(2026-06-30);</t>
  </si>
  <si>
    <t>2026-07-08</t>
  </si>
  <si>
    <t>CNY 3,000,000.000</t>
  </si>
  <si>
    <t>数字交院中标设计，目前设计中，本标段天台县交通局出资30%，省交投出资70%，共计四个标段
2月24日拜访设计院，了解到：因业主资金未到位，设计暂停中。天台交通局暂无资金来源，还要同省交通沟通资金情况。业主同时开展其他资金引入的工作本标段天台县交通局出资30%，省交通出资70%。</t>
  </si>
  <si>
    <t>1.计划4月10日前拜访天台交通局，了解项目进展，标段划分，推荐大机配套</t>
  </si>
  <si>
    <t>核心问题：1、业主单位是否要求机械化施工；2、拨付机械化施工补贴
工作思路：引导业主单位推广机械化施工
关键点：业主是否愿意出资使用机械化设备。
行动计划：1、筹划拜访业主单位、设计单位，引导机械化施工。</t>
  </si>
  <si>
    <t>2025-04-28 09:17:32</t>
  </si>
  <si>
    <t>XM-2025042819285</t>
  </si>
  <si>
    <t>宁波象山港北岸配水（一期）工程Ⅰ标段</t>
  </si>
  <si>
    <t>（1）新建蒋家池头至大嵩水厂引（输）水管线，其中主管线长约 16.9 千米。输水线由蒋家池头调节站始发，向东偏北以顶管（1#管道，长约 221 米）依次下穿莼湖快速路、金溪后，在张家墈转 1#隧洞（长约 4.26 千米）下穿金娥山，在车岭水库南侧山体出洞。再次以顶管（2#管道，长约 659 米）下穿下潘村后，转入 2#隧洞（长约 11.62 千米）穿越横岭山、梅溪，甬绍东天然气管、地铁12号线，在经堂寺南侧山体出洞</t>
  </si>
  <si>
    <t>11.62 千米引水隧道，拟采用4米敞开式TBM</t>
  </si>
  <si>
    <t>9.0000000000</t>
  </si>
  <si>
    <t>宁波市水利投资有限公司</t>
  </si>
  <si>
    <t>电建华东院</t>
  </si>
  <si>
    <t>广东省建筑工程集团股份有限公司;禹顺生态建设有限公司</t>
  </si>
  <si>
    <t>ZTT4030-1-(2027-01-05);</t>
  </si>
  <si>
    <t>2026-05-11</t>
  </si>
  <si>
    <t>1.10月14日拜访宁波水投工程技术部，项目可研审批中，计划元旦前招标。
2.浙江隧道已中标东西线水库联通工程，设备型号一致，且项目完成业主较认可，中标概率较大。
3.12月11日拜访宁波水投工程主管，项目可研近期批复，预计2026年2-3月招标。
4、1月20日施工招标，2月10日投标截止，目前中铁十八局、十九局业绩满足。
核实设备需求时间为 2026 年 8 月，计划 10—11月实现始发。设备拟由禹顺生态采购 4 米级 TBM，并计划租赁给广东省粤水电用于施工。3 月中旬及下旬，与禹顺生态柴总进行了两次沟通交流，目前主要竞争对手为中铁装备，安徽唐兴、华隧。3 月 28 日已向禹顺生态提交设备报价及配置参数资料。禹顺生态计划于 3 月底组织外部专家对各单位提交的参数方案进行评审，预计 4 月上旬确定设备中标单位。3月30日获悉华隧自有一台设备且带施工，粤水电不参与施工、仅收取管理费，禹顺自负盈亏。粤水电负责项目的设备招采流程（租赁）
3月底客户已告知业主租赁TBM。</t>
  </si>
  <si>
    <t>1、了解租赁招标流程，启动时间等；
2、梳理TBM资源，价格等，再决策是否参与投标</t>
  </si>
  <si>
    <t>1.10月14日拜访宁波水投工程技术部，项目可研审批中，计划元旦前招标。
2.浙江隧道已中标东西线水库联通工程，设备型号一致，且项目完成业主较认可，中标概率较大。
3.12月11日拜访宁波水投工程主管，项目可研近期批复，预计2026年2-3月招标。
4、1月20日施工招标，2月10日投标截止，目前中铁十八局、十九局业绩满足。
5.2月11日广东省建筑工程集团股份有限公司;禹顺生态建设有限公司施工中标。6.目前禹顺、金华井巷、粤水电（刘畅）及其他两家民企目前均说需要采购新机，已让研究院欧佳君在做方案，下周一给出配置方案，目前统一TBM口头报价4000万元，最终以事业部给出价格为准。</t>
  </si>
  <si>
    <t>2024-07-09 16:48:49</t>
  </si>
  <si>
    <t>XM-2024070917264</t>
  </si>
  <si>
    <t>乌岩港大桥及接线公路工程</t>
  </si>
  <si>
    <t>乌岩港大桥及接线公路工程项目为二级公路，起点位于鹤浦镇黄岩庄，与石三线十字交叉，沿线途经黄金盘、楼屋、大湾塘、小外湾等村庄，在后龙头村南侧跨越乌岩港进入高塘乡，终点接石三线引桥桥头。路线全长约10.567km，采用双向两车道二级公路标准，设计速度60km/h，路面采用沥青混凝土路面。项目预计于2026年动工开建，计划建设周期36个月。</t>
  </si>
  <si>
    <t>1.77km特大桥。</t>
  </si>
  <si>
    <t>象山县交投</t>
  </si>
  <si>
    <t>宁波市交通规划设计院</t>
  </si>
  <si>
    <t>暂定中铁建大桥局三公司</t>
  </si>
  <si>
    <t>180-2-(2026-06-30);</t>
  </si>
  <si>
    <t>2026-09-01</t>
  </si>
  <si>
    <t>目前设计阶段，已拜访中铁建大桥局宁波办事处，项目拟需求两套海工180搅拌站，铁建大桥三公司跟踪中标概率较大。目前初步设计暂未获批。因资金未到位，项目推迟到2026年下半年。暂无最新进展</t>
  </si>
  <si>
    <t>跟进并配合系统等潜在中标单位投标。</t>
  </si>
  <si>
    <t>核心问题：因桥墩在海中施工，混凝土要求较高，业主采购新设备
工作思路：配合系统内单位投标
关键点：系统内单位中标概率较大，铁建大桥局三公司项目经理业主较认可
行动计划：配合大桥局项目投标，提前沟通搅拌站需求。初步设计暂未获批，资金仍未到位。</t>
  </si>
  <si>
    <t>2025-06-27 09:01:24</t>
  </si>
  <si>
    <t>XM-2025062719731</t>
  </si>
  <si>
    <t>机场路(通途西路-规划空港大道)综合管廊工程</t>
  </si>
  <si>
    <t>机场路(通途西路-规划空港大道)综合管廊工程位于海曙区，北起通途西路管廊预留工作井，南至规划空港大道，全长约9.6公里。管廊规划基本位于道路两侧防护绿带内，标准段采用圆形盾构断面形式(分高压舱和综合舱)，规划预留电力、再生水、给水、压力污水、通信等管位入廊空间。</t>
  </si>
  <si>
    <t>9.6公里，采用ZTE6950盾构机施工</t>
  </si>
  <si>
    <t>11.7500000000</t>
  </si>
  <si>
    <t>宁波城市地下空间投资有限公司</t>
  </si>
  <si>
    <t>宁波建筑设计院</t>
  </si>
  <si>
    <t>宁波建工建乐</t>
  </si>
  <si>
    <t>ZTE6950-2-(/);</t>
  </si>
  <si>
    <t>CNY 10,000,000.000</t>
  </si>
  <si>
    <t>2025年12月16日中标公示，1标中标单位宁波建工建乐+中铁六局；2标中标单位中铁隧道局，自有改造设备，预计需求时间2026年12月。</t>
  </si>
  <si>
    <t>1.了解宁波建工建乐设备需求时间，设备要求；2.了解盾构分包模式。</t>
  </si>
  <si>
    <t>设计联络</t>
  </si>
  <si>
    <t>拜访中铁隧道局及宁波建工建乐，了解设备需求情</t>
  </si>
  <si>
    <t>2025-06-27 08:55:23</t>
  </si>
  <si>
    <t>XM-2025062719730</t>
  </si>
  <si>
    <t>环城南路(联丰中路-世纪大道)综合管廊工程</t>
  </si>
  <si>
    <t>环城南路(联丰中路-世纪大道)综合管廊工程位于海曙区、鄞州区，西起联丰中路，东至世纪大道，全长约13公里。管廊规划基本位于道路两侧防护绿带内，标准段采用圆形盾构断面形式(分高压舱和综合舱)，规划预留电力、再生水、给水、压力污水、通信等管位入廊空间。
项目规模：估算总投资约259492.01万元,其中工程费用约170046.97万元。</t>
  </si>
  <si>
    <t>全长约13公里，采用6.7米土压平衡盾构机掘进</t>
  </si>
  <si>
    <t>17.0000000000</t>
  </si>
  <si>
    <t>ZTE6950-4-(/);</t>
  </si>
  <si>
    <t>2026-04-14</t>
  </si>
  <si>
    <t>上海市政院中标设计。目前设计中。暂定3个标段，11月6日施工招标审查预公告，11月12日招标资格预审查，12月18日中标结果:中铁二十二局+中铁十局，宁波市政+铁四局，中交水电+中天建设，中天建设施工盾构区间，自有2台海瑞克设备。宁波市政区间长度5km，拟考虑采购一台旧机，3月23日已报价。</t>
  </si>
  <si>
    <t>1.跟踪宁波市政向领导汇报情况，后续再组织设备考察及交流；5月15日前完成
2、了解宁波建工建乐和中铁六局分工情况，4月30日前完成。</t>
  </si>
  <si>
    <t>已拜访业主单位及部分潜在中标设计单位</t>
  </si>
  <si>
    <t>2023-07-30 11:03:50</t>
  </si>
  <si>
    <t>XM-2023073014506</t>
  </si>
  <si>
    <t>台州市中心大道路过江通道</t>
  </si>
  <si>
    <t>台州市椒江城市发展投资集团有限公司投资的世纪大道路过江隧道，隧道长度2.1km，由椒江区投资，项目已立项完成，采用16.3米泥水平衡盾构机。</t>
  </si>
  <si>
    <t>隧道长度2.1km，拟采用16.3米泥水盾构机施工</t>
  </si>
  <si>
    <t>28.0000000000</t>
  </si>
  <si>
    <t>台州市椒江城市发展投资集团有限公司</t>
  </si>
  <si>
    <t>湖南交规院</t>
  </si>
  <si>
    <t>泥水平衡盾构机-1-(2026-12-07);</t>
  </si>
  <si>
    <t>2026-12-04</t>
  </si>
  <si>
    <t>CNY 200,000,000.000</t>
  </si>
  <si>
    <t>1.2025年6月拜访设计单位及项目专班，交流盾构机选型；
2.跟踪初步审查进展，2025年11月已完成初步审查；
3、资金来源采用专项债，目前到账3亿元，已启动前期道路项目；
4、预计2026年2季度施工招标；
5.隧道延米设计概算42万元/米；
6.目前台州市政府拟改造一桥，项目存在推迟风险，预计2026年下半年施工招标。</t>
  </si>
  <si>
    <t>1.了解代建单位招标时间、招标条件设置、业主资金到位情况等；
2.配合十四局接待业主到海太项目考察。</t>
  </si>
  <si>
    <t>核心问题：1.设计阶段、施工方暂未明确；2、盾构机区间约2km，大概率设备租赁。3.中铁隧道局正在施工解放路过江隧道，如投标，有较大价格优势。
工作思路：配合系统内单位共同跟进项目进展，拜访业主，核实业主对设备新旧等要求。
关键点：设备市场存有量较大，业主暂定设备新制，是否会被变更。
行动计划：拜访业主单位，配合系统内单位跟踪项目进展。</t>
  </si>
  <si>
    <t>2024-12-30 20:33:31</t>
  </si>
  <si>
    <t>XM-2024123018583</t>
  </si>
  <si>
    <t>中铁二十一局集团川气东送项目</t>
  </si>
  <si>
    <t>该项目其中温州市区和瑞安市区有下穿瓯江和飞云江盾构段，长度分别为918米、737米。隧道断面分别为4.25米、3.08米。预计需求两台不同直径泥水盾构，需进一步了解施工单位设备来源。</t>
  </si>
  <si>
    <t>其中温州市区和瑞安市区有下穿瓯江和飞云江盾构段，长度分别为918米、737米。</t>
  </si>
  <si>
    <t>国家石油天然气管网集团有限公司西气东输分公司</t>
  </si>
  <si>
    <t>ZTS5040-1-(/);ZTS3770-1-(/);</t>
  </si>
  <si>
    <t>2025-06-30</t>
  </si>
  <si>
    <t>袁志凌</t>
  </si>
  <si>
    <t>目前施工已中标，中标单位为中铁二十一局路桥公司，项目部正在选址；其中温州市区和瑞安市区有下穿瓯江和飞云江盾构段，长度分别为918米、737米。已与项目部进行交流洽谈，目前因市面上没有合适机型暂未确认设备来源，21局拟采用劳务专业分包，由分包队带设备，目前还在队伍洽谈中。暂无新进展。
该项目已于河北某劳务队洽谈设备租赁，由于未签订合同，项目部暂未告知公司名称。
项目已明确轨道公司分包劳务。设备拟采用安徽唐兴旧机维修改造。</t>
  </si>
  <si>
    <t>了解拟租设备及租赁合同价格</t>
  </si>
  <si>
    <t>已与项目部总工、设备部长对接，并邀请业主、设计和项目部到公司考察。由于隧道短，客户拟采用安徽唐兴旧机维修改造。</t>
  </si>
  <si>
    <t>2024-03-11 11:18:15</t>
  </si>
  <si>
    <t>XM-2024031116383</t>
  </si>
  <si>
    <t>中铁二十二局义龙庆7标项目部</t>
  </si>
  <si>
    <t>本项目主线右幅YK176+700～YK186+560段长约9.86公里、左幅ZK176+700～ZK186+550段长约9.85公里的路基、桥梁（含伸缩缝安装）、涵洞、隧道（含高位水池，不含隧道机电）、改路改河改渠（含改路路面）等的实施、完成、缺陷责任期缺陷修复等</t>
  </si>
  <si>
    <t>大淤山隧道：1475m；大丘田隧道：3452.5m</t>
  </si>
  <si>
    <t>浙江省高速建设管理有限公司</t>
  </si>
  <si>
    <t>SCC2000-1-(/);</t>
  </si>
  <si>
    <t>2024-08-20</t>
  </si>
  <si>
    <t>CNY 16,000,000.000</t>
  </si>
  <si>
    <t>已与项目业主和施工单位开展了技术交流和设备需求了解，该项目拟采用劳务专业分包，根据客户描述：由于设备昂贵，垫资成本过高，劳务队不能接受设备施工，目前项目部还在与劳务队沟通中</t>
  </si>
  <si>
    <t>跟进除尘台车需求，了解需求时间及设备考虑情况
继续跟进除尘台车需求
跟进是否有除尘台车需求
核实是否还有除尘台车采购需求</t>
  </si>
  <si>
    <t>核心问题：业主交代必须使用进口凿岩台车，设备基本由劳务队自带，劳务队更多考虑价格偏低厂家，我司设备没有价格和明显技术优势
工作思路：跟进好各标段劳务队设备需求及意向情况，联同研究院与其进行交流，凸显我司产品特征优势，紧密对接好部分有我司产品采购意向的单位和劳务队；
关键点：该项目智能化设备应用程度高，部分标段目前仍未确定采购进口凿岩台车，我司需紧密动态对接和跟进；                           行动计划：联合研究院逐项对接项目部和劳务队，摸排劳务队设备持有及需求情况。</t>
  </si>
  <si>
    <t>2023-10-31 22:50:29</t>
  </si>
  <si>
    <t>XM-2023103115374</t>
  </si>
  <si>
    <t>甬舟高速公路复线二期</t>
  </si>
  <si>
    <t>甬舟高速公路复线起于宁波北仑好思房，经金塘岛、册子岛、富翅岛至舟山本岛，近期终于定海大沙，接北向疏港公路，路线总长约45.5km。
戚家山-金塘段：长18.038km，目前处于工可阶段。
隧道全长11.644km，含盾构段9.89km（其中陆域盾构段1.3km，海中盾构段8.59km），钻爆段1.159km，明挖段0.595km。</t>
  </si>
  <si>
    <t>隧道全长11.644km，含盾构段9.89km（其中陆域盾构段1.3km，海中盾构段8.59km），钻爆段1.159km，明挖段0.595km。</t>
  </si>
  <si>
    <t>45.0000000000</t>
  </si>
  <si>
    <t>舟山甬舟铁路建设指挥部、浙江交建</t>
  </si>
  <si>
    <t>浙江省数智交院、铁四院</t>
  </si>
  <si>
    <t>泥水平衡盾构机-1-(2026-10-29);</t>
  </si>
  <si>
    <t>2025-10-29</t>
  </si>
  <si>
    <t>CNY 500,000,000.000</t>
  </si>
  <si>
    <t>设备已中标</t>
  </si>
  <si>
    <t>8月21日中标结果公示中，1标中铁十四局+浙交工地下公司；3标中交隧道；2标中铁隧道+宁波交工。中铁十四局拟采用京华号再制造。
采用7.6米主轴承。业主10月31日召开会议，要求各施工单位于11月15日确定盾构厂家，11月30日设备启动生产；中铁十四局再制造报价中；浙江交工地下近几天邀请盾构机招标。
浙江交工地下公司已于11月28日邀请招标。暂未明确中标单位。
目前我司得分最高，但暂未公开中标结果
已完成设计参数和主要零部件品牌确认
已完成第一次设计联络，并通过
已完成第二次设计联络</t>
  </si>
  <si>
    <t>完成合同签订及三方协议签订</t>
  </si>
  <si>
    <t>核心问题：1.系统内单位是否能中标该项目；2.盾构机生产周期比较紧
工作思路：项目持续跟进，配合铁建单位中标。策划高层互动。
关键点：代建单位同中铁装备在杭州有盾构公司，双方合作中，代建单位对设备选择有较大影响。铁建单位中标情况。
行动计划：跟进建设单位，参与前期设备选型，拜访代建单位，提前关系介入，组织考察交流，策划高层互动。配合系统内单位及股份公司争取铁建系统单位中标。</t>
  </si>
  <si>
    <t>2024-03-02 21:13:37</t>
  </si>
  <si>
    <t>XM-2024030216332</t>
  </si>
  <si>
    <t>浙江柯城抽水蓄能电站</t>
  </si>
  <si>
    <t>总投资约80.72亿元，装机容量120万千瓦。电站枢纽工程主要由上水库、下水库、输水系统、地下厂房和开关站等建筑物组成，按装机容量确定为一等大（1）型工程，建成后主要承担浙江电网的调峰、填谷、储能、调频、调相和备用等任务。前期标Q1标：目前已挂网招标，主要包括，连接公路、检修平台、进场交通洞600米、通风安全洞1.2公里 断面大小6.5x7.5米；施工支洞合计7个洞长合计3195米，断面大小从8.0x8.5到3.0x3.0不等；开标时间为10月14日；10月31日定标为水电十二局</t>
  </si>
  <si>
    <t>进场交通洞、排水廊道</t>
  </si>
  <si>
    <t>西南区域</t>
  </si>
  <si>
    <t>80.7200000000</t>
  </si>
  <si>
    <t>浙江柯城抽水蓄能有限公司</t>
  </si>
  <si>
    <t>水电五局</t>
  </si>
  <si>
    <t>开挖直径3.5米级TBM-1-(/);</t>
  </si>
  <si>
    <t>1、同掘进机、特装事业部拜访业主工程部刘岗、姜卫海一行进行技术交流；_x005f?2、业主反馈不会增加费用要求施工单位上智能化设备。?3、业主对科研创新项目感兴趣，尤其是针对斜井作业台车，同事业部郑松出具科研项目立项书，上报业主；?4、后续业主反馈，该设备无实际案例，出具安全考虑，未能申报成功。
5、目前已挂网招标，共分为上库、下库、输排水系统，12月8日开标。
6、目前系统内单位十八局已报名参与1、同掘进机、特装事业部拜访业主工程部刘岗、姜卫海一行进行技术交流；?2、业主反馈不会增加费用要求施工单位上智能化设备。?3、业主对科研创新项目感兴趣，尤其是针对斜井作业台车，同事业部郑松出具科研项目立项书，上报业主；?4、后续业主反馈，该设备无实际案例，出具安全考虑，未能申报成功。
5、目前已挂网招标，共分为上库、下库、输排水系统，12月8日开标。
6、目前系统内单位十八局已报名参与</t>
  </si>
  <si>
    <t>1、拜访业主单位针对竖井掘进机再进行技术交流汇报；竖井已明确租用水电十二局松阳抽蓄旧设备
2、跟进斜井作业平台</t>
  </si>
  <si>
    <t>核心问题：业主不会强制要求施工单位采用机械化施工；3.53米TBM目前我司没有租赁设备。
工作思路：全力跟进业主方，邀请其到我司参观考察TBM设备，全力推进斜井作业平台的科研合作事宜。
关键点:主体标施工中标单位，是否认可我司产品，是否自有该型号设备。
行动计划：协作业主工程部报批科研合作项目，节后再次拜访业主单位，详谈具体的合作模式、</t>
  </si>
  <si>
    <t>2024-12-30 15:45:19</t>
  </si>
  <si>
    <t>XM-2024123018580</t>
  </si>
  <si>
    <t>绍兴市城市轨道交通4号线1标</t>
  </si>
  <si>
    <t>工程位于浙江省绍兴市越城区。包独树路站/独树路站～银桥路站区间/银桥路站总共2站1区间、银桥路站站后区间及泄压井：
(1)独树路站为地下二层岛式站，长183.3m，宽19.7m，深约16.59m。附属设1个出入口。
(2)银桥路站为地下二层岛式站，长259.6m，宽19.7m，深约17.42m。附属4个出入口，4组风亭，3个安全出入口。
(3)独树路站～银桥路站区间右线1556.858m，左线1556.658m，联络通道2座。
(4)银桥路站站后区间左/右线长均为150.891m，不设联络通道。
(6)配套的桥梁拆复建1座、绿化迁移、管线迁改、交通导改等施工内容。
区间隧道管片外径6.7m，采用2台土压盾构机施工。
工期1946个日历天，开竣工日期2024年12月31日～2030年04月30日。</t>
  </si>
  <si>
    <t>独树路站～银桥路站区间右线1556.858m，左线1556.658m，联络通道2座。 (4)银桥路站站后区间左/右线长均为150.891m，不设联络通道。 (6)配套的桥梁拆复建1座、绿化迁移、管线迁改、交通导改等施工内容。</t>
  </si>
  <si>
    <t>4.9200000000</t>
  </si>
  <si>
    <t>绍兴市轨道交通集团有限公司</t>
  </si>
  <si>
    <t>中铁二院</t>
  </si>
  <si>
    <t>CNY 17,000,000.000</t>
  </si>
  <si>
    <t>1、项目25年5月25日正式开始打桩，预计26年5月份具备始发条件；
2、项目部已完成询价，询价结果如下：我司6500、武重机床5500、十一局一公司4800、广州山河4000、交工地下3390，中铁工服3700
3、11月拜访项目部，其计划使用11局四公司厦工中铁设备及租赁十五局轨道公司DZ1001（租赁价格3500元/米）。</t>
  </si>
  <si>
    <t>1、对接华中区域郭统佳，了解十一局四公司设备情况是否满足业主的招标条件。
2、十五局1001预计需求改造刀盘及盾尾，对接华中区域车成，跟进十五局的设备维修需求。</t>
  </si>
  <si>
    <t>核心问题：目前绍兴市场不限盾构机品牌，设备租入价格基本在4000元/米以下，我司目前报价略高，十一局有类似型号设备，且自己具备维修改造能力。
工作思路：同十一局城轨公司及项目部积极交流方案，汇报实际情况，协同华中区域协调事业部，尽量给出合理报价；与目前市面上的租赁单位尽量达成一致，避免恶性竞争。
关键点：抓住十一局为系统内单位的点，明确其是否使用自有设备
行动计划：拜访项目部汇报技术方案，前期做好技术配合，提前与事业部沟通，汇报绍兴市场的盾构机租赁价格。</t>
  </si>
  <si>
    <t>2024-12-30 15:51:47</t>
  </si>
  <si>
    <t>XM-2024123018581</t>
  </si>
  <si>
    <t>绍兴市地铁5号线</t>
  </si>
  <si>
    <t>线路全长约15.3公里，共设站12座，均为地下站，其中换乘站3座；新建袍中路车辆段1座；新建出入段线2条</t>
  </si>
  <si>
    <t>103.6800000000</t>
  </si>
  <si>
    <t>ZTE6950-16-(/);</t>
  </si>
  <si>
    <t>2027-06-30</t>
  </si>
  <si>
    <t>CNY 20,000,000.000</t>
  </si>
  <si>
    <t>前期标中标单位为北京城建院，目前总设正在招标，目前已延期开标，开标时间另行通知，预计推后至26年开标‘’</t>
  </si>
  <si>
    <t>拜访业主单位灌输高端品牌理念，提前对接供应链公司争取提前嫁接。</t>
  </si>
  <si>
    <t>核心问题：业主方对设备要求宽泛，不限制品牌，导致市场价格过低
工作思路：引导业主单位，注重项目建设品质，对设备设置门槛；与业主单位探讨是否可以复刻宁波地铁模式，使多方获利；
关键点：绍兴地铁多次选用辽宁三三等品牌设备，要打破其价格至上的思维。
行动计划：有节奏的拜访业主单位，向其灌输隧道施工设备的重要性，尽量在后续项目中提高对设备的要求；介绍宁波地铁经营模式，给业主单位提供新思路；</t>
  </si>
  <si>
    <t>2024-12-30 16:11:54</t>
  </si>
  <si>
    <t>XM-2024123018563</t>
  </si>
  <si>
    <t>甬金衢上高速（衢州段）</t>
  </si>
  <si>
    <t>，项目主线全长122.361km（其中金华段8.065km，衢州段114.296km）。本项目概算总投资2934431万元，其中建安费1762302万元。隧道9536.5米/12 座（其中长隧道6463m/4座，中隧道1514.5m/2座，短隧道1389m/4座，连拱隧道170m/2座），
合计分为5个标段，其中3标交工宏图、5标交工大桥有三臂凿岩台车需求。</t>
  </si>
  <si>
    <t>隧道总长9184.5米/12座</t>
  </si>
  <si>
    <t>305.8300000000</t>
  </si>
  <si>
    <t>浙江省数智交院</t>
  </si>
  <si>
    <t>前期与设计院、业主沟通，设计及招标中没有要求智能化机械施工，其要求的施工设备费用需投标人包含在投标综合单价中。3月24日已开标；3标隧道两座（左2450米/右2640米，左495/右472米）中标单位为交工宏图，中标价18.2亿元；5标隧道两座（左495/右472，左1513/右1577）中标单位为交工集团，中标价22.5亿元；同事业部郑松拜访业主建设指挥部，指挥部目前对智能型设备并无太大兴趣。已拜访浙江交工宏途3标（设备由劳务队自带）、交工大桥5标（设备由劳务队自带）；目前已对接劳务队老板，队伍自有设备无设备缺口；</t>
  </si>
  <si>
    <t>甬金衢上高速7-9标，招标文件预公示，其中7标长隧道1座（1034米）要求1台全电脑2臂及以上凿岩台车；8标长隧道1座（1331米）要求1台全电脑2臂及以上凿岩台车；9标无隧道。4月7日开标</t>
  </si>
  <si>
    <t>核心问题：业主目前未强制要求智能化配置，且3标交工宏途及5标交工大桥已明确将设备分包至私人老板；
工作思路：全力跟进甬金衢上衢州段建设指挥部，对接隧道大机配套的具体要求，全力推荐机械化智能化配套施工。
关键点：跟进重心放在建设指挥部及施工队伍身上，争取完成突破。
行动计划：继续跟进业主建设指挥部，争取做智能化陪同施工方案交流，明确该项目机械化配套的增加的具体费用，全力跟进各分包队伍老板，说明后续浙江省重点公路项目均要使用智能型设备的利害，早买早摊销成本。</t>
  </si>
  <si>
    <t>2025-03-31 11:20:27</t>
  </si>
  <si>
    <t>XM-2025033119080</t>
  </si>
  <si>
    <t>绍兴市地铁4号线2标</t>
  </si>
  <si>
    <t>人民东路站～迎宾路站区间、迎宾路站、迎宾路站～独树路站区间总共1站2区间涉及的车站及区间的永久工程；迎宾路站：地下一层为站厅层，地下二层为站台层，站台宽度均为 11m。车站主体基坑长 167.00m，标准段宽 19.7m，端头井宽 24.0m，车站覆土约 3m。标准段坑深约 16.65m，西端头井挖深 18.35m，东端头井挖深18.65m；人民东路站～迎宾路站区间区间长度1500米，迎宾路站～独树路站盾构区间区间长度1980米</t>
  </si>
  <si>
    <t>人民东路站～迎宾路站区间区间长度1500米，迎宾路站～独树路站盾构区间区间长度1980米</t>
  </si>
  <si>
    <t>4.1000000000</t>
  </si>
  <si>
    <t>绍兴市地铁集团</t>
  </si>
  <si>
    <t>中铁十八局市政公司</t>
  </si>
  <si>
    <t>已与客户初步洽谈，该项目为合作中标项目，十八局施工1.5公里拟续租或回购杭州地铁10号线DL912/913；私人老板施工1.9公里区间，预计进场时间27年3月、4月份，设备来源暂未明确（需求时间27年4月、5月）。目前回购价格已初步核算1980万；</t>
  </si>
  <si>
    <t>继续对接十八局市政公司，明确其公司具体的批复情况，是否在市面上租赁设备。</t>
  </si>
  <si>
    <t>核心问题：绍兴设备租赁价格过低，均在4000元/米以下，业主对设备品牌无要求。十八局一公司有4台厦工中铁设备，可以满足该项目使用。
工作思路：拜访业主单位工程部，针对4号线有难点项目说明利害，让业主严格把控设备质量，同时拜访客户单位，协助华北区域，在今年尽快完成合同续签。
关键点：说服业主，严格把控设备品牌，不能让施工单位为了低价，不顾工程质量。与十八局市政公司做好沟通，已优惠价格完成912/913两台设备的合同续签。
行动计划：尽快拜访业主工程部；协同华北区域全力争取今年完成合同签订。</t>
  </si>
  <si>
    <t>2025-07-24 18:23:14</t>
  </si>
  <si>
    <t>XM-2025072419941</t>
  </si>
  <si>
    <t>杭淳开高速衢州段</t>
  </si>
  <si>
    <t>衢州段合计分为5个标段，中标单位分别为交工金筑、中交二公局、交工集团（交工大桥）、交工宏途、省建投交建；其中1标包含设隧道 6429.5m/5 座，其中特长隧道 1 座(淳开隧道全长 3217m， TJ01 标段实施 3055m)，长隧道 1 座(阳密隧道 1210.5m)，中隧道 2 座(观音尖隧道 923.5m、富林隧道 837m)，短隧道 1 座(天峰隧道 394.5m)需求1台三臂；3标隧道 5766m/3 座，其中特长隧道 1 座(曹门隧道 3067m)、长隧道 1 座〔（上城隧道全长 1416.5m，TJ03 标段实施 1/2 即 708.25m）、（道沃源遂道全长 2716.5m，TJ03 标段实施 1/2即 1358.25m）〕、中隧道 1 座(中村隧道 632.5m)；需求2台三臂；4标特长隧道 1 座(长苏隧道 4709m)、长隧道 3 座〔北源隧道 1935m，枫坞隧道 2629m，（道沃源遂道全长 2716.5m；需求3台3臂</t>
  </si>
  <si>
    <t>。隧道28241米/16座（其中特长隧道10831米/3 座（淳开隧道全长 3217 米，衢州段3055米，杭州段162米），长隧道14291米/8座，中隧道2393米/3座，短隧道726 米/2 座）。</t>
  </si>
  <si>
    <t>136.0000000000</t>
  </si>
  <si>
    <t>浙高建</t>
  </si>
  <si>
    <t>浙江数智交院</t>
  </si>
  <si>
    <t>交工金筑、交工大桥、交工宏途</t>
  </si>
  <si>
    <t>zys123-1-(/);</t>
  </si>
  <si>
    <t>衢州段合计分为5个标段，中标单位分别为交工金筑、中交二公局、交工集团（交工大桥）、交工宏途、省建投交建；其中1标包含设隧道 6429.5m/5 座；其中1/3/4标段有长大隧道使用大机配套施工，并要求各标段单独搭建智能化平台。老板已明确年后确定设备来源</t>
  </si>
  <si>
    <t>逐个拜访队伍老板，对接老板的实际设备需求；完成合同签订</t>
  </si>
  <si>
    <t>1、项目施工招标前，邀请事业部拜访业主指挥部进行技术交流，加深业主对我司品牌的了解度，在招标文件中推介品牌加入我司；
2、施工单位进场后，组织业主各标段总工及事业部在业主指挥部进行大机配套技术交流；
3、组织公司领导拜访指挥部指挥长并邀请其到我司考察；
4、11月份走访各个标段项目部及队伍老板，了解其真实想法并反馈至领导及指挥部；
5、12月1日业主组织三个大机标段分公司副总及我司领导到指挥部进行交流
6/12月24日带业主及大机标段到川藏铁路项目考察</t>
  </si>
  <si>
    <t>2025-07-30 19:50:03</t>
  </si>
  <si>
    <t>XM-2025073019970</t>
  </si>
  <si>
    <t>中铁隆绍兴市城市轨道交通4号线6标</t>
  </si>
  <si>
    <t>站2区间1出入段；区间长分别为784米、895米；出入段长422米</t>
  </si>
  <si>
    <t>18000000</t>
  </si>
  <si>
    <t>3.6600000000</t>
  </si>
  <si>
    <t>绍兴地铁</t>
  </si>
  <si>
    <t>中铁隆</t>
  </si>
  <si>
    <t>CNY 18,000,000.000</t>
  </si>
  <si>
    <t>已与客户盾构施工负责人电话联系，目前项目前期为土地征迁及管线改迁工作，项目盾构人员暂未进场，已告知西南区域负责人；西南反馈事业部认定中铁隆为私企，我司私企条件苛刻。</t>
  </si>
  <si>
    <t>继续跟进中铁隆盾构负责人王小波，了解其设备需求；</t>
  </si>
  <si>
    <t>已电话联系盾构施工负责人，目前该项目其公司负责盾构的人员还未进场，预计进场时间为今年年底，该项目设备需求时间为27年4月份。</t>
  </si>
  <si>
    <t>2025-07-30 19:55:31</t>
  </si>
  <si>
    <t>XM-2025073019971</t>
  </si>
  <si>
    <t>绍兴市城市轨道交通4号线3标</t>
  </si>
  <si>
    <t>世茂天际站～平江路站区间、平江路站～人民东路站区间、人民东路站（含5号线人民东路站）总共1站2区间及平江路站附属结构涉及的车站及区间永久工程</t>
  </si>
  <si>
    <t>世茂天际站～平江路站区间1381米；平江路站～人民东路站盾构区间751米</t>
  </si>
  <si>
    <t>7.2100000000</t>
  </si>
  <si>
    <t>绍兴地铁集团有限责任公司</t>
  </si>
  <si>
    <t>十五局城轨公司</t>
  </si>
  <si>
    <t>ZTE6950-1-(/);</t>
  </si>
  <si>
    <t>CNY 2,000,000.000</t>
  </si>
  <si>
    <t>十五局城轨公司自有6台6.7米设备目前初步计划使用自有闲置设备DZ1001/DZ1002;基本明确使用自有设备。</t>
  </si>
  <si>
    <t>跟进其具体进场时间，明确其是否需要架立调试。</t>
  </si>
  <si>
    <t>已拜访项目经理，了解该项目初步计划27年2-3月份设备进场。</t>
  </si>
  <si>
    <t>2025-07-30 20:00:43</t>
  </si>
  <si>
    <t>XM-2025073019972</t>
  </si>
  <si>
    <t>绍兴市城市轨道交通4号线8标</t>
  </si>
  <si>
    <t>黄酒小镇站～东浦站区间（含黄酒小镇站盾构接收端土建改造）、东浦站、东浦站～大树江站区间（含区间拔桩）、大树江站总共2站2区间涉及的车站及区间永久工程</t>
  </si>
  <si>
    <t>黄酒小镇站~东浦站区间813米；东浦站~大树江站区间747米</t>
  </si>
  <si>
    <t>5.1900000000</t>
  </si>
  <si>
    <t>水电七局轨道公司</t>
  </si>
  <si>
    <t>CNY 15,600,000.000</t>
  </si>
  <si>
    <t>曾彬</t>
  </si>
  <si>
    <t>我司初步向水电七局初步上报的设备方案为DL912/913,由于投标时承诺使用新机，目前客户还在与业主单位沟通新机问题，客户预算3000万。客户初步反馈可能会加快进度在26年6月份进场。其自有两台装备泥水6.7米设备1288/1289正在闲置;</t>
  </si>
  <si>
    <t>1、继续对接项目经理夏莹，了解其与绍兴地铁的谈判情况，是否允许其使用准新机。</t>
  </si>
  <si>
    <t>拜访水电七局项目经理，了解项目与业主的谈判情况，配合西南区域一同跟进。</t>
  </si>
  <si>
    <t>2025-09-01 08:11:13</t>
  </si>
  <si>
    <t>XM-2025090120220</t>
  </si>
  <si>
    <t>诸暨至嵊州高速公路</t>
  </si>
  <si>
    <t>项目主线全长约65.3公里，其中诸暨段25.5公里，嵊州段39.8公里，设计时速100公里/小时，采用双向六车道高速公路标准（路基宽度33.5米）。起点位于诸暨市街亭枢纽附近，顺接绍诸高速延伸线；终点为嵊州市三界枢纽，预留向东延伸接口。控制性工程包括穿越诸暨 - 嵊州交界香榧公园的特长隧道群（含竹溪特长隧道，单洞长度超5300米），以及跨谢家水库特大桥（2408米）、樱枝山一号高墩大桥（墩高超80米）。</t>
  </si>
  <si>
    <t>隧道13座总长27087.5米，含2座特长隧道（总长10240米）</t>
  </si>
  <si>
    <t>183.0000000000</t>
  </si>
  <si>
    <t>绍兴市诸嵊高速公路有限公司</t>
  </si>
  <si>
    <t>ZYS123-1-(/);</t>
  </si>
  <si>
    <t>2026-12-30</t>
  </si>
  <si>
    <t>项目在5月7日完成设计招标工作，由浙江数智交院科技股份有限公司中标</t>
  </si>
  <si>
    <t>拜访业主单位 及设计院了解项目对大机配套的要求；</t>
  </si>
  <si>
    <t>拜访浙江省数智交院，该项目目前正在初步设计阶段，还未明确是否有要求部分隧道采用大机施工;;</t>
  </si>
  <si>
    <t>2026-02-04 15:14:30</t>
  </si>
  <si>
    <t>XM-2026020421410</t>
  </si>
  <si>
    <t>华能霞浦核电项目排水隧道</t>
  </si>
  <si>
    <t>1、福建霞浦核电厂址隶属于宁德市霞浦县长春镇长门村，共3条隧洞，均采用盾构法施工。一期排水隧道，直径8.1m，长度1.88km；二期排水隧洞，直径8.1m，长度3.4km。三期排水隧洞，直径8.1m，长度4.2km。
2、一期目前处于初步设计阶段，预计2026年第一季度开工。
3、业主：华能霞浦核电有限公司；
4、设计院：中交四航院；
5、总包方：中核工业。分包工程均在华能电子商务平台上招标，投标单位要同时入围了中国核工业及中国华能供应商库。
设备需求：3台ZTS9100。</t>
  </si>
  <si>
    <t>一期排水隧道，直径8.1m，长度1.88km；二期排水隧洞，直径8.1m，长度3.4km。三期排水隧洞，直径8.1m，长度4.2km。</t>
  </si>
  <si>
    <t>456.0000000000</t>
  </si>
  <si>
    <t>华能霞浦核电有限公司</t>
  </si>
  <si>
    <t>中交四航院</t>
  </si>
  <si>
    <t>总包方：中核工业</t>
  </si>
  <si>
    <t>ZTS9100-1-(/);</t>
  </si>
  <si>
    <t>2026-07-31</t>
  </si>
  <si>
    <t>CNY 150,000,000.000</t>
  </si>
  <si>
    <t>周斌</t>
  </si>
  <si>
    <t>1、2024年9月份开始跟进，建立项目台账；
2、2025年12月份，盾构机始发井确定采用竖井掘进机施工。
3、霞浦核电站一期工程排水隧道计划在2026年3月份招标。
4、与中铁15局福宁经营部对接，此项目盾构机始发井采用竖井掘进机施工将会作为招标条件，2026-2-13
5、一期排水隧洞原计划3月底招标，现推迟至6月份招标。2026-3-15
6、与中铁15局福建经营部一同拜访了业主单位（中国华能），交流了竖井掘进机施工技术。 2026-3-30</t>
  </si>
  <si>
    <t>1、配合系统内工程局完成项目承揽，中铁14局、15局、18局、19局跟进较为积极。</t>
  </si>
  <si>
    <t>1、我设计院对接盾构机选型、始发井采用竖井掘进机施工方案。</t>
  </si>
  <si>
    <t>2025-11-03 21:12:01</t>
  </si>
  <si>
    <t>XM-2025110320608</t>
  </si>
  <si>
    <t>将乐百祥矿业长距离皮带机项目</t>
  </si>
  <si>
    <t>项目名称：将乐百祥矿业有限公司际下矿段方解石矿建设项目
1、业主:将乐百祥矿业有限公司，民营企业，成立于2019年，位于福建省将乐县高唐镇楼杉村，专注于非金属矿开采与销售。
2、矿区至加工厂距离24km，其中约10km为山路，道路交通条件差，计划将修建隧道，采用皮带机运输。计划2年内完成隧道与皮带机建设。目前十四局集团公司华东经营部牵头对接业主，计划向业主推荐EPC模式，由十四局牵头，联合铁一院，我司配合提供设备技术支持。</t>
  </si>
  <si>
    <t>计划将修建隧道，采用皮带机运输，10公里隧道，</t>
  </si>
  <si>
    <t>3.3680000000</t>
  </si>
  <si>
    <t>800-1-(2027-12-30);</t>
  </si>
  <si>
    <t>2026-08-31</t>
  </si>
  <si>
    <t>CNY 60,000,000.000</t>
  </si>
  <si>
    <t>2、2024 年，将乐县自然资源局顺利完成了百祥矿业方解石矿的探矿权转采矿权工作。2025 年 7 月 7 日，
2、三明市生态环境局受理了该项目的环境影响评价文件。截至 2025 年 7 月，项目的环境影响报告书已基本完成编制工作，
3、且建设单位已同步完成该项目环境影响公众参与说明编制工作，并进行了公示。
4、我司给铁一院提供了皮带机方案、基本参数及尺寸。2025-11-13
5、与中铁14局，铁一院催化项目EPC招标，招标基本资料已准备，代理商已确认，计划在本周挂网招标公告，在12月20日前完成招标工作。2025-11-27
6、施工招标于12月1日已挂网，EPC模式，2025-12-3
7、中铁14局、铁一院联合体中标，跟进EPC合同签订进展，2025-12-29
8、与中铁14局、铁一院的拜访了业主单位方岩集团，此项目要求在2027年年底隧道贯通，隧道区间有10公里，5米宽城门洞型，采用钻爆发施工，一个支洞，2026-1-16
9、此项目施工合同暂未签订，铁一院的设计工作已启动。2026-2-13
10、拜访了中铁14局福建经营部，此项目目前处于资金筹备中，待资金基本确定后立即启动，2026-3-23</t>
  </si>
  <si>
    <t>对接项目进展，跟进开标结果</t>
  </si>
  <si>
    <t>1、024 年，将乐县自然资源局顺利完成了百祥矿业方解石矿的探矿权转采矿权工作。
2025 年 7 月 7 日，三明市生态环境局受理了该项目的环境影响评价文件。截至 2025 年 7 月，项目的环境影响报告书已基本完成编制工作，且建设单位已同步完成该项目环境影响公众参与说明编制工作，并进行了公示。</t>
  </si>
  <si>
    <t>2025-09-21 11:52:15</t>
  </si>
  <si>
    <t>XM-2025092120374</t>
  </si>
  <si>
    <t>中铁十七局沈海线漳诏高速扩容工程A9标</t>
  </si>
  <si>
    <t>沈海线漳诏高速扩容工程，共计13个标段，中铁17局中的中标的A9标中，大臣山隧道2339m作为本工程隧道全机械施工试验工点，业主为机械化施工提供500万费用。</t>
  </si>
  <si>
    <t>2.3公里隧道</t>
  </si>
  <si>
    <t>169.7400000000</t>
  </si>
  <si>
    <t>福建省漳州高速公路有限公司（漳州漳诏高速扩建工程有限公司））</t>
  </si>
  <si>
    <t>福建省交通规划设计院</t>
  </si>
  <si>
    <t>中铁十七局第六工程有限公司</t>
  </si>
  <si>
    <t>MT141-2-(/);ZYS113-2-(/);</t>
  </si>
  <si>
    <t>2026-05-31</t>
  </si>
  <si>
    <t>1、2024 年 7 月，福建省发展和改革委员会批复了沈海线漳州龙海至诏安段（龙海北溪头至诏安闽粤界）扩容工程可行性研究报告。
2、2025 年 3 月，福建省发展和改革委员会同意调整该项目可行性研究报告中资本金出资来源。
3、2025 年 6 月 30 日，项目施工图设计正式获得福建省交通运输厅批复，为下阶段开展路基土建施工、监理及检测招标，实现 4、2025 年 9 月份开工建设迈出坚实一步。
5、2025 年 7 月，福建省工程领域招投标在线监管平台发布了该项目路基土建工程施工招标公告。
6、2025 年 9 月，该项目获自然资源部批准先行用地 30.6536 公顷，是全省首个参建单位还未正式进场就先取得用地批复的高速公路建设项目。
7、中铁17局中标9标段，隧道区间2.3公里，为大机配套试验段。
8、业主要求采用全电脑设备，我司提供了凿岩台车、拱架台车、钻锚注一体机、湿喷台车报价。
9、中铁17局项目部回复，首选劳务队自带，次之为租赁，最后才是采购。2025-11-13
10、拜访了中铁17局6公司设备部龙部长，他们提出大机配套有回购的采购要求，咨询了特装事业部，2年后的回购残值不高于15%.，2025-11-25
11、业主要求承建方提供全电脑凿岩台车、拱架台车、钻锚注一体机；中铁17局6公司中标，此项目设备将由劳务队自带，他们将要求劳务队使用铁建重工的全电脑三臂凿岩台车。12-29
12、计划于2026年1月20日与中铁17局6公司组织特装产品技术交流会。2026-1-16
13、提供设备正式报价，先需求1台全电脑三臂凿岩台车，1台全电脑二臂凿岩台车，1台钻锚注一体机。2026-1-31
5、需求两台小三臂凿岩台车，提供技术参数表，提供劳务招标凿岩台车技术要求，2025-2-13
6、拜访中铁17局6公司设备物资部，由劳务队采购，还未最终确定劳务队，2026-3-23</t>
  </si>
  <si>
    <t>跟进中铁17局6公司设备需求情况。</t>
  </si>
  <si>
    <t>9标为机械化施工试验标段。</t>
  </si>
  <si>
    <t>2025-11-03 20:57:04</t>
  </si>
  <si>
    <t>XM-2025110320607</t>
  </si>
  <si>
    <t>中铁十七局潮州至南昌高速福建三明段A7标</t>
  </si>
  <si>
    <t>1、项目全长约96.006公里，建安投资约96.42亿元。
2、计划11月7日开标，分8个标，A7标有机械化施工要求。A7 标段的大坪隧道进口端作为隧道全机械施工试验工点，经费500万。</t>
  </si>
  <si>
    <t>A7 标段的大坪隧道进口端作为隧道全机械施工试验工点，经费500万。</t>
  </si>
  <si>
    <t>99.6000000000</t>
  </si>
  <si>
    <t>三明昌潮高速公路有限责任公司</t>
  </si>
  <si>
    <t>中交第一公路勘察设计研究院</t>
  </si>
  <si>
    <t>ZYS113-2-(/);MT141-2-(/);</t>
  </si>
  <si>
    <t>1、对接中铁17局6公司设备部龙部长，他们证在招劳务标，首选劳务队自带，如他们采购，必须有回购的采购要求，咨询了特装事业部，2年后的回购残值不高于15%。12-8
2、中铁17局已明确由劳务队带设备进场施工，劳务招标计划在1月份进行。12-29
3、计划于2026年1月20日与中铁17局6公司组织特装产品技术交流会。2026-1-16
4、待劳务招标，由劳务队带设备进场施工，2026-2-13
5、与工程局在项目部做了隧道施工大机配套技术交流，需求两套。2026-3-30</t>
  </si>
  <si>
    <t>跟进项目设备需求进展。</t>
  </si>
  <si>
    <t>1、开标日期由10月30日推迟至11月7日，系统内中铁12局、大桥局、14局、16局、17局、22局跟进较为积极。
2、计划11月7日开标，分8个标，A7标有机械化施工要求。A7 标段的大坪隧道进口端作为隧道全机械施工试验工点，经费500万。
3、中铁17局6公司中标A7标，有隧道施工设备需求，招标公式中，2025-11-13
4、拜访了中铁17局6公司设备部龙部长，他们提出大机配套有回购的采购要求，咨询了特装事业部，2年后的回购残值不高于15%.，2025-11-25</t>
  </si>
  <si>
    <t>2025-03-25 21:36:01</t>
  </si>
  <si>
    <t>XM-2025032519021</t>
  </si>
  <si>
    <t>厦门九龙江北溪引水左干渠提升改造工程</t>
  </si>
  <si>
    <t>1、九龙江北溪引水左干渠提升改造工程，总投资182800万元
2、龙屿节制闸至过芸溪段：新建输水通道总长约 5.43 千米，其中海沧水厂上游段隧洞长 3.62 千米，海沧水厂下游段隧洞长 1.72 千米，输水箱涵长 0.09 千米。
-深青溪至杏林取水口段：新建输水通道总长约 5.44 千米，其中隧洞长 4.58 千米，输水箱涵长 0.86 千米。
3、隧道计划采用管片外径6.2米盾构机施工，主要穿越的地层有残积砂质粘性土、全风化花岗岩、散体状强风化花岗岩、碎裂状强风化花岗岩、中风化花岗岩。</t>
  </si>
  <si>
    <t>预计采用6.2米管片外径的盾构机，总隧道总长约10公里。</t>
  </si>
  <si>
    <t>18.0000000000</t>
  </si>
  <si>
    <t>厦门市政原水运营公司</t>
  </si>
  <si>
    <t>上海市政设计院</t>
  </si>
  <si>
    <t>ZTE6430-1-(2026-03-31);ZTE5630-2-(/);</t>
  </si>
  <si>
    <t>1、对接设计院，拿到了项目可研资料。
2、预计在2025年7月份招水闸标。
3、对接上海市政院，根据业主要求，涉铁区间单独拎出来，则盾构段分为三个区间了，需求2台ZTE6480，1台ZTE5580，预计在10月份招盾构段标，2025-6-27
4、九龙江左干渠盾构标分两个，一个5亿多，一个4亿，预计在11月20日招标。资质设一级水利，一级市政，业绩要求：盾构长度不少于3公里。2025-10-13
5、因涉铁事宜处理耽误，盾构段招标预计推迟至2026年4月份，2026-2-13
6、此项目为专项债项目，资金情况预计在3月底能明确下来，招标预计在6月份左右进行，2026-3-30</t>
  </si>
  <si>
    <t>1、对接业主，跟进项目进展；
2、配合系统内单位跟进。</t>
  </si>
  <si>
    <t>核心问题：系统内单位能否中标；
工作思路：积极跟进项目进展，业主计划在6月份招标，协助系统内单位承揽项目；
关键点：1台6.2米管片外径盾构机，此型号盾构机闲置设备偏多，我司租赁方案是否具备竞争优势；5.3米管片外径盾构机是否具备价格优势。
行动计划：积极跟进项目进展，落实开标时间，配合系统内单位投标。</t>
  </si>
  <si>
    <t>2024-03-18 21:50:49</t>
  </si>
  <si>
    <t>XM-2024031816424</t>
  </si>
  <si>
    <t>福建“一库三线”项目</t>
  </si>
  <si>
    <t>1、闽江口城市水资源配置提质增效（一库三线）工程，该工程向福州主城区、滨海新城、莆田等地供水，总体布局为“一库三线”，即在大樟溪新建龙湘大型水库；新建福州主城区、滨海新城及莆田3条输水线路，线路总长约166.5公里，其中新建约76.5公里。
2、初步投资匡算约192亿元。</t>
  </si>
  <si>
    <t>8.6米盾构机一台，穿乌龙江，区间长度约2公里；4.5米TBM一台，莆田境内，区间长度约17.7公里；1.8~2米顶管机十来台</t>
  </si>
  <si>
    <t>192.0000000000</t>
  </si>
  <si>
    <t>福州水务集团有限公司、莆田市水务集团有限公司</t>
  </si>
  <si>
    <t>福州城建设计研究院有限公司、福建省水利水电勘测设计研究院有限公司</t>
  </si>
  <si>
    <t>ZTP3700-2-(/);ZTS8300-1-(/);ZTT4500-1-(/);</t>
  </si>
  <si>
    <t>2027-12-01</t>
  </si>
  <si>
    <t>1、拜访福州市水利投资集团有限公司总工，根据你项目进展，福建水投为一库三线中的福州线和滨海线业主单位；
2、此项目需要水利部批准，手续变繁琐了，预计在2025年年底启动招标工作。
3、2025年3月14日完成规划报批评审工作，预计在2026年年中施工招标。
4、可行性研究报告通过初审：2025年2月24日至25日。
5、2025年3月24日，福州市水利局召开了“一库三线”工程2025年第2次前期工作协调推进会议。
6、此项目已完成省水利厅的可研报批，计划9月前完成太湖流域可研报批，争取在年底前完成水利部可研报批，2025-6-23
7、与中铁18局隧道公司拜访省水电院。2025-7-22
8、拜访了省水电院，可研初稿编制中，2025-8-11
9、可研审批初稿已提交太湖流域审批，2025-8-21
10、拜访设计院，福建院，暂时无进展 2025-5-2
11、可研初稿已过省水投评审，计划下周报送太湖流域审批。2025-9-21
12、我司给设计院提供了泥水盾构机方案，我司设计负责人谢蛟，2025-10-30
13、福州段穿乌龙江盾构机有计划改顶盾施工。2025-11-27
14、项目可研被退回，要求根据水利部最新的投资要求重新提报预可研资料，项目预计推迟至2027年年中才能启动招标工作。2025-12-8
14、本周无进展，2026-3-30</t>
  </si>
  <si>
    <t>持续跟进。</t>
  </si>
  <si>
    <t>核心问题：中铁建是否能拿到福州段盾构机穿江标段，中铁装备有两台8.6米泥水盾构机在福州存放（福州滨海快线退下来的，在闽侯乾达重工存放），工程标什么时候开；莆田段TBM方案是否能落地。
工作思路：积极跟进落实项目进展，与系统内单位分享配合项目进展信息，配合各单位跟进，预计2026年第二季度开标。
关键点：8.6米泥水盾构机，我司无相关设备，中铁装备、中交天和有设备，可否使用土压改造。
行动计划：拜访设计院、业主单位，跟进项目进展，积极配合系统内单位，协助项目承揽。</t>
  </si>
  <si>
    <t>2024-08-17 22:47:47</t>
  </si>
  <si>
    <t>XM-2024081717582</t>
  </si>
  <si>
    <t>福州地铁第3轮规划（6号线西延线）</t>
  </si>
  <si>
    <t>福州市轨道交通6号线西延线工程起于洪塘站，终于潘墩站（不含）。线路全长约13.6km，共设车站9座，平均站间距1.486km；全线均为地下敷设。投资总额约135.08亿元
2、业主组成：
业主单位：福州地铁集团，
设计单位：福州地铁轨道交通设计院</t>
  </si>
  <si>
    <t>线路全长约13.6km，共设车站9座，平均站间距1.486km；全线均为地下敷设。</t>
  </si>
  <si>
    <t>135.0800000000</t>
  </si>
  <si>
    <t>福州地铁集团</t>
  </si>
  <si>
    <t>福州地铁轨道交通设计院</t>
  </si>
  <si>
    <t>ZTE6410-6-(/);</t>
  </si>
  <si>
    <t>2027-03-30</t>
  </si>
  <si>
    <t>1、2023年12月份国家发改委批准了福州地铁第三轮规划；
2、2024年5月7日~9日组织了福州地铁第三轮规划评审；
3、2024年8月24日，我司董事长拜访福州地铁集团董事长。
4、2024年9月13日，我司与福州地铁集团组织盾构机新技术交流会。
5、2024年9月底，施工用地审批有序已批准。
6、预计在2025年9月份招标。
7、福州地铁第3轮规划（6号线西延线、3号线、S1线）建规报批被退回来了，就在五一节后这几天。听说这次是全国性的，没有开工建设的项目都被退回来了。发改委要修编，听说今年年底能出新的规范，要待新的规范下来后再重新申报。所以福州地铁第3轮最快也要到明年年底才能启动，2025-5-23
8、福州第3轮规划报批被退回，预计2026年年初能重新提报，争取在2026年年底能批复。2025-6-14
9、项目无新进展。2025-8-21
10、项目无新进展。2025-10-21
11、福州第三轮规划因在运营的地铁上座率不够，被再次退回了，现申请取消。如后续再启动，重新申报。2025-12-23
12、本周无新进展，2026-3-30</t>
  </si>
  <si>
    <t>1、对接福轨院，了解项目设计进展；
2、对接福州地铁集团，跟进项目施工招标进展；
3、对接福州地铁实业，落实盾构机转租、转售。</t>
  </si>
  <si>
    <t>可行性研究报告获批</t>
  </si>
  <si>
    <t>核心问题：是否能销售、租赁盾构机，采用什么模式。
工作思路：积极对接福州地铁实业公司，推进盾构机转销、转租。
关键点：与福州地铁实业合作，推进盾构机转销、转租模式，策划新机需求。
行动计划：拜访福州地铁公司相关部门和福轨院，跟进项目进展情况。</t>
  </si>
  <si>
    <t>2024-08-17 23:30:25</t>
  </si>
  <si>
    <t>XM-2024081717583</t>
  </si>
  <si>
    <t>厦门轨道交通3期（9号线二期）</t>
  </si>
  <si>
    <t>1、线长18.8km，设站14座，设停车场一座；
2、跨海段采用管片外径11.8米泥水平衡盾构机施工，区间长度2.7公里，需求1台，业主于2024年8月24日组织了盾构机选型评审会。
3、业主单位：铁一院；业主单位：厦门轨道交通</t>
  </si>
  <si>
    <t>18.8km、14站、全地下敷设</t>
  </si>
  <si>
    <t>405.0000000000</t>
  </si>
  <si>
    <t>厦门轨道交通建设集团</t>
  </si>
  <si>
    <t>铁一院</t>
  </si>
  <si>
    <t>ZTS12400-1-(/);</t>
  </si>
  <si>
    <t>2026-10-31</t>
  </si>
  <si>
    <t>1、拜访业主单位、设计院及中铁建福建经营部，跟进项目进展；
2、项目核准暂未批复，预计在2025年第三季度招标。
3、厦门第3轮规划（9号线2期、5号线、8号线）建规报批被退回来了，就在五一节后这几天。听说这次是全国性的，没有开工建设的项目都被退回来了。发改委要修编，听说今年年底能出新的规范，要待新的规范下来后再重新申报。所以厦门地铁第3轮最快也要到明年年底才能启动，2025-5-23
4、厦门第三轮申请被接收，9号线二期预计在2026年第二季度招标，跨海段2.7公里采用11.8米管片外径泥水盾构机施工。配合系统内单位开展土建施工承揽，重点放在跨海11.8米泥水盾构机。2025-12-29
5、暂无新进展，2026-3-30</t>
  </si>
  <si>
    <t>与业主单位、设计院紧密联系</t>
  </si>
  <si>
    <t>核心问题：系统内单位能否中标
工作思路：积极跟进项目进展，业主计划在2025年8月份招标，协助系统内单位承揽项目。
关键点：1台11.8米管片外径泥水盾构，第三轮规划的5号线跨海段是否会选用此型号盾构机，此项目中标单位盾构机是新购还是改造。
行动计划：积极跟进项目进展，落实开标时间，配合系统内单位投标。</t>
  </si>
  <si>
    <t>2023-06-03 13:55:02</t>
  </si>
  <si>
    <t>XM-2023060313944</t>
  </si>
  <si>
    <t>上饶至浦城高速公路（福建段）</t>
  </si>
  <si>
    <t>路线规划：起于闽赣交界浦城县盘亭乡界牌村（顺接已通车的江西段），终于官路乡河村村，衔接 G3 京台高速，全长 19.008 公里（较原规划缩短约 10 公里）。
建设标准：双向四车道高速公路，设计时速 100km/h，路基宽度 26 米，桥隧比例 57.7%（桥梁 16 座 / 5937.5 米、隧道 2 座 / 5030 米），设盘亭互通、官路枢纽互通 2 处，浮盖山服务区（兼高速出入口）1 处。</t>
  </si>
  <si>
    <t>上饶至浦城高速公路（福建境内）共有6座隧道，总长度为2500米‌‌。</t>
  </si>
  <si>
    <t>30.0000000000</t>
  </si>
  <si>
    <t>南平市高速公路有限责任公司</t>
  </si>
  <si>
    <t>HZS120-2-(/);</t>
  </si>
  <si>
    <t>CNY 1,500,000.000</t>
  </si>
  <si>
    <t>1、目前中铁建二十局，十四局，十八局都在接触南平市政府和交投，拟引进工程投资平台公司来筹集资金。根据2025年3月赣闽专项会议决议，上浦高速福建段已成立专项项目公司，正推进工程可行性研究阶段筹备工作，计划在"十五五"规划期初期开工建设。2026-1-16
2、暂无新进展 2026-3-30</t>
  </si>
  <si>
    <t>暂缓跟进，保持关注项目进展。</t>
  </si>
  <si>
    <t>目前中铁建二十局，十四局，十八局都在接触南平市政府和交投，拟引进工程投资平台公司来筹集资金。</t>
  </si>
  <si>
    <t>陆顺</t>
  </si>
  <si>
    <t>2023-06-03 14:00:36</t>
  </si>
  <si>
    <t>XM-2023060313939</t>
  </si>
  <si>
    <t>沈海高速福厦段二期扩容工程</t>
  </si>
  <si>
    <t>主线设有桥梁71007.5米/37座，隧道长度为1000米/2座（扩建后）。莆炎高速与莆永高速联络线部分，桥梁长度为8971米/9座，隧道长度为2020米/1座。</t>
  </si>
  <si>
    <t>高架路面扩宽为主，隧道扩建较少</t>
  </si>
  <si>
    <t>120.0000000000</t>
  </si>
  <si>
    <t>福建省高速公路集团有限公司</t>
  </si>
  <si>
    <t>1、2025年5月15日在北京召开工可修编方案咨询评估，围绕交通量分析预测、技术标准拟定、建设方案设计、交通组织模式规划及财务分析等核心内容展开深度研讨，其中很明确表示，要进行探索“上客下混”通行模式，即上层高速为客车通道，而下层为客车与货车混合通道。预计2026年启动建设。2026-1-16
2、此项目列入了省重点启动项目，2026-3-30</t>
  </si>
  <si>
    <t>项目推进缓慢，暂缓跟进。</t>
  </si>
  <si>
    <t>已初步对接设计单位了解项目实时进展。</t>
  </si>
  <si>
    <t>2023-06-04 20:49:20</t>
  </si>
  <si>
    <t>XM-2023060413979</t>
  </si>
  <si>
    <t>福州地铁3轮规划（S1线祥谦至福清）</t>
  </si>
  <si>
    <t>1、在福州主城区范围内共设置福州南站、祥谦站、中央公园站、汽车城站、东台工业园站5个站点；
2、在福清内主要沿福百路走向，设置清繁大道站、清荣大道站、清昌大道站、创业大道站、福清站5个站点。线路长约40km，S1线将与F1线在祥谦站互联互通，可以实现福清市区、福州南站与长乐机场的直连。</t>
  </si>
  <si>
    <t>福州市内：其中两座长大隧道（1km、5.8km），1km隧道暂定为矿山法施工。5.8km隧道（穿山、硬岩）计划采用TBM施工。福清市内：其中4.2km（1km软土（未完全探明），2.2km（穿山硬岩），1km穿越既有火车站场（考虑沉降）），计划采用双模或利用风井进入土压、TBM进行开挖</t>
  </si>
  <si>
    <t>160.0000000000</t>
  </si>
  <si>
    <t>福州轨道交通设计院</t>
  </si>
  <si>
    <t>土压平衡盾构机/单护盾TBM-5-(/);</t>
  </si>
  <si>
    <t>1、2024年5月7~9号福州地铁召开第3轮规划建规报批
2、2024年10月份土地施工用地已批复。
3、第3轮规划报批被退回，预计2026年年初能重新提报，争取在2026年年底能批复 2025-6-5
4、此项目暂无进展。2025-9-8
5、无新进展，持续跟进，2026-3-13</t>
  </si>
  <si>
    <t>2021-03-22 16:17:26</t>
  </si>
  <si>
    <t>XM-202103225455</t>
  </si>
  <si>
    <t>沈海联络线泉（州）梅（州）高速公路泉州段</t>
  </si>
  <si>
    <t>1、泉梅高速（泉州段）：起于沈海高速黄塘互通，向西经洛江区、南安市，于码头镇铺前村西侧设铺前枢纽汇入现状泉南高速。将原泉南高速由6车道双侧拓宽至8车道，止于永春互通。
2、路线全长58.243Km，其中新建里程37.251Km，原位扩容里程20.992Km。隧道4048米/4座，隧道占路线里程7.07%，工程投资估算为95.1334亿元。
3、业主单位：泉州市泉三高速公路投资有限责任公司</t>
  </si>
  <si>
    <t>隧道4048米/4座</t>
  </si>
  <si>
    <t>隧道装备研发运营中心</t>
  </si>
  <si>
    <t>95.1334000000</t>
  </si>
  <si>
    <t>泉州市泉三高速公路投资有限责任公司</t>
  </si>
  <si>
    <t>1、项目处于前期研究阶段。拜访福建交规院了解相关情况。
2、目前设计院还在做前期设计勘察，项目可研已通过。
3、福建省交通运输厅 2025 年 4 月 30 日发布的信息，沈海联络线泉（州）梅（州）高速公路泉州段已完成 “工可” 审查，
4、泉州市正在按要求优化方案和修编 “工可”。根据泉州公布的 2025 年重点项目安排，泉梅高速预计建设周期为 2026-2029 年。
5、项目无新进展。2025-8-21
6、交通运输部出具关于 G1532 泉梅高速泉州段工程建设资金安排意见，拟安排中央交通运输领域重点项目资金 14.96 亿元，标志着该项目前期工作取得重大突破， 2025年9月8日。
7、暂无新进展，2025-11-13
8、业主回复预计在明年第二季度招标，2025-12-8
9、本周无新进展，2026-1-16
10、2026 年福建省与泉州市均将该项目列入年度拟开工重点高速，明确年内启动建设，工期约 4 年，预计 2029 年建成通车 2026-3-23</t>
  </si>
  <si>
    <t>继续跟踪</t>
  </si>
  <si>
    <t>核心问题：项目模式确定、开工时间确定。
工作思路：依靠系统内单位运作，关注招标中标情况。
关键点：摸清中标后的各单位搅拌站需求和劳务情况。
行动计划：拜访系统内单位和福建省高速指挥部，了解情况。2025年下半年预计施工招标，搅拌站需求</t>
  </si>
  <si>
    <t>2021-07-10 14:16:49</t>
  </si>
  <si>
    <t>XM-202107107455</t>
  </si>
  <si>
    <t>闽西南水资源配置工程</t>
  </si>
  <si>
    <t>1、闽西南引水工程
1.1、工程总体布局为 “两库两闸三线”，总投资 342 亿元。“两库” 分别是漳平浙溪大型水库、华安罗溪中型水库；“两闸” 为九龙江北溪水闸和西溪桥闸；“三线” 为棉花滩、漳州和厦泉等 3 条输水线路。其中泉厦支线，棉花滩支线隧洞会用到TBM施工，TBM隧洞约100公里。预计在2026年下半年启动施工招标工作。
1.2项目名称：闽西南水资源配置工程。 
相关单位：业主单位：省水投集团；设计单位：省水利水电设计院。
建设地点：龙岩市、漳州市、厦门市、泉州市。 
建设内容：工程由新建水库和输水工程组成。
设备需求：预计采用10台5至7米硬岩掘进机，5台3米~5米硬岩掘进机。</t>
  </si>
  <si>
    <t>初步规划采用3~8米洞径，2、3、4类围岩，100到200兆帕，地下水丰富，TBM施工隧洞总长约150公里。</t>
  </si>
  <si>
    <t>水利水电</t>
  </si>
  <si>
    <t>342.0000000000</t>
  </si>
  <si>
    <t>福建水投</t>
  </si>
  <si>
    <t>福建省水利水电勘察设计院</t>
  </si>
  <si>
    <t>3~8米-15-(2027-12-01);</t>
  </si>
  <si>
    <t>2027-09-01</t>
  </si>
  <si>
    <t>1、我司已与福建水电院完成两轮TBM技术交流，及时跟进规划进展；
2、福建与广东已解决水资源争执已解决，项目重新启动。
3、2025年3月19日，省水利厅党组成员、副厅长余德贵召开闽西南水资源配置工程前期工作推进视频会，12月项目可研报告送水利部审查、2026年底项目开工建设
4、2025年3月19日，省水利厅党组成员、副厅长余德贵召开闽西南水资源配置工程前期工作推进视频会。会议通报了分水方案、用水需求、规划环评依据等进展情况，并明确了工作目标，即围绕今年12月项目可研报告送水利部审查、2026年底项目开工建设的目标，加快工程总体布局和规模论证、规划环评及可研报告前置专题报告编审工作，尽早完成可研立项。
5、拜访福建省水电设计院，闽西南新增了漳浦-云霄输水隧道，约51公里，采用3台TBM施工。此项目争取在年底前完成省水利厅审批，在明年3月份完成太湖流域报批，在2026年年中完成水利部项可研报批。2025-6-14
6、陪同中铁19局拜访省水电设计院。
7、陪同中铁18局隧道公司拜访省水电设计院。
8、工程总体布局为 “两库两闸三线”，总投资 342 亿元。“两库” 分别是漳平浙溪大型水库、华安罗溪中型水库；“两闸” 为九龙江北溪水闸和西溪桥闸；“三线” 为棉花滩、漳州和厦泉等 3 条输水线路。其中泉厦支线，棉花滩支线隧洞会用到TBM施工，TBM隧洞约100公里。预计在2026年年中完成水利部项可研报批，在2027年年初启动施工招标工作。
业主单位：省水投集团；设计单位：省水利水电设计院。
设备需求：预计采用5～8台5至7米硬岩掘进机，3台3米硬岩掘进机。2025-8-11
9、拜访设计单位，漳州漳浦支线，6公里，有计划从钻爆法改TBM施工，开挖直径5米，2021-8-15
10、本周设计院组织了闽西南引水工程可研二次专家评审，与我司相关的为TBM隧道未提出异议，2025-9-17
11、预计采用10台5至7米硬岩掘进机，5台3米~5米硬岩掘进机，2025-10-30
12、拜访省水电设计院，可研报批被退回，资料需根据水利部最新要求重新编制，从预可研开始重走报批手续，争取在2016年年底完成科研报批。2025-12-23
13、项目规划建议书审批中，2026-3-30</t>
  </si>
  <si>
    <t>拜访福建省水利水电设计院，跟进项目进展，预计2025年12月可研报批。</t>
  </si>
  <si>
    <t>核心问题：
什么时候能重新启动，采用多少台TBM及钻爆法施工设备；
工作思路：
积极对接福建省水利水电设计院，跟进项目进展，配合系统内单位承揽项目；
关键点：
项目是否能重新启动，采用TBM施工及钻爆法施工工程量，
行动计划：
积极落实项目进展，配合设计院完成项目隧道设计工作。</t>
  </si>
  <si>
    <t>2021-03-22 16:17:25</t>
  </si>
  <si>
    <t>XM-202103225449</t>
  </si>
  <si>
    <t>厦漳泉R1线</t>
  </si>
  <si>
    <t>1、厦漳泉 R1 线项目总投资最终确定为约695.7 亿元。该线路全长 175.04 公里，途经泉州、厦门、漳州三地。
2、业主单位，厦门：厦门地铁集团，漳州：漳州铁路投资有限公司，泉州：泉州轨道交通集团，总规划设计院是总铁二院。
3、全线正线中桥梁长度 88.278 公里，隧道长度 78.111 公里，结合全长 175.04 公里计算，桥梁占比约 50.4%，隧道占比约 44.6%，剩余约 5% 为路基（路基长度 5.797 公里）。
4、中国铁建股份成立的专班，厦门专班：成员单位中铁十二局、中铁十四局、中铁海峡（中铁22局3公司）；漳州专班：中铁建漳州公司（中铁十二局）、中铁十五局、中铁二十二局、中铁十八局（新增）；泉州专班：中铁建泉州公司（中铁建大桥局），中铁十七局，中铁二十局，中铁十六局（新增）、中铁二十四局（新增）。</t>
  </si>
  <si>
    <t>线路全长约206KM</t>
  </si>
  <si>
    <t>轨道交通-12</t>
  </si>
  <si>
    <t>695.7000000000</t>
  </si>
  <si>
    <t>厦门轨道交通集团有限公司、泉州轨道交通集团有限公司、漳州轨道交通集团有限公司</t>
  </si>
  <si>
    <t>ZTS8300-10-(2026-12-01);ZTS12960-4-(2026-12-01);ZTE8300-29-(2026-12-01);</t>
  </si>
  <si>
    <t>2025.5.14 集团贺总、韩总、华东区域张总拜访泉州轨道交通集团陈董事长、马总经理。
2025.6.11 拜访厦门轨道合约部惠部长，确认厦门 R1 线无强制使用厦工中铁盾构机要求；厦门先期标 9 月招标，含涠洲湾大桥、大登岛明挖段、4 个盾构井，全线年底前大标段开标，以股份公司名义投标。
2025.6.16 与中铁十二局拜访漳州交发陈总工，漳州拟 3 个大标段招标；同步拜访铁二院漳州分院，获取厦漳泉 R1 线全线可研报批最终稿。
2025.6.27 拜访铁二院泉州院，泉州段年内全线动工，池店 — 东海新区盾构段预计 9 月招标。
中铁建股指成立 R1 线项目专班：
厦门：中铁十二局、十四局、中铁海峡（22 局 3 公司）
漳州：中铁建漳州公司（十二局）、十五局、二十二局、十八局
泉州：中铁建泉州公司（大桥局）、十七局、二十局、十六局、二十四局
2025.7.15 拜访中铁十五局漳州专班；7.24 中铁二十局泉州专班进驻。
泉州先期标 1 个车站预计 8 月开标，剩余土建约 150 亿 10 月招标。
初次拜访漳州铁路投资有限公司林总经理。
2025.8.6 韩总拜访泉州交发，业主不强制指定盾构机品牌。
2025.8.21 泉州先期标（池店车站）、厦门先期标（石井站 — 翔安机场站明挖区间，1.66 亿）、漳州先期标（龙海站）同步挂网。
参加漳州段盾构专题会。
2025.9.21 先期标结果：泉州中建三局、厦门中铁一局、漳州中交隧道局。
2025.11.23 月底启动初步设计评审，土建招标需施工图完成后开展，预计由年底推迟至 2026 年二季度。
2026.1.16 与铁一院对接，厦门段出岛隧道拟用泥水 / TBM 双模盾构，重新提交客户需求信息。
2026.2.13 拜访中铁建福建股指，R1 线预计 2026 年 6 月招标。近期有消息称盾构直径改回 8 米 3，2月4日组织了进出岛隧道施工专家会。
2026.3.15 厦漳泉R1线全线要求在6月份动工，预计在5月份招标。
2026.3.30 整理国内8.3米、8.6米盾构机存量。</t>
  </si>
  <si>
    <t>配合铁建股指承揽项目</t>
  </si>
  <si>
    <t>核心问题：泉州段什么时候开标，采用什么模式销售、租赁盾构机。
工作思路：积极对接泉州轨道交通集团，探索盾构机转销、转租模式。
关键点：说服泉州轨道交通集团采纳盾构机转销、转租模式，签订合作协议。
行动计划：尽快促成双方高层拜访。</t>
  </si>
  <si>
    <t>2025-08-11 08:54:11</t>
  </si>
  <si>
    <t>XM-2025081120013</t>
  </si>
  <si>
    <t>合流污水支线1.4标</t>
  </si>
  <si>
    <t>区间长度874m，56m小转弯，前期已报价，初定竞争性谈判模式，预计年底启动</t>
  </si>
  <si>
    <t>区间长度874m，56m小转弯，ZTE4330-1</t>
  </si>
  <si>
    <t>上海</t>
  </si>
  <si>
    <t>0.2000000000</t>
  </si>
  <si>
    <t>上海城投水务集团有限公司</t>
  </si>
  <si>
    <t>ZTE4300-1-(/);</t>
  </si>
  <si>
    <t>赵宇瑄</t>
  </si>
  <si>
    <t>穆华清</t>
  </si>
  <si>
    <t>支线1.4标，2026年12月进场，区间长度874m，56m小转弯，前期已报价，客户拟分包给上海力行，力行打包价约22000元/m，包含人工及盾构、后配套、行车吊装等设备</t>
  </si>
  <si>
    <t>与上海城建进一步测算施工成本，推动城建自己施工</t>
  </si>
  <si>
    <t>2025-11-14 17:28:39</t>
  </si>
  <si>
    <t>XM-2025111420712</t>
  </si>
  <si>
    <t>上海轨道交通19号线</t>
  </si>
  <si>
    <t>中交隧道局4台ZTE6830 (2027-5-1);区间长度单线1200米+1300米
上海基础4台ZTE6830 (2027-6-30);区间长度单线400（370米转弯）+780（380米转弯）+660（400米转弯）+1030（350米转弯）+1145（450米转弯）米；
中铁十四局1台6.6米土压盾构，区间长度单线1644米（一级重大）</t>
  </si>
  <si>
    <t>3.0000000000</t>
  </si>
  <si>
    <t>上海申通地铁集团有限公司</t>
  </si>
  <si>
    <t>2027-01-31</t>
  </si>
  <si>
    <t>1、其他标段4月13日前与项目对接，了解设备筹备情况
2、上海基础4月3日前出具DZ176-178维修改造方案及报价
3、上海基础4月10日前与王凯进行商务交流</t>
  </si>
  <si>
    <t>2025-08-15 10:20:59</t>
  </si>
  <si>
    <t>XM-2025081520064</t>
  </si>
  <si>
    <t>上海轨道交通27号线（浦南线）</t>
  </si>
  <si>
    <t>起点陆家嘴，终点临港自贸区金融湾，一期位于浦东新区内，全长79公里，设车站14座。</t>
  </si>
  <si>
    <t>上海隧道院</t>
  </si>
  <si>
    <t>2027-12-31</t>
  </si>
  <si>
    <t>CNY 130,000,000.000</t>
  </si>
  <si>
    <t>已对接上海隧道院，线路处于设计阶段，预计2026年施工招标，此线路已纳入四期规划</t>
  </si>
  <si>
    <t>定期与上海隧道院沟通，跟进项目最新情况</t>
  </si>
  <si>
    <t>2025-08-15 10:18:46</t>
  </si>
  <si>
    <t>XM-2025081520063</t>
  </si>
  <si>
    <t>燃气过江隧道</t>
  </si>
  <si>
    <t>过江管隧道长度16.3~17.2km。隧道外直径4~4.8m，隧道底板最大埋深约-68m</t>
  </si>
  <si>
    <t>上海燃气公司</t>
  </si>
  <si>
    <t>城建院</t>
  </si>
  <si>
    <t>2027-08-31</t>
  </si>
  <si>
    <t>与S7公路隧道平行，前期可研阶段，业主与设计院来司考察和技术交流，效果良好，后续将配合施工单位跟进项目。</t>
  </si>
  <si>
    <t>1、4月3日拜访上海城建院跟进最新进展</t>
  </si>
  <si>
    <t>2025-08-16 10:28:05</t>
  </si>
  <si>
    <t>XM-2025081620059</t>
  </si>
  <si>
    <t>上海原水西环线南北段项目焊接机器人设备</t>
  </si>
  <si>
    <t>原水西环线大概50km，35km是盾构内敷设钢管，DN3400mm管径</t>
  </si>
  <si>
    <t>电气与智能研究设计院</t>
  </si>
  <si>
    <t>0.0050000000</t>
  </si>
  <si>
    <t>2026-01-31</t>
  </si>
  <si>
    <t>CNY 1,000,000.000</t>
  </si>
  <si>
    <t>拟用焊接机器人设备，已与上海城投水务、上海基础、上海机施进行技术交流</t>
  </si>
  <si>
    <t>1、4月10日前约见上海城投水务，交流如何推动焊接机器人应用</t>
  </si>
  <si>
    <t>2026-01-25 16:53:31</t>
  </si>
  <si>
    <t>XM-2026012521261</t>
  </si>
  <si>
    <t>上海市临海电力项目</t>
  </si>
  <si>
    <t>位置在上海市闵浦大桥东西两侧，区间四段，5.2米盾构1.7km+7.8米盾构2km+2段6.6米盾构1.5km</t>
  </si>
  <si>
    <t>区间四段，5.2米盾构1.7km+7.8米盾构2km+2段6.6米盾构1.5km</t>
  </si>
  <si>
    <t>国家电网</t>
  </si>
  <si>
    <t>CNY 120,000,000.000</t>
  </si>
  <si>
    <t>拜访上海市政院，由市政一院负责前期，已前往北京国网多次论证，预计设计招标2026年底</t>
  </si>
  <si>
    <t>1、4月10日前拜访上海市政院了解最新进展；</t>
  </si>
  <si>
    <t>2021-07-23 19:08:29</t>
  </si>
  <si>
    <t>XM-202107237599</t>
  </si>
  <si>
    <t>上海南北通道</t>
  </si>
  <si>
    <t>大盾构区间约13.5千米，单管双层布置，圆隧道外径15米，内径13.7米。最小转弯半径500米。</t>
  </si>
  <si>
    <t>浦西段2.25千米，越江段2.26千米，共线段5.5千米，浦东段3.5千米</t>
  </si>
  <si>
    <t>公路</t>
  </si>
  <si>
    <t>6.0000000000</t>
  </si>
  <si>
    <t>上海城投公路投资集团有限公司</t>
  </si>
  <si>
    <t>由于南北通道规划区间有360m小转弯，原有盾构可能涉及改造。上海隧道自有3台泥水/土压，上海基础自有1台泥水。目前南北通道浦西段基坑已中标公示，上海建工中标</t>
  </si>
  <si>
    <t>1、4月30日前拜访业主了解最新进展；</t>
  </si>
  <si>
    <t>丁艳林</t>
  </si>
  <si>
    <t>2021-10-21 09:52:43</t>
  </si>
  <si>
    <t>XM-202110218365</t>
  </si>
  <si>
    <t>上海市南枫线</t>
  </si>
  <si>
    <t>自南汇支线金融服务区站，经上海自贸区临港新片区，奉贤奉城镇，奉贤新城，金山区亭林镇，朱泾镇，枫泾镇，至枫泾站。全长93公里，隧道27公里</t>
  </si>
  <si>
    <t>27公里隧道</t>
  </si>
  <si>
    <t>280.0000000000</t>
  </si>
  <si>
    <t>上海申铁</t>
  </si>
  <si>
    <t>中铁上海设计院</t>
  </si>
  <si>
    <t>中铁上海院总体设计，目前初设已初步完成，预计招标时间为2026年下半年</t>
  </si>
  <si>
    <t>1、4月25日前拜访业主、设计院跟进施工招标动态变化；
2、4月底前梳理同规格设备市场动向。</t>
  </si>
  <si>
    <t>2026-01-25 16:48:37</t>
  </si>
  <si>
    <t>XM-2026012521270</t>
  </si>
  <si>
    <t>上海城建库管1.6标</t>
  </si>
  <si>
    <t>青草沙-陈行库管连通工程KG1.6标一井一区间，3444m，隧道外径φ6200mm，内径φ5500mm，为单线隧道。平面最小转弯半径R=500m</t>
  </si>
  <si>
    <t>0.3000000000</t>
  </si>
  <si>
    <t>上海城投水务</t>
  </si>
  <si>
    <t>1、上海城建市政意向租赁单价4000元/延米，我司给出报价4500元/米，事业部建议在4350元/m能成交
2、竞争对手上海力行、辽宁三三、天津一重，客户倾向于上海力行</t>
  </si>
  <si>
    <t>1、在设备确定前持续跟进城建市政与各单位洽谈情况，如有机会及时采取策略</t>
  </si>
  <si>
    <t>2025-08-15 10:16:38</t>
  </si>
  <si>
    <t>XM-2025081520062</t>
  </si>
  <si>
    <t>蒙电入沪</t>
  </si>
  <si>
    <t>库布齐—上海±800千伏特高压GIL管廊工程隧道总长11.3km，江中段约10km，管片外径初定12.5m</t>
  </si>
  <si>
    <t>国家电网上海分公司</t>
  </si>
  <si>
    <t>2026-11-30</t>
  </si>
  <si>
    <t>CNY 80,000,000.000</t>
  </si>
  <si>
    <t>中铁隧道局与上海隧道院配合密切，中铁隧道局在北沿江高铁项目已建成的管片厂等配套设备可直接投入该项目使用，14局也在跟进，拜访隧道院管院长，土建预计2026年上半年招标，2026年底进场</t>
  </si>
  <si>
    <t>1、4月10日前与上海隧道院跟进项目招标情况；
2、4月30日前与业主建立联系
3、4月30日前与十四局大盾构公司对接联系，共同推进项目落地</t>
  </si>
  <si>
    <t>中铁隧道局与上海隧道院配合密切，中铁隧道局在北沿江高铁项目已建成的管片厂等配套设备可直接投入该项目使用，14局也在跟进</t>
  </si>
  <si>
    <t>2025-04-28 15:57:52</t>
  </si>
  <si>
    <t>XM-2025042819326</t>
  </si>
  <si>
    <t>上海嘉闵线北延</t>
  </si>
  <si>
    <t>初步设计阶段，预计招标时间2026年底</t>
  </si>
  <si>
    <t>预计区间长度12km</t>
  </si>
  <si>
    <t>20.0000000000</t>
  </si>
  <si>
    <t>上海申铁建设集团有限公司</t>
  </si>
  <si>
    <t>2027-03-31</t>
  </si>
  <si>
    <t>施工单位待定，预估租赁2台9米土压盾构</t>
  </si>
  <si>
    <t>跟进施工标段招标时间</t>
  </si>
  <si>
    <t>2021-10-21 09:41:03</t>
  </si>
  <si>
    <t>XM-202110218363</t>
  </si>
  <si>
    <t>上海地铁20号线</t>
  </si>
  <si>
    <t>共设车站16座，全长28km，串联浦东新区三大功能区的南北向径向市区线</t>
  </si>
  <si>
    <t>6.6米土压盾构机凌兆新村站→东方体育中心1640m 11.3米泥水盾构区间224m</t>
  </si>
  <si>
    <t>393.0000000000</t>
  </si>
  <si>
    <t>上海申通地铁</t>
  </si>
  <si>
    <t>上海隧道工程轨道交通设计院</t>
  </si>
  <si>
    <t>上海基础4台ZTE6830 (2027-8-30);区间长度单线1700（450米转弯）+880米（375米转弯）+1070（380米转弯）+700（450米转弯）2台ZTE6830 (2027-12-30);区间长度单线1400（450米转弯）+1900米（600米转弯）
中铁十一局2台ZTE6830 (2027-4-30);初步了解使用23号线自有设备DZ360/361，18年初出厂
中铁十四局，已对接项目经理，需求4台6.6米土压盾构，区间长度单线830（300米转弯）+780+1300米（350米转弯）</t>
  </si>
  <si>
    <t>1、所有标段4月20日前与项目对接，了解设备筹备情况
2、上海基础标段4月3日前出具DZ176-178维修改造方案及报价
3、上海基础4月10日前与王凯进行商务交流</t>
  </si>
  <si>
    <t>2026-01-25 16:43:21</t>
  </si>
  <si>
    <t>XM-2026012521260</t>
  </si>
  <si>
    <t>上海原水西环线1.2标</t>
  </si>
  <si>
    <t>463m+100m,1台5.2米主动铰接土压盾构机</t>
  </si>
  <si>
    <t>0.4000000000</t>
  </si>
  <si>
    <t>已对接项目经理以及分包负责人，客户需求主动铰接5.2米土压盾构机，目前市场询价中，低价优先；已核实我司没有符合要求的设备</t>
  </si>
  <si>
    <t>1、4月3日前拜访项目经理，跟进客户询价情况，争取做维修改造</t>
  </si>
  <si>
    <t>2025-08-11 08:29:46</t>
  </si>
  <si>
    <t>XM-2025081120030</t>
  </si>
  <si>
    <t>上海路桥库管项目1.5标</t>
  </si>
  <si>
    <t>原水西环线北段起点，5#井-4#井区间长度2377m，管片内外径6200/5500，2026年底或27年初设备进场</t>
  </si>
  <si>
    <t>1.6km，6.2米管片外径小转弯土压盾构机</t>
  </si>
  <si>
    <t>ZTE6200-1-(2026-06-30);</t>
  </si>
  <si>
    <t>1、2027年4月进场
2、3月23日已报价，3485万井底交货</t>
  </si>
  <si>
    <t>1、4月3日前拜访上海路桥公用建设公司副总张涛，跟进各家报价情况（中交、装备、海瑞克）
2、根据了解的报价情况拜访上海路桥集团领导</t>
  </si>
  <si>
    <t>2025-11-05 14:43:33</t>
  </si>
  <si>
    <t>XM-2025110520640</t>
  </si>
  <si>
    <t>中铁十五局集团有限公司 2025-2026年度钢模板、挂篮模板、套筒、波纹管、锚杆等物资框架协议采购</t>
  </si>
  <si>
    <t>中铁十五局集团有限公司是一支位居世界500强第43位的中国铁建旗下的基建劲旅，是集设计、施工、科研为一体的国有建筑工程总承包企业，上海市首家拥有铁路工程施工总承包特级、公路工程施工总承包特级（两个）、市政公用工程施工总承包特级、建筑工程施工总承包特级的五特级企业。集团公司下设16个全资子公司，另设轨道交通运营公司、城建设计研究院2个分公司、8个区域总部，1个海外及央企（JM）事业总部。
在管理体制上，集团公司全面推行精细化管理模式，在做精做优工程主业的基础上，不断延伸产业链条，精心打造“深地空间、地下交通枢纽、智慧停车、新能源、城市更新、超高性能混凝土、铁建石油、运营维护、PC产业园、园林建筑”等“十大品牌”，培育成型八大业务板块，即工程承包板块、铁路运营板块、资本运营板块、房地产开发板块、物流贸易板块、工业制造板块、海外工程板块、勘察设计板块等，年施工能力达1000亿元以上。</t>
  </si>
  <si>
    <t>绿色建材-10</t>
  </si>
  <si>
    <t>4.6700000000</t>
  </si>
  <si>
    <t>中铁十五局集团有限公司</t>
  </si>
  <si>
    <t>带式输送机输送系统-1-(/);</t>
  </si>
  <si>
    <t>2025-11-17</t>
  </si>
  <si>
    <t>CNY 1.000</t>
  </si>
  <si>
    <t>陈浩</t>
  </si>
  <si>
    <t>已经与十五局集团签订了战略采购框架协议。</t>
  </si>
  <si>
    <t>完成战略采购框架协议的合同归档。</t>
  </si>
  <si>
    <t>2026-01-26 12:11:36</t>
  </si>
  <si>
    <t>XM-2026012621262</t>
  </si>
  <si>
    <t>福建马坑矿业液压掘进台车采购需求</t>
  </si>
  <si>
    <t>福建马坑铁矿需求3台液压掘进台车，已于2026年1月21日挂网，原计划2月5日开标，现延迟到2月27日开标。</t>
  </si>
  <si>
    <t>福建马坑矿业股份有限公司</t>
  </si>
  <si>
    <t>CYTJ45C-3-(2026-03-31);</t>
  </si>
  <si>
    <t>CNY 3,600,000.000</t>
  </si>
  <si>
    <t>福建马坑铁矿需求3台液压掘进台车，已于2026年1月21日挂网，2月27日开标。我司因发动机功率无法满足技术要求，同时福建亿钻代理华泰，经与事业部综合研判决定放弃投标。3月1日中标公示，浙江华泰375万中标。</t>
  </si>
  <si>
    <t>继续开展与马坑铁矿的高层对接，处理中深孔设备后续事宜。</t>
  </si>
  <si>
    <t>已对接马坑铁矿生产部和采购部。</t>
  </si>
  <si>
    <t>2024-03-02 21:01:27</t>
  </si>
  <si>
    <t>XM-2024030216331</t>
  </si>
  <si>
    <t>上虞区曹娥江市政过江隧道项目</t>
  </si>
  <si>
    <t>本项目起于虞兴路-五星东路路口，止于市民大道-称山南路路口，全长约1830m，盾构段长约795m；采用11.3米管片外径泥水盾构；</t>
  </si>
  <si>
    <t>全长约1830m，盾构段长约795m</t>
  </si>
  <si>
    <t>20.1900000000</t>
  </si>
  <si>
    <t>绍兴市上虞区交通集团有限公司</t>
  </si>
  <si>
    <t>11.3米管片外径泥水平衡盾构机-1-(/);</t>
  </si>
  <si>
    <t>目前该项目正在申请专项债市发改委已通过，但省发改委未批复；</t>
  </si>
  <si>
    <t>跟进项目资金到位情况，了解项目重新启动的时间</t>
  </si>
  <si>
    <t>1、核心问题：项目原计划同绍兴地铁2号线一同招标，但由于上虞区资金紧张，目前省发改委还未批复。
2、工作思路：重点配合系统内单位投标，了解各家自有设备情况。
3、关键点：施工标中标单位；中标单位是否有自有设备
4、行动计划：拜访业主单位，让其对我司产品有初步了解，跟进其实际施工招标进展时间；对接设计院盾构区间负责人郑浩龙，提供设备的设计参数，配合其做招标文件，多与系统内单位进行沟通对接交换信息跟进进展。</t>
  </si>
  <si>
    <t>2024-04-27 14:29:03</t>
  </si>
  <si>
    <t>XM-2024042716658</t>
  </si>
  <si>
    <t>台州市域铁路S4线</t>
  </si>
  <si>
    <t>台州市域铁路S4线起于腾云路，往南经台州机场，终至温岭新河镇，线路全长约26km，其中地下段6.6km，高架线25.4km；全线设站8座，其中地下站4座，高架站4座；线路在新河南站与规划市域铁路S5线贯通，本线于新河镇东侧新建车辆段一座。</t>
  </si>
  <si>
    <t>地下段6.6km</t>
  </si>
  <si>
    <t>台州市轨道交通</t>
  </si>
  <si>
    <t>ZTE8800-2-(2026-10-07);</t>
  </si>
  <si>
    <t>2027-10-14</t>
  </si>
  <si>
    <t>拜访台州交通，了解项目进展及隧道情况，目前预可研编制中，预计地下段左右线共计6km，近五年不会开工。</t>
  </si>
  <si>
    <t>跟进项目工可获批进展。</t>
  </si>
  <si>
    <t>核心问题：1、地下段较短，约6km；2、资金较紧张、3、铁四院在工可阶段。
工作思路：跟踪项目获批情况
关键点：1、因台州市资金紧张，关注S2线施工资金是否按期支付；2、项目获批时间
行动计划：跟踪工可最新进展。</t>
  </si>
  <si>
    <t>2025-03-28 08:41:46</t>
  </si>
  <si>
    <t>XM-2025032819050</t>
  </si>
  <si>
    <t>天河抽水蓄能电站</t>
  </si>
  <si>
    <t>总投资80亿元，中电建投资，2022年已完成项目公司成立，目前项目暂未获批，宁波市列为今年启动项目。排水廊道长度约3km。电建华东院负责前期。</t>
  </si>
  <si>
    <t>3km左右3.5米排水廊道</t>
  </si>
  <si>
    <t>浙江宁海中电建天河抽水蓄能有限公司</t>
  </si>
  <si>
    <t>中电建华东院</t>
  </si>
  <si>
    <t>ZTT3530-1-(2027-07-22);</t>
  </si>
  <si>
    <t>2027-06-02</t>
  </si>
  <si>
    <t>CNY 33,000,000.000</t>
  </si>
  <si>
    <t>中电建投资，2022年已完成项目公司成立，目前项目规划中，暂未获批，预计十五五获批。项目无最新进展。</t>
  </si>
  <si>
    <t>跟踪项目获批进展。</t>
  </si>
  <si>
    <t>持续对接电建华东院设计负责人王东峰，目前暂未明确项目获批时间。</t>
  </si>
  <si>
    <t>2023-06-03 13:28:53</t>
  </si>
  <si>
    <t>XM-2023060313941</t>
  </si>
  <si>
    <t>温武吉铁路</t>
  </si>
  <si>
    <t>线路全长689公里，总投资800亿元，设计时速160km/h，预留200km/h条件。</t>
  </si>
  <si>
    <t>暂未收集</t>
  </si>
  <si>
    <t>800.0000000000</t>
  </si>
  <si>
    <t>前期预可研中国铁路设计集团公司</t>
  </si>
  <si>
    <t>HZS180-20-(/);</t>
  </si>
  <si>
    <t>地方三省主张时速160公里双线方案，国铁集团因客货运量预测偏低倾向120时速单线方案。2024年底国家发改委支持“单线预留双线”方案，即初期按单线建设，但桥梁、隧道等基础设施按双线标准设计，未来可升级。目前仍处方案论证阶段。</t>
  </si>
  <si>
    <t>对接设计院和业主单位，了解项目前期筹备情况。</t>
  </si>
  <si>
    <t>2023-06-04 14:39:11</t>
  </si>
  <si>
    <t>XM-2023060413970</t>
  </si>
  <si>
    <t>新干至兴国高速公路</t>
  </si>
  <si>
    <t>长约186公里，起于阳樟高速终点，与东昌高速十字交叉，终于泉南高速，与兴国至桂东高速顺接。</t>
  </si>
  <si>
    <t>全线隧道总长度为11.475公里（11475米），包含5座隧道。</t>
  </si>
  <si>
    <t>0.0000000000</t>
  </si>
  <si>
    <t>江西省交通投资集团有限责任公司项目建设管理公司</t>
  </si>
  <si>
    <t>江西省交通设计研究院有限责任公司</t>
  </si>
  <si>
    <t>中铁和中交系统各工程局</t>
  </si>
  <si>
    <t>搅拌站-1-(/);</t>
  </si>
  <si>
    <t>特许经营中标结果已公示，中铁系统和中交系统联合体中标，具体标段划分暂未明确，项目暂未开工建设。</t>
  </si>
  <si>
    <t>目前标段暂未划分，未组织进场，下一步计划对接施工单位，摸排设备需求情况。没有系统内单位中标，不做重点跟进。</t>
  </si>
  <si>
    <t>特许经营中标结果已公示，中铁系统和中交系统联合体中标，具体标段划分暂未明确。</t>
  </si>
  <si>
    <t>2023-06-04 14:52:37</t>
  </si>
  <si>
    <t>XM-2023060413957</t>
  </si>
  <si>
    <t>寻乌至全南高速公路西延段</t>
  </si>
  <si>
    <t>项目路线全长 53.488km，设计速度 100km/h，采用双向四车道高速公路设计标准建设，路基宽度 26m。设置互通式立交 4 处，其中枢纽互通 1处，一般式落地互通 3 处；连接线 2km/3 处；设置服务区 1 处，设置桥梁13568m/23 座，隧道 7835m/5 座。项目投资估算总金额约 73.8455 亿元（项目建设规模及投资估算金额最终以政府核准为准）。</t>
  </si>
  <si>
    <t>隧道 7835m/5 座</t>
  </si>
  <si>
    <t>96.0000000000</t>
  </si>
  <si>
    <t>赣州交通控股集团有限公司</t>
  </si>
  <si>
    <t>江西省赣南公路勘察设计院有限公司           中交公路规划设计院有限公司               安徽省交通规划设计研究总院股份有限公司</t>
  </si>
  <si>
    <t>湖北路桥（牵头人）、陕西路桥、宁夏交建、湖北交投联合体</t>
  </si>
  <si>
    <t>项目模式为特许经营，经营期限30年。2025年9月20日中标结果公示，湖北路桥（牵头人）、陕西路桥、宁夏交建、湖北交投联合体中标，暂未组织进场。</t>
  </si>
  <si>
    <t>待项目组织进场后，对接项目部，跟进拱架、湿喷等设备需求。</t>
  </si>
  <si>
    <t>前期对接了系统内各单位，因铁建无法投资，系统内单位没有参与。</t>
  </si>
  <si>
    <t>2023-06-04 15:31:24</t>
  </si>
  <si>
    <t>XM-2023060413983</t>
  </si>
  <si>
    <t>横峰抽水蓄能电站</t>
  </si>
  <si>
    <t>横峰抽水蓄能电站计划总投资约100亿元，该电站于10月12日签约，项目位于横峰县葛源镇关田村。初步预计装机容量1200MW，装机4台，单机容量300MW，工程等别为一级。</t>
  </si>
  <si>
    <t>设斜井、引水洞、尾水洞等。</t>
  </si>
  <si>
    <t>葛洲坝集团</t>
  </si>
  <si>
    <t>2022年10月，葛洲坝集团与横峰县政府签署投资建设意向协议，总投资约100亿元。因前期上库坐标错误导致环境制约因素未达标，需重新调整方案。目前正在推进前期工作。</t>
  </si>
  <si>
    <t>对接葛洲坝集团江西经营部，跟进项目启动进展。</t>
  </si>
  <si>
    <t>已经与设计单位建立联系。</t>
  </si>
  <si>
    <t>2024-03-03 11:12:22</t>
  </si>
  <si>
    <t>XM-2024030316329</t>
  </si>
  <si>
    <t>江西抚州宜黄县二都镇高山饰面用花岗岩矿矿山建设+生产加工项目</t>
  </si>
  <si>
    <t>矿区采用露天开采方式，年产矿废石量约 40.82万立方米，全部用于加工区生产成品骨料；矿区面积 0.2407km2，一期开采深 度+860米至+700 米，资源量1345万立方米</t>
  </si>
  <si>
    <t>11.0000000000</t>
  </si>
  <si>
    <t>江西省茂新矿业有限责任公司</t>
  </si>
  <si>
    <t>中铁二十三局三公司</t>
  </si>
  <si>
    <t>砂石骨料生产线-1-(/);</t>
  </si>
  <si>
    <t>中铁二十三局和中铁五院再次中标，中标金额11亿，经了解是为了年中完成任务，项目没有启动计划。</t>
  </si>
  <si>
    <t>保持与二十三局江西经营部的对接，关注项目启动情况。</t>
  </si>
  <si>
    <t>已对接二十三局江西经营部，短期内没有启动计划。</t>
  </si>
  <si>
    <t>2024-04-29 13:18:19</t>
  </si>
  <si>
    <t>XM-2024042916710</t>
  </si>
  <si>
    <t>G220武穴至瑞昌过江通道</t>
  </si>
  <si>
    <t>路线全长12.915公里，估算总投资为70.51亿元，其中武穴市负责长江大桥段和武穴境接线工程的建设，九江境内6.7公里，一级公路标准设计。</t>
  </si>
  <si>
    <t>70.5100000000</t>
  </si>
  <si>
    <t>瑞昌市交通运输局</t>
  </si>
  <si>
    <t>CNY 1,300,000.000</t>
  </si>
  <si>
    <t>湖北段已开工，江西段已完成征拆，正在做招标前准备工作，预计2026年2季度施工招标。</t>
  </si>
  <si>
    <t>重点对接江西股指和系统内个单位，跟进招标进展。</t>
  </si>
  <si>
    <t>前期对接了江西股指及18局、11局等单位。</t>
  </si>
  <si>
    <t>2024-04-29 13:28:18</t>
  </si>
  <si>
    <t>XM-2024042916711</t>
  </si>
  <si>
    <t>湖口至九江跨湖二通道</t>
  </si>
  <si>
    <t>起于既有S22都九高速与S20彭湖高速的湖口枢纽，自东向西跨越鄱阳湖，沿庐山北麓、九江中心城区南缘间布线，终点接既有G70福银高速与G56杭瑞高速的九江枢纽，规划线路全长约46公里，其中跨湖段约19公里（兼顾G351跨湖）、城区段约27公里。</t>
  </si>
  <si>
    <t>24.0000000000</t>
  </si>
  <si>
    <t>江西省交通投资集团有限责任公司</t>
  </si>
  <si>
    <t>湖口至九江跨湖二通道项目还处于深化工可研究阶段，需继续完善路线方案，做好投融资模式比选论证。</t>
  </si>
  <si>
    <t>继续对接江西股指和中交一院，掌握项目最新进展。</t>
  </si>
  <si>
    <t>2024-04-29 14:17:49</t>
  </si>
  <si>
    <t>XM-2024042916713</t>
  </si>
  <si>
    <t>萍乡市自然资源矿业开发有限公司上栗县楚山绿色建材项目</t>
  </si>
  <si>
    <t>拟建设总年产量为980万吨骨料，其中600万吨作为建筑用砂石骨料，380万吨作为水泥用石灰石。建设内容分为四部分：（1）采矿基建期配套，含表土剥离、矿山开拓系统、矿山运输系统、建设期排水系统、排土场等矿山基建工程；（2）骨料线，粗碎车间、中/细碎车间、除土/检查筛分车间、石灰石碎石库、成品筛分车间、选粉制砂及石粉散装、土堆棚、骨料成品储存库车间、辅助生产设施等；（3）场外重载交通运输公路，从建设场地连接到s308省道，下穿昌栗高速，路线全长约2.8km，按二级公路技术标准设计，设计速度40km/h，一般路基宽8.5m，昌栗高速以北设有爬坡车道路基宽17m，设有明洞1处；（4）远期预留廊道工程，年运输能力200万吨，计划2029年开工建设。</t>
  </si>
  <si>
    <t>15.5000000000</t>
  </si>
  <si>
    <t>萍乡市自然资源矿业开发有限公司（萍乡市投发）</t>
  </si>
  <si>
    <t>南昌瑀城交通设计有限公司和广西工业设计集团有限公司联合体</t>
  </si>
  <si>
    <t>已对接萍乡市矿业开发公司黄总，了解项目进展，目前还在办理相关手续，项目模式未确定，项目还处于前期准备阶段，8月份进入了用地审批程序。推进缓慢。</t>
  </si>
  <si>
    <t>项目无实质性进展，继续保持跟进。</t>
  </si>
  <si>
    <t>已对接对接萍乡市矿业开发公司，并引荐系统内19局和14局跟进。</t>
  </si>
  <si>
    <t>2025-07-31 22:48:36</t>
  </si>
  <si>
    <t>XM-2025073119973</t>
  </si>
  <si>
    <t>安能二局边坡支护设备需求</t>
  </si>
  <si>
    <t>安能二局科技发展部计划申报边坡支护设备科研课题，已为客户提供我司技术方案。</t>
  </si>
  <si>
    <t>中国安能集团第二工程局有限公司</t>
  </si>
  <si>
    <t>MG14-ND-1-(/);KCD2-ND-1-(/);</t>
  </si>
  <si>
    <t>CNY 6,700,000.000</t>
  </si>
  <si>
    <t>和安能二局科技部初步沟通，合作模式有待洽谈，已提供技术资料和施工视频。安能二局科技部正在推动内部科研课题立项工作，暂无最新进展。</t>
  </si>
  <si>
    <t>无最新进展，保持与二局科技部的交流对接。</t>
  </si>
  <si>
    <t>已对接安能二局科技发展部，提供了产品技术方案及施工视频。</t>
  </si>
  <si>
    <t>2023-06-04 14:30:41</t>
  </si>
  <si>
    <t>XM-2023060413968</t>
  </si>
  <si>
    <t>南昌北二环高速公路</t>
  </si>
  <si>
    <t>江西南昌北二绕城高速公路项目路线起于江西省南昌市安义县万埠镇，接在建的南昌西二绕城高速公路，经安义县万埠镇、长均乡、永修县马口镇、赣江新区中医药科创城、经开区樵舍镇、新建区金桥乡、象山镇、联圩乡、南昌县南新乡，终于福银高速南昌东绕城段的南新互通，全长约52.010公里。项目概算总投资约96.68亿元，其中建安费约65.44亿元。</t>
  </si>
  <si>
    <t>96.6800000000</t>
  </si>
  <si>
    <t>T1标段  ：中交第二公路勘察设计研究院有限公司、  T2标段 江西省交通设计研究院有限责任公司</t>
  </si>
  <si>
    <t>T1标段  中交路桥建设有限公司  ;T2标段  ：江西省交通工程集团有限公司、  南昌城建集团有限公司</t>
  </si>
  <si>
    <t>搅拌站-1-(2024-12-31);</t>
  </si>
  <si>
    <t>2025-06-18</t>
  </si>
  <si>
    <t>该项目采取设计施工总承包的模式，12月30日挂网公示中标单位。
T1标段
中交路桥建设有限公司、
中交第二公路勘察设计研究院有限公司联合体
T2标段
江西省交通工程集团有限公司、
南昌城建集团有限公司、
江西省交通设计研究院有限责任公司联合体</t>
  </si>
  <si>
    <t>联系中标单位了解项目进场情况。</t>
  </si>
  <si>
    <t>核心问题：项目有无隧道施工设备要求。
工作思路：拜访中标单位，了解项目有无搅拌站需求。
关键点：项目有无隧道设备需求.
行动计划：拜访系中标单位及设计院，了解设备需求情况。</t>
  </si>
  <si>
    <t>2023-06-04 14:50:23</t>
  </si>
  <si>
    <t>XM-2023060413956</t>
  </si>
  <si>
    <t>上饶至德兴至婺源高速公路</t>
  </si>
  <si>
    <t>路线全长124公里，由上饶至景德镇（上饶段）高速91公里和德兴至婺源高速33公里组成。</t>
  </si>
  <si>
    <t>交通工程装备事业部</t>
  </si>
  <si>
    <t>2025-12-25</t>
  </si>
  <si>
    <t>通过江西股指了解到由于南丰至弋阳高速公路项目的影响,项目暂停.</t>
  </si>
  <si>
    <t>持续关注项目后续进展</t>
  </si>
  <si>
    <t>核心问题：项目模式确定、项目建设资金来源、开工时间确定。
工作思路：依靠系统内单位运作。
关键点：无。
行动计划：拜访系统内单位，了解情况。</t>
  </si>
  <si>
    <t>2023-06-04 14:57:11</t>
  </si>
  <si>
    <t>XM-2023060413959</t>
  </si>
  <si>
    <t>上饶浙赣界至金溪高速公路一期工程                        （浙赣界至宁上高速段）</t>
  </si>
  <si>
    <t>高速公路双向六车道，全长约83公里。总投资88亿。</t>
  </si>
  <si>
    <t>88.0000000000</t>
  </si>
  <si>
    <t>2025-08-20</t>
  </si>
  <si>
    <t>该项目目前暂未开工。</t>
  </si>
  <si>
    <t>2023-06-04 14:59:23</t>
  </si>
  <si>
    <t>XM-2023060413971</t>
  </si>
  <si>
    <t>瑶湖隧道</t>
  </si>
  <si>
    <t>起学苑一路，延艾溪湖二路，穿越瑶湖，往东与德昌高速立交相接。原规划的瑶湖隧道长度为5.5公里，重新规划后隧道长度缩短为3公里。</t>
  </si>
  <si>
    <t>原隧道长度为5.5公里，重新规划后隧道长度缩短为3公里。</t>
  </si>
  <si>
    <t>36.0000000000</t>
  </si>
  <si>
    <t>南昌市政公用投资控股（集团）有限责任公司</t>
  </si>
  <si>
    <t>深圳市城市交通规划设计研究/铁六院</t>
  </si>
  <si>
    <t>原规划的瑶湖隧道长度为5.5公里，重新规划后隧道长度缩短为3公里，因涉及到瑶湖岛上位规划未明确、瑶湖生态红线及建设资金的问题，市政府未下达项目近期实施的要求。</t>
  </si>
  <si>
    <t>2023-06-04 14:48:19</t>
  </si>
  <si>
    <t>XM-2023060413955</t>
  </si>
  <si>
    <t>宜春东北绕城高速公路</t>
  </si>
  <si>
    <t>规划期内新建里程32公里，双向六车道，设计速度100公里/小时，预计投资45亿元。</t>
  </si>
  <si>
    <t>持续关注项目后续进展，对接设计院</t>
  </si>
  <si>
    <t>拜访江西交通设计院,跟进项目进展情况，</t>
  </si>
  <si>
    <t>2023-06-04 15:05:17</t>
  </si>
  <si>
    <t>XM-2023060413973</t>
  </si>
  <si>
    <t>福银高速江西段二通道 （九江至黄梅过江通道）</t>
  </si>
  <si>
    <t>项目起点在九江市江洲镇（赣鄂界），终点在九江市新港镇，全长约11公里，是一座跨越长江的桥梁。</t>
  </si>
  <si>
    <t>85.0000000000</t>
  </si>
  <si>
    <t>九江市公路管理局</t>
  </si>
  <si>
    <t>长江航道勘察设计院（武汉）有限公司</t>
  </si>
  <si>
    <t>委托江西省交规院在做项目前期。</t>
  </si>
  <si>
    <t>拜访长江航道勘察设计院,跟进项目进展.</t>
  </si>
  <si>
    <t>2023-06-04 15:10:55</t>
  </si>
  <si>
    <t>XM-2023060413980</t>
  </si>
  <si>
    <t>九江至小池过江通道</t>
  </si>
  <si>
    <t>初步推荐路线方案全长约90公里，项目估算总投资130亿元。</t>
  </si>
  <si>
    <t>130.0000000000</t>
  </si>
  <si>
    <t>中铁上海院</t>
  </si>
  <si>
    <t>拜访设计院得知,该项目采用桥梁,不采用隧道.</t>
  </si>
  <si>
    <t>拜访中铁上海院,跟进项目后续进展.</t>
  </si>
  <si>
    <t>核心问题：项目是否采用隧道或者架桥.
工作思路：依靠系统内单位运作。
关键点：无。
行动计划：拜访系统内单位了解情况。</t>
  </si>
  <si>
    <t>2024-03-03 11:21:23</t>
  </si>
  <si>
    <t>XM-2024030316334</t>
  </si>
  <si>
    <t>南昌昌北国际机场三期扩建工程</t>
  </si>
  <si>
    <t>4、5号下穿通道工程是南昌昌北机场三期扩建工程第一批次工程；4号通道起于东二路，南至机场航站区道路，长度 535.766m；5 号下穿通道作为本期南侧连接机场航站区道路，北侧连接货运区，全长度 1110.0m。4、5号下穿通道均为城市次干路，设计时速:40km/h，双向四车道</t>
  </si>
  <si>
    <t>264.0000000000</t>
  </si>
  <si>
    <t>南昌昌北国际机场有限公司</t>
  </si>
  <si>
    <t>北京市市政工程设计研究总院有限公司</t>
  </si>
  <si>
    <t>中铁十八局集团有限公司</t>
  </si>
  <si>
    <t>待定-1-(2024-12-31);</t>
  </si>
  <si>
    <t>2025-05-15</t>
  </si>
  <si>
    <t>2023年9月中铁十八局中标机场工程道路工程4号、5号下穿通道，中标金额3.6亿；下穿通道为明挖段和U槽段，无设备需求。</t>
  </si>
  <si>
    <t>搅拌站设备内部调配,暂无设备需求.</t>
  </si>
  <si>
    <t>2023年9月中铁十八局中标第一批次工程机场工程道路工程4号、5号下穿通道，中标金额3.6亿；其他工程目前处于设计阶段</t>
  </si>
  <si>
    <t>2025-05-31 22:22:13</t>
  </si>
  <si>
    <t>XM-2025053119574</t>
  </si>
  <si>
    <t>江铜银珠山矿业有限公司</t>
  </si>
  <si>
    <t>项目基建期三年。基建工程宛如庞大的建筑拼图，包括主井、进风井、回风井、-133m中段、-180m中段、-164m分段、-148m分段巷道，以及采准斜坡道、措施斜坡道、各类硐室、采切工程等诸多内容基建工程量总计约35.58万立方米</t>
  </si>
  <si>
    <t>-133m中段、-180m中段、-164m分段、-148m分段巷道，</t>
  </si>
  <si>
    <t>煤矿-3</t>
  </si>
  <si>
    <t>12.9900000000</t>
  </si>
  <si>
    <t>UDK-40-1-(/);CYTC89(J)-1-(/);</t>
  </si>
  <si>
    <t>2025-09-25</t>
  </si>
  <si>
    <t>CNY 2,380,000.000</t>
  </si>
  <si>
    <t>1、客户已经前往湖北大冶铁矿考察湖北天腾的装药台车设备，目前客户暂未确定采购主体。</t>
  </si>
  <si>
    <t>1、继续对接吴刚书记了解项目进展情况。</t>
  </si>
  <si>
    <t>客户已经前往湖北大冶铁矿考察湖北天腾的装药台车设备，目前客户暂未确定采购主体。</t>
  </si>
  <si>
    <t>2025-06-28 15:14:18</t>
  </si>
  <si>
    <t>XM-2025062819732</t>
  </si>
  <si>
    <t>长株桂新高速项目</t>
  </si>
  <si>
    <t>项目包括G4京港澳高速长沙广福至株洲王拾万（朱亭）段的扩容工程，以及桂东至新田（宁远）高速公路的郴州至桂阳段。其中，G4京港澳高速的扩容工程是湖南省有史以来投资规模最大的单体交通项目，全长约为144千米，涉及多个市辖区和乡镇。桂东至新田高速公路则是湖南省“十四五”重点项目，全长约57.7公里，设计时速为120公里，项目投资413亿元。</t>
  </si>
  <si>
    <t>隧道长度1000米.</t>
  </si>
  <si>
    <t>湖南</t>
  </si>
  <si>
    <t>413.0000000000</t>
  </si>
  <si>
    <t>湖南铁建昆仑长株桂新高速公路有限公司</t>
  </si>
  <si>
    <t>中</t>
  </si>
  <si>
    <t>DG200-RS-1-(/);</t>
  </si>
  <si>
    <t>2025-09-10</t>
  </si>
  <si>
    <t>CNY 8,140,000.000</t>
  </si>
  <si>
    <t>1.根据客户提供的资料已经向客户提供了设备布置图及设备配置方案。
2.经过多次拜访中铁二十四局南昌公司设备部帅部长了解到,由于二十四局南昌公司由于资金困不会采购新设备,会租赁二手设备.</t>
  </si>
  <si>
    <t>1、继续对接中铁二十四局南昌公司对该项目设备的采购模式.</t>
  </si>
  <si>
    <t>2025-09-21 16:01:17</t>
  </si>
  <si>
    <t>XM-2025092120380</t>
  </si>
  <si>
    <t>徐公岛核能项目进场道路及电力送出项目</t>
  </si>
  <si>
    <t>未及时更新</t>
  </si>
  <si>
    <t>1、小洋山到徐公岛的进场道路：小洋山走廊带海底隧道全长15.17km，其中矿山段长度1.23km，盾构段长度11.53km。有2个断面方案：管片外径13.3m、14.6m。2、电力送出管廊隧道长度约40km，盾构外径10.8m，设2座人工岛方案：单台掘进约7km（共6台）利用天然岛方案：单台掘进约11km（共4台）。</t>
  </si>
  <si>
    <t xml:space="preserve">1. 小洋山—徐公岛 16 km，管片外径 13.3/14.5 m。 2. 电力管廊 40 km，管片外径 10.8 m。 </t>
  </si>
  <si>
    <t>1,000.0000000000</t>
  </si>
  <si>
    <t>国核浙能核能公司</t>
  </si>
  <si>
    <t>ZTS14600/ZTS13300/ZTS10800-6-(/);</t>
  </si>
  <si>
    <t>2027-09-30</t>
  </si>
  <si>
    <t>目前项目处于预可研阶段，铁四院正在做施工概算比选，前期咨询工作，我司已经提供14.6m、13.3m、10.8m直径盾构机初步价格。</t>
  </si>
  <si>
    <t>1、10月份落实与铁四院关于长大隧道盾构海中对接技术交流；
2、落实业主单位地址，后续对接；
3、流程通知事业部、研究院，确认项目技术人员。</t>
  </si>
  <si>
    <t>和铁四院已完成初步项目对接，预计项目整体需求6到8台大盾构；配合铁四院对接徐公岛项目两个专题项目成本测算。</t>
  </si>
  <si>
    <t>2024-01-09 16:39:41</t>
  </si>
  <si>
    <t>XM-2024010916075</t>
  </si>
  <si>
    <t>吉水县双村镇旦元普通建筑用砂岩矿绿色开发运营一体化服务招商项目</t>
  </si>
  <si>
    <t>本项目矿区面积 0.91平方公里 ， 标高为+380.6m ～+150m标高范围 ， 资源量矿石资源量 11417.96万吨（ 4425.56万立方米 ） ， 矿种为沙岩矿 ， 开采年限为 28年（ 含基建期 2年） ， 开采规模为 400万吨/年(前五年任务1200万吨） 。</t>
  </si>
  <si>
    <t>68.0000000000</t>
  </si>
  <si>
    <t>江西吉湖矿业发展有限公司</t>
  </si>
  <si>
    <t>中铁十九局</t>
  </si>
  <si>
    <t>砂石骨料生产线-1-(2026-12-31);</t>
  </si>
  <si>
    <t>安全设施设计审查没通过，这里面包含了安全实施设计审查申请表，安全预评估报告等十几项必要内容，短时间不会有进展。市场行情不好，生产规模缩减或分二期投产，先投一条小的生产线，具体还要和业主沟通。11月对接十九局华东公司了解项目无最新进展。</t>
  </si>
  <si>
    <t>1、跟进十九局华东公司该项目手续报批，合作方等进展情况；
2、协同江西经营部落实项目现场进行情况，了解项目年开采量变更情况。</t>
  </si>
  <si>
    <t>进展情况：前期已与客户开展了技术交流并提供初步技术方案及报价，项目现场暂无最新进展，需十九局华东公司确定最终设备模式。
行动计划：本周联系了项目部领导，因建设用地等手续还没有全部办下来，目前处于停工状态，之前属于未批先建。</t>
  </si>
  <si>
    <t>2025-04-02 10:16:10</t>
  </si>
  <si>
    <t>XM-2025040219111</t>
  </si>
  <si>
    <t>中铁十九局陕西浙交秦新矿业有限公司西峪矿开采及破碎加工项目</t>
  </si>
  <si>
    <t>矿山为山坡露天矿，储量1.8亿吨，年产能力800万吨</t>
  </si>
  <si>
    <t>西北区域</t>
  </si>
  <si>
    <t>陕西</t>
  </si>
  <si>
    <t>31.0000000000</t>
  </si>
  <si>
    <t>陕西浙交秦新矿业有限公司</t>
  </si>
  <si>
    <t>/-0-(2025-12-31);</t>
  </si>
  <si>
    <t>2025-05-31</t>
  </si>
  <si>
    <t>李壮壮</t>
  </si>
  <si>
    <t>已拜访业主单位，目前生产设备基本已完工</t>
  </si>
  <si>
    <t>跟进十九局华东公司项目部，了解配件需求</t>
  </si>
  <si>
    <t>已拜访项目业主，了解项目整体情况。</t>
  </si>
  <si>
    <t>陈玉鹏</t>
  </si>
  <si>
    <t>2023-06-04 14:36:50</t>
  </si>
  <si>
    <t>XM-2023060413969</t>
  </si>
  <si>
    <t>G7021宁武高速新干至瑞昌（赣鄂界）工程</t>
  </si>
  <si>
    <t>项目起点位于新干北互通东侧850米处，东昌管养桩号为K69+629，途经江西省吉安市新干县，宜春市樟树市、高安市、奉新县、靖安县，九江市武宁县、瑞昌市，终点位于此瑞昌市洪一乡河山塘村与湖北省阳新县木港镇徐家村之间，路线全长218.3公里，项目总投资约304.5亿元。
采用双向四车道高速公路标准，设计速度100公里/小时，路基宽26米，沥青路面结构。</t>
  </si>
  <si>
    <t>304.5000000000</t>
  </si>
  <si>
    <t>2025-11-20</t>
  </si>
  <si>
    <t>6月21日发布中标公示:
第一名：中铁交通投资集团有限公司（联合体牵头人）
中铁一局集团有限公司
中铁二局集团有限公司
中铁三局集团有限公司
中铁四局集团第四工程有限公司
中铁五局集团有限公司
中铁六局集团有限公司
中铁七局集团有限公司
中铁八局集团有限公司
中铁隧道局集团有限公司
中铁大桥局集团有限公司
中铁北京工程局集团有限公司
中铁工程设计咨询集团有限公司
中交投资有限公司
中交投资南京有限公司
中交一公局集团有限公司
中交第二公路工程局有限公司
中交路桥建设有限公司
中交三公局第二工程有限公司
中交第二航务工程勘察设计院有限公司联合体</t>
  </si>
  <si>
    <t>通过拜访中铁五局江西经营部张志总,了解到该项目因为是EPC项目,目前各标段暂未划完成,预计2025年底进场.</t>
  </si>
  <si>
    <t>已经知道中标结果及各标段单位进场时间.</t>
  </si>
  <si>
    <t>2023-06-04 15:17:06</t>
  </si>
  <si>
    <t>XM-2023060413974</t>
  </si>
  <si>
    <t>寻乌抽水蓄能电站</t>
  </si>
  <si>
    <t>电站总装机规模120万千瓦。电站枢纽工程主要由上水库、下水库、输水系统、地下厂房和地面开关站等建筑物组成，工程总投资约80亿元</t>
  </si>
  <si>
    <t>三峡建工</t>
  </si>
  <si>
    <t>安能一局</t>
  </si>
  <si>
    <t>锚杆台车-1-(/);</t>
  </si>
  <si>
    <t>6月23日施工中标公示，安能一局中标，已协同华南区域共同跟进，目前无设备需求。</t>
  </si>
  <si>
    <t>对接安能一局项目部，保持联系。</t>
  </si>
  <si>
    <t>前期已对接三峡建工指挥部，主要为钻爆法设备需求，重点交流了锚杆台车和除尘台车的应用。</t>
  </si>
  <si>
    <t>2023-06-04 15:21:46</t>
  </si>
  <si>
    <t>XM-2023060413976</t>
  </si>
  <si>
    <t>安远县营口水库及抽水蓄能电站</t>
  </si>
  <si>
    <t>营口水库总库容1.19亿立方米，为大（2）型水库，该项目已列入
《国家“十四五”水安全保障规划》；抽水蓄能电站总装机140万千瓦，抽蓄电站总投资80亿。</t>
  </si>
  <si>
    <t>安远县水利局</t>
  </si>
  <si>
    <t>中水北方院</t>
  </si>
  <si>
    <t>2022年底项目完成签约，目前因工程范围调整，暂未启动前期工作。该项目暂无最新推进进展，短期内无法实施，保持关注。</t>
  </si>
  <si>
    <t>保持与葛洲坝江西经营部和中水北方院的联系，掌握实时进展。</t>
  </si>
  <si>
    <t>已对接葛洲坝惊喜经营部和中水北方院江西经营部，该项目暂无实质性进展。</t>
  </si>
  <si>
    <t>2025-06-28 14:25:48</t>
  </si>
  <si>
    <t>XM-2025062819741</t>
  </si>
  <si>
    <t>赣州市海鑫矿业有限公司液压掘进台车采购需求</t>
  </si>
  <si>
    <t>计划采购1台液压掘进台车。</t>
  </si>
  <si>
    <t>赣州市海鑫矿业有限公司</t>
  </si>
  <si>
    <t>CNY 1,250,000.000</t>
  </si>
  <si>
    <t>客户暂停采购计划，需求待持续跟进。</t>
  </si>
  <si>
    <t>需求时间不确定，保持联系。</t>
  </si>
  <si>
    <t>已通过福建欣同昌对接海鑫矿业物资设备部于胜部长，并提供了技术方案及报价。需求时间待定。</t>
  </si>
  <si>
    <t>2023-06-04 13:33:59</t>
  </si>
  <si>
    <t>XM-2023060413951</t>
  </si>
  <si>
    <t>弋阳至南丰高速公路建设项目</t>
  </si>
  <si>
    <t>全长179.216km，隧道7357米/6座，特大桥2196米/2座，大中桥33684米/116座。</t>
  </si>
  <si>
    <t>隧道7357米/6座，</t>
  </si>
  <si>
    <t>236.0000000000</t>
  </si>
  <si>
    <t>搅拌站-2-(2024-12-31);</t>
  </si>
  <si>
    <t>2025-07-25</t>
  </si>
  <si>
    <t>CNY 4,900,000.000</t>
  </si>
  <si>
    <t>中国建筑联合体中标特许经营，参与单位有中建三、中建四、中建五、中建八，中建基础设施公司，已经对接中建三局江西经营部总经理黄智彬，该项目由中建三牵头，预计2025年下半年进场。</t>
  </si>
  <si>
    <t>跟进中标单位进场情况。</t>
  </si>
  <si>
    <t>核心问题：铁建昆仑投已确定放弃投资该项目，项目特许经营已重新挂网招标，12月6日已公示，中标单位为中建集团。
工作思路：关注项目特许经营中标单位并及时对接。
关键点：与中标单位建立联系，摸清设备需求情况。
行动计划：前期已对接江西股指和系统内各中标单位，因铁建已放弃该项目，下一步计划重点跟进中标结果，对接中标单位设备需求。</t>
  </si>
  <si>
    <t>2023-06-04 14:14:00</t>
  </si>
  <si>
    <t>XM-2023060413964</t>
  </si>
  <si>
    <t>袁河河道提升工程</t>
  </si>
  <si>
    <t>袁河航道开发工程包括龙尾洲航运枢纽工程、笏洲航运枢纽工程、石洲枢纽改建工程、袁河荷湖馆～新余段航道整治工程4个工程。投资估算144.2亿元。</t>
  </si>
  <si>
    <t>144.0000000000</t>
  </si>
  <si>
    <t>江西省港口集团有限公司</t>
  </si>
  <si>
    <t>江西省港航设计院有限公司和华设设计集团股份有限公司联合体</t>
  </si>
  <si>
    <t>中交第一、第三航务局</t>
  </si>
  <si>
    <t>2024年12月26日中交第一、第三航务局中标主体土建工程，中标金额15亿。已对接中标单位，无我司设备需求。</t>
  </si>
  <si>
    <t>继续关注后续工程招标情况，暂无最新招标信息。</t>
  </si>
  <si>
    <t>主体土建工程无我司设备需求。</t>
  </si>
  <si>
    <t>2023-06-04 15:18:49</t>
  </si>
  <si>
    <t>XM-2023060413975</t>
  </si>
  <si>
    <t>赣县抽水蓄能电站</t>
  </si>
  <si>
    <t>电站为日调节纯抽水蓄能电站，设计装机容量1200MW(4x300MW)，年发电量12亿KW·h，主要由上水库、输水系统、地下厂房系统、下水库及地面开关站等建筑物组成，为一等大(1)型工程，工程概算动态投资79.83亿元，工期约60个月。</t>
  </si>
  <si>
    <t>输水系统总长约3253.2米，采用二洞四机布置，其中引水系统全长约1808.1米，尾水系统全长约1445.1米；上下库连接道路全长约8.10公里，设有隧道2座，总长约2.50公里</t>
  </si>
  <si>
    <t>75.0000000000</t>
  </si>
  <si>
    <t>水电五局 、水电十四局</t>
  </si>
  <si>
    <t>该项目原有施工方案为钻爆法，业主单位江西省投资集团想搞亮点，本月与水电十四局项目经理华总和华东院梅总进行了初步交流，介绍了平江抽蓄施工情况，并提供了技术方案及施工成本测算，待项目部向业主汇报后再决策。之前为客户做了斜井TBM方案，向业主汇报后因投资费用超预算，已否决了TBM方案。</t>
  </si>
  <si>
    <t>计划近期拜访峰山抽蓄公司副指挥朱总，重点交流四臂凿岩台车的应用。</t>
  </si>
  <si>
    <t>该项目原有施工方案为钻爆法，业主单位江西省投资集团想搞亮点，本月与水电十四局项目经理华总和华东院梅总进行了初步交流，介绍了平江抽蓄施工情况，并提供了技术方案及施工成本测算，待项目部向业主汇报后再决策。</t>
  </si>
  <si>
    <t>2022-08-14 21:10:02</t>
  </si>
  <si>
    <t>XM-2022081411712</t>
  </si>
  <si>
    <t>东阳石马潭水库枢纽工程</t>
  </si>
  <si>
    <t>本工程新建石马潭水库、潘坑水库，并在东方红水库库区右侧库岸位置新建泵站，通过引水隧洞在洪水期提前引水进入潘坑水库，石马潭水库和潘坑水库通过连通隧洞实现联合调度；另外在西侧磐溪上游两条支流上分别新建磐溪1#引水堰、磐溪2#引水堰，在桐坑上游新建桐坑引水堰，通过引水隧洞引水至石马潭水库。石马潭水库枢纽工程总库容3823万m3，新增优质水供水量3675万m3。石马潭水库枢纽工程为Ⅲ等工程，包括水库工程和引水工程，其中石马潭水库为中型水库，潘坑水库为小（1）型水库，引水隧洞线路总长21.8km，东方红泵站设计流量25m3/s。</t>
  </si>
  <si>
    <t>引水隧洞线路总长21.8km</t>
  </si>
  <si>
    <t>东阳市水务投资集团有限公司</t>
  </si>
  <si>
    <t>隧道装备产品-1-(/);</t>
  </si>
  <si>
    <t>2024-11-30</t>
  </si>
  <si>
    <t>该项目隧道施工由浙江正邦水电建设公司来施工，目前正在对接中，水电十二局三公司不参与隧道施工，只做面板坝等露天工程。</t>
  </si>
  <si>
    <t>保持项目跟进，按照四步法进行：
1、核心问题：了解该项目的具体情况，确认与我司相关的设备需求；
2、工作思路：保持与公司高层领导的对接与联系，让客户了解我司设备的基本情况，产品的优势，时刻把控好项目进展情况；
3、关键点：项目实施的各环节时间节点，设备需求时间，采购决策方及决策人，同时让客户知道我司产品的优势；4、行动计划：近期前往公司拜访，同时项目部成立后去项目部拜访推介我司产品。</t>
  </si>
  <si>
    <t>水电十二局与浙江正邦水电建设公司联合体中标，隧道施工为地方民营企业，无设备需求。</t>
  </si>
  <si>
    <t>2025-08-15 10:13:54</t>
  </si>
  <si>
    <t>XM-2025081520061</t>
  </si>
  <si>
    <t>S7沪崇高速</t>
  </si>
  <si>
    <t>盾构段长度将达到 16km，下穿航道段长约 10km</t>
  </si>
  <si>
    <t>15.0000000000</t>
  </si>
  <si>
    <t>拟采用18.4m级管片盾构，公路+轨道交通合建方案前期论证阶段，已在上海市政院组织召开论证会，我司的汇报得到与会专家业主认可。</t>
  </si>
  <si>
    <t>11月3日上海城投总工兼公投董事长来我司关于大盾构参观交流</t>
  </si>
  <si>
    <t>2025-05-28 08:51:01</t>
  </si>
  <si>
    <t>XM-2025052819560</t>
  </si>
  <si>
    <t>S7崇明西通道</t>
  </si>
  <si>
    <t>针对不同的功能需求，盾构隧道管片外径为 17.5 米、 18.5 米和 19.5 米，选型之一； 2、盾构段长度为 16 公里，江中是否可以设置工作井暂无明确结论，须同时 考虑设置工作井（其中下穿航道段长约 10km）、独头掘进或地中对接技术； 3、最大埋深约 60 米， 最大水压约 0.9MPa， 最大纵坡按 4%考虑； 4、穿越地层从浅到深依次为： ④淤泥质粘土、 ⑤1-2粉质粘土、 ⑤2粉质粘土、 ⑤3粉质粘土、 ⑦2粉砂、 ⑨1粉细砂、 ⑨2中粗砂，掘进断面范围内砂土占比约 80%。 其中⑦2、 ⑨1、 ⑨</t>
  </si>
  <si>
    <t>盾构段长度为 16 公里</t>
  </si>
  <si>
    <t>上海城投公路投资（集团）有限公司</t>
  </si>
  <si>
    <t>未定-2-(/);</t>
  </si>
  <si>
    <t>2027-06-01</t>
  </si>
  <si>
    <t>CNY 400,000,000.000</t>
  </si>
  <si>
    <t>2025年5月29日上海市政总院组织各主要厂家咨询会，专家：同济朱合华院士、冀振龙（上海城投）</t>
  </si>
  <si>
    <t>持续与业主和设计院保持密切沟通。</t>
  </si>
  <si>
    <t>2025-03-30 21:37:49</t>
  </si>
  <si>
    <t>XM-2025033019071</t>
  </si>
  <si>
    <t>水乡旅游线城际铁路</t>
  </si>
  <si>
    <t>水乡旅游线城际铁路线路全长132公里，起自示范区客厅站，经江苏吴江，与如通苏湖铁路共线至南浔站，经浙江湖州、嘉兴桐乡乌镇、桐乡城区、海宁盐官古镇至杭州萧山机场。其中嘉兴境内约50km，起于嘉兴与湖州市界，止于嘉兴与杭州市界，速度目标值为160公里/小时，初步估算投资约200亿元。</t>
  </si>
  <si>
    <t>盾构隧道约15km</t>
  </si>
  <si>
    <t>嘉兴市铁路与轨道交通投资集团有限责任公司</t>
  </si>
  <si>
    <t>中铁二院工程集团有限责任公司</t>
  </si>
  <si>
    <t>ZTE9100-6-(/);</t>
  </si>
  <si>
    <t>正在进行可研报告编制，原计划今年招先行标开工建设，但由于嘉善至西塘6标改为水乡旅游线衔接段，因此本项目推迟指十五五实施</t>
  </si>
  <si>
    <t>项目于“十五五”规划中实施，近期无进展。</t>
  </si>
  <si>
    <t>1.中铁二院中标工可研报告编制及初步设计，设备选型及路线方案还未确定
2.目前项目进展缓慢，原定2025年开工，目前已确定延后至2026年</t>
  </si>
  <si>
    <t>2024-05-20 14:45:53</t>
  </si>
  <si>
    <t>XM-2024052016843</t>
  </si>
  <si>
    <t>上海市青草沙库管连通管项目</t>
  </si>
  <si>
    <t>中央沙工作井滨江森林公园工作井过江段，隧道长度7.7千米，泥水盾构外径6.5米，中央沙工作井24米外径深58米底板，滨江森林公园工作井23米外径底板50米深</t>
  </si>
  <si>
    <t>300,000,009</t>
  </si>
  <si>
    <t>上海原水集团有限公司</t>
  </si>
  <si>
    <t>上海隧道股份（上海路桥公司）</t>
  </si>
  <si>
    <t>2026-02-28</t>
  </si>
  <si>
    <t>CNY 300,000,009.000</t>
  </si>
  <si>
    <t>上海隧道中标，暂无新机需求</t>
  </si>
  <si>
    <t>上海隧道中标，跟进需求中</t>
  </si>
  <si>
    <t>2024-04-01 17:48:27</t>
  </si>
  <si>
    <t>XM-2024040116513</t>
  </si>
  <si>
    <t>科海路南延过江隧道</t>
  </si>
  <si>
    <t>全长约 4.35km。其中双向四车道明挖隧道2.5km，双向六车道盾构隧道 1km(与规划地铁线路合建)，盾构外径为15.2m;其余为双向六车道明挖隧道，项目预计总投资26.1亿元。</t>
  </si>
  <si>
    <t>盾构隧道 1km(与规划地铁线路合建)</t>
  </si>
  <si>
    <t>26.1000000000</t>
  </si>
  <si>
    <t>杭州市钱江新城建设管理委员会</t>
  </si>
  <si>
    <t>ZTS15700-1-(/);</t>
  </si>
  <si>
    <t>项目暂未列入2025年规划项目，无最新进展</t>
  </si>
  <si>
    <t>跟进业主单位及铁四院，了解项目情况</t>
  </si>
  <si>
    <t>1.核心问题：地方政府财政紧张，项目推进缓慢
2.工作思路：跟进项目信息，及时了解项目进展
3.关键点：
4.行动计划：跟进业主单位、铁四院等单位，了解项目进展</t>
  </si>
  <si>
    <t>2023-10-08 09:09:10</t>
  </si>
  <si>
    <t>XM-2023100815155</t>
  </si>
  <si>
    <t>潮王路-新风路连通工程（三期工程）</t>
  </si>
  <si>
    <t>工程西起河东路，东至胜景路，全长约2.26km，隧道出入口分设在上塘路两侧，北线隧道长约2.16km，南线隧道长约1.41km。在长岳街和胜景路各设置一个匝道入口，在和平地块设置一对出入口连接地下车库，管理用 房设置于胜景路西侧。隧道采用盾构、明挖和矩形顶管施工工艺，施工总工期约36个月。</t>
  </si>
  <si>
    <t>全长约2.26km，隧道出入口分设在上塘路两侧，北线隧道长约2.16km，南线隧道长约1.41km。</t>
  </si>
  <si>
    <t>杭州市交通投资集团有限公司</t>
  </si>
  <si>
    <t>杭州市市政工程设计研究院</t>
  </si>
  <si>
    <t>浙江省杭州市</t>
  </si>
  <si>
    <t>泥水平衡盾构机-1-(/);</t>
  </si>
  <si>
    <t>1.由于项目与艮山门动车所项目有交叉，方案还在比选中。
2.截至2025年5月，项目暂无最新进展。</t>
  </si>
  <si>
    <t>拜访杭州交投，了解项目最新进展</t>
  </si>
  <si>
    <t>拜访设计院，了解项目进展</t>
  </si>
  <si>
    <t>2023-09-15 09:50:26</t>
  </si>
  <si>
    <t>XM-2023091514972</t>
  </si>
  <si>
    <t>梧桐路过江隧道</t>
  </si>
  <si>
    <t>梧桐路过江隧道：全长5.24公里，盾构段长2公里，管片外径15.2m，需求2台泥水平衡盾构机。总体规模：隧道总长5km，暗埋段4.85km，工作井2处，定向匝道2对，平行匝道1对；主要穿越：之浦路、枫桦东路、钱塘江及其堤岸、闻涛路、滨浦路、西浦路、新浦路、浦沿路；交通转换：隧道主线西口与枫桦西路顺接；枫桦东路设置沟通南、北向定向匝道；西浦路以西设置一对平行匝道；隧道主线洞口过浦沿路后出地；轨道交通：隧道与规划11号线共廊道，明挖合建2个车站，大盾构共管过江，部分区间明挖合建。</t>
  </si>
  <si>
    <t>全长5.24公里，盾构段长2公里，管片外径15.2m</t>
  </si>
  <si>
    <t>38.0000000000</t>
  </si>
  <si>
    <t>杭州市城市建设发展集团有限公司</t>
  </si>
  <si>
    <t>泥水平衡盾构机-2-(/);</t>
  </si>
  <si>
    <t>项目处于可研前期规划阶段，已纳入杭州国土空间规划2021-2035实施范围</t>
  </si>
  <si>
    <t>拜访数智交院，了解项目最新进展</t>
  </si>
  <si>
    <t>2023-09-15 09:53:31</t>
  </si>
  <si>
    <t>XM-2023091514973</t>
  </si>
  <si>
    <t>军师路过江隧道</t>
  </si>
  <si>
    <t>全长2.82公里，盾构段长1.65公里，管片外径14.5m，需求1台泥水平衡盾构机。总体规模：隧道总长2.815km，暗埋段2.51km，工作井3处；主要穿越：枫桦东路、北岸塘路、钱塘江及其堤岸、万达北路；交通转换：隧道主线西口在枫桦东路西侧分级出地面，与绕城高速出入口匝道平面交叉；隧道主线东口在万达北路东侧分级出地面。轨道交通：隧道与规划19号线同期实施，部分区间明挖合建；隧道与4号线车站垂直相交 。</t>
  </si>
  <si>
    <t>全长2.82公里，盾构段长1.65公里，管片外径14.5m</t>
  </si>
  <si>
    <t>13.0000000000</t>
  </si>
  <si>
    <t>1.项目处于可研前期规划阶段，已纳入杭州国土空间规划2021-2035实施范围
2.截至2025年5月，项目暂无最新进展。</t>
  </si>
  <si>
    <t>2023-09-15 09:58:48</t>
  </si>
  <si>
    <t>XM-2023091514982</t>
  </si>
  <si>
    <t>绕城高速改线过江隧道项目</t>
  </si>
  <si>
    <t>全长8.17公里，盾构段长6.73公里，管片外径15m，需求4台泥水平衡盾构机。</t>
  </si>
  <si>
    <t>全长8.17公里，盾构段长6.73公里，管片外径15m</t>
  </si>
  <si>
    <t>65.7000000000</t>
  </si>
  <si>
    <t>泥水平衡盾构机-4-(/);</t>
  </si>
  <si>
    <t>跟进了解项目规划情况</t>
  </si>
  <si>
    <t>2023-09-15 09:56:34</t>
  </si>
  <si>
    <t>XM-2023091514981</t>
  </si>
  <si>
    <t>亚太路过江隧道</t>
  </si>
  <si>
    <t>全长6.29公里，西盾构段全长2.91公里，管片外径15.5m，需求2台泥水平衡盾构机；过江盾构段全长1.59公里，管片外径15.5m，需求2台泥水平衡盾构机。总体规模：路线总长约13km ，设置3座隧道，隧道总长9.264km，暗埋段约8km，工作井4处，枢纽互通1处，地下匝道出入口3对，地面出入口7对，出入口平均间距约1.3km；主要穿越：科海南路、袁浦街、军师路、钱塘江及其堤岸、时代大道、湘虎路；交通转换：尽量利用快速路地面段以及隧道敞口段空间设置出入口，必要时设置地下匝道。主要转换系统为科海路、杭新景高速、袁浦街、军师路以及时代大道。轨道交通：穿江隧道与规划10号线共建， 大盾构共管过江 ，明挖合建1个车站， 部分区间明挖合建 ；10号线与规划18号线在东岸换乘。</t>
  </si>
  <si>
    <t>全长6.29公里，西盾构段全长2.91公里，管片外径15.5m</t>
  </si>
  <si>
    <t>1.项目已纳入杭州市国土空间规划2021-2035，并已于近日上报国家审批通过
2.截至2025年5月，项目暂无最新进展。</t>
  </si>
  <si>
    <t>跟进中铁大桥勘测设计院，了解相关情况。</t>
  </si>
  <si>
    <t>中铁大桥勘测设计院中标亚太路西延工程（高尔夫路-时代大道）可行性研究报告编制和方案研究。</t>
  </si>
  <si>
    <t>2023-07-28 16:58:48</t>
  </si>
  <si>
    <t>XM-2023072814497</t>
  </si>
  <si>
    <t>泉州晋江隧道</t>
  </si>
  <si>
    <t>1、项目简介：
起点由双龙路变更为晋江岸三号路，终点由滨海街变更为东海经十四路，路线全长约3.0km，其中跨海段长1.2km，采用一级公路兼城市主干路标准、主线设计速度为60km/h，投资估算39.2亿元，计划开工2025年，完成年2027年。
2、业主组成：
业主单位：泉州市东海投资管理有限公司
设计单位：中交第二公路规划设计院，可研</t>
  </si>
  <si>
    <t>全长约3.0km，其中跨海段长1.2km，</t>
  </si>
  <si>
    <t>39.0000000000</t>
  </si>
  <si>
    <t>泉州市东海投资管理有限公司</t>
  </si>
  <si>
    <t>2025-01-01</t>
  </si>
  <si>
    <t>拜访设计院，经沟通，此项目不计划采用盾构机施工</t>
  </si>
  <si>
    <t>建议取消跟进</t>
  </si>
  <si>
    <t>2023-02-20 18:17:39</t>
  </si>
  <si>
    <t>XM-2023022013052</t>
  </si>
  <si>
    <t>紫金金沙钼矿TBM</t>
  </si>
  <si>
    <t>该项目建设期4.5年，总投资预计72亿元，其中建设投资64亿元，建成达产后年均产钼精矿含钼2.72万吨。该项目预计有一台6米级TBM需求，及6.6千米连续皮带机，用于7公里的斜坡道开拓。</t>
  </si>
  <si>
    <t>设备需求直径6.3米，7KM。6.6km长配套TBM使用的连续皮带机，含储带仓等；不含胶带。</t>
  </si>
  <si>
    <t>安徽</t>
  </si>
  <si>
    <t>64.0000000000</t>
  </si>
  <si>
    <t>紫金矿业</t>
  </si>
  <si>
    <t>紫金设计院</t>
  </si>
  <si>
    <t>紫金建设</t>
  </si>
  <si>
    <t>ZTT6300-1-(/);</t>
  </si>
  <si>
    <t>2023-12-20</t>
  </si>
  <si>
    <t>李汝</t>
  </si>
  <si>
    <t>收到中标通知书
客户建议合同起草推迟两周后在进行，等待陈景河董事长去安徽推动矿权办理事宜
矿权办理受阻，签订合约实际待定
2023年9-30更新矿权未办理，在帮助项目执行层处理事宜强化关系；备战铁矿托紫金设计院设计院帮关注进度；多宝山装备进度理想；剩余1200米；装备多宝山施工完毕后，设备替换我司中标设备的隐患未排除</t>
  </si>
  <si>
    <t>跟踪矿权办理进度</t>
  </si>
  <si>
    <t>2023年9-30更新矿权未办理，在帮助项目执行层处理事宜强化关系；备战铁矿托紫金设计院设计院帮关注进度；多宝山装备进度理想；剩余1200米；装备多宝山施工完毕后，设备替换我司中标设备的隐患未排除</t>
  </si>
  <si>
    <t>叶诚亮</t>
  </si>
  <si>
    <t>2023-03-30 21:27:56</t>
  </si>
  <si>
    <t>XM-2023033013370</t>
  </si>
  <si>
    <t>紫金矿业YAMA、NC塞紫铜铁路线改造项目</t>
  </si>
  <si>
    <t>塞紫金铁路改线13km和逃生通道6KM;5.5米和主线工程8.5米</t>
  </si>
  <si>
    <t>13km</t>
  </si>
  <si>
    <t>海外区域</t>
  </si>
  <si>
    <t>塞尔维亚紫金矿业</t>
  </si>
  <si>
    <t>双护盾TBM-2-(/);</t>
  </si>
  <si>
    <t>袁虎钢</t>
  </si>
  <si>
    <t>和中土集团副总经理、欧洲事业部执行总经理一行7人拜访紫金建设部；对河道改造项目，建设部建议继续和塞紫铜对接，让塞紫铜拿一个完整方案，集团再审核或授权；此次交流增加塞紫金TIMOK下部矿体从上往下施工方案，准备本周和紫金海南公司交流
中秋节前拜访紫金工程技术公司；获悉项目加速，模式为业主采购设备，工程准备发包。情况反馈给海外曹建峰。最新情况为目前紫金矿业集团今年建设资金压缩，今年启动概率不大。</t>
  </si>
  <si>
    <t>跟进工程准备发包和业主买TBM设备情况</t>
  </si>
  <si>
    <t>中秋节前拜访紫金工程技术公司；获悉项目加速，模式为业主采购设备，工程准备发包。可能工程包要在今年定下来。情况反馈给海外曹建峰。</t>
  </si>
  <si>
    <t>2021-03-22 16:17:23</t>
  </si>
  <si>
    <t>XM-202103225438</t>
  </si>
  <si>
    <t>沪平市域铁路项目</t>
  </si>
  <si>
    <t>线路全长50.9KM（金山--平湖），金山卫站--独山港东站，隧道全长8.65km，设计时160km/h，采用2台13.6m管片外径泥水平衡盾构机施工</t>
  </si>
  <si>
    <t>隧道全长11.65km</t>
  </si>
  <si>
    <t>300.0000000000</t>
  </si>
  <si>
    <t>上海铁路局</t>
  </si>
  <si>
    <t>由于浙江对项目资金投入意见未统一，项目推迟，先上沪乍杭项目，预计2026年项目启动</t>
  </si>
  <si>
    <t>核心问题：13.6米泥水盾构上海市场有闲置旧机
工作思路：了解参与投标的施工单位，配合施工投标，
关键点：各中标单位的自有设备情况，确定业务模式
行动计划：跟进设计院跟进项目进展，跟进潜在中标单位</t>
  </si>
  <si>
    <t>2025-10-22 12:42:19</t>
  </si>
  <si>
    <t>XM-2025102220570</t>
  </si>
  <si>
    <t>沪东中华造船（集团）有限公司移动式焊接机器人</t>
  </si>
  <si>
    <t>沪东中华造船厂扩建自用移动式焊接机器人 5 套，包括设计、
制造、包装、运输、安装、调试、培训等</t>
  </si>
  <si>
    <t>0.0800000000</t>
  </si>
  <si>
    <t>沪东中华造船（集团）有限公司</t>
  </si>
  <si>
    <t>2025-11-10</t>
  </si>
  <si>
    <t>与沪东中华造船厂生产部多次技术交流，汇报我司焊接机器人设备</t>
  </si>
  <si>
    <t>客户扩建厂房需要公开招标5套移动式焊接机器人</t>
  </si>
  <si>
    <t>2021-07-08 15:05:46</t>
  </si>
  <si>
    <t>XM-202107087443</t>
  </si>
  <si>
    <t>洪屏抽水蓄能项目(二期)</t>
  </si>
  <si>
    <t>江西省抽水蓄能规划“十四五”重点实施项目，总装机容量为180万千瓦，主要由上水库、输水系统、地下厂房系统、地面开关站及下水库等建筑物组成，与已建洪屏抽水蓄能电站一期工程共用上、下水库，项目投资51.14亿元。</t>
  </si>
  <si>
    <t>输水系统总长度3459米</t>
  </si>
  <si>
    <t>江西洪屛抽水蓄能有限公司</t>
  </si>
  <si>
    <t>华东电力勘测设计院</t>
  </si>
  <si>
    <t>中铁十八局二公司</t>
  </si>
  <si>
    <t>ZTT3530-1-(/);智能焊接机器人-5-(/);</t>
  </si>
  <si>
    <t>2025-10-30</t>
  </si>
  <si>
    <t>1、主体工程由中铁十八局二公司和十五局五公司中标，其中十五局五公司负责排水廊道和主厂房施工，其中排水廊道长度为3459米。
2、 6月20日智能制造研究设计院王霄腾院长与华北区域指挥部赵瑞带队前往十八局二公司与公司董事长进行了关于高压钢管建厂及隧道高压钢管安装采用机器人焊接的可行性方案进行了技术交流。
3、智能制造研究设计院方案修改后已经重新报价，5300元/吨。
4、集团领导白广州总已经在预约中铁十八局二公司董事长准备就该项目探讨深度合作的可行性。</t>
  </si>
  <si>
    <t>与公司智能院及华北区域该项目责任人积极对接了解公司与18局2公司沟通结果和项目招标时间.</t>
  </si>
  <si>
    <t>刘柯</t>
  </si>
  <si>
    <t>2021-10-21 09:46:44</t>
  </si>
  <si>
    <t>XM-202110218364</t>
  </si>
  <si>
    <t>上海轨道交通21号线一期工程</t>
  </si>
  <si>
    <t>线路长28km，设站16座，建设工期6年，采用A型车6辆编组，最高运行时速80公里</t>
  </si>
  <si>
    <t>线路长28km，需求6米级土压平衡盾构机</t>
  </si>
  <si>
    <t>369.0000000000</t>
  </si>
  <si>
    <t>中标单位上海机施，上海基础，中铁四局，上海路桥，中建八局，上海隧道，宏润建设，腾达建设，暂无设备缺口。</t>
  </si>
  <si>
    <t>跟进中标单位需求情况</t>
  </si>
  <si>
    <t>已对接中标单位上海机施，上海基础，中铁四局，上海路桥，中建八局，上海隧道，宏润建设，腾达建设</t>
  </si>
  <si>
    <t>2021-07-08 14:51:20</t>
  </si>
  <si>
    <t>XM-202107087434</t>
  </si>
  <si>
    <t>隆昌路越江隧道新建工程</t>
  </si>
  <si>
    <t>工程北起杨浦区隆昌路-杨树浦路交叉口，南至浦东新区云山路-栖山路交叉口，工程采用双管单层盾构越江方案，双向4车道，全长约2公里。总投资27亿元，21年计划下半年开工。</t>
  </si>
  <si>
    <t>工程采用双管单层盾构越江方案，双向4车道，全长约2公里</t>
  </si>
  <si>
    <t>上海城建</t>
  </si>
  <si>
    <t>2024-06-15</t>
  </si>
  <si>
    <t>上海基础已中标，准备改造其自有泥水盾构DZ536</t>
  </si>
  <si>
    <t>与上海基础保持密切沟通，准备改造设备技术交流等事宜</t>
  </si>
  <si>
    <t>已初步进行沟通，待其项目正式开工</t>
  </si>
  <si>
    <t>XM-202103225441</t>
  </si>
  <si>
    <t>浙江金台城际铁路项目</t>
  </si>
  <si>
    <t>全长158.24公里，速度达350km/h，金台铁路自新金温铁路的永康南站引出，向东经壶镇、磐安、仙居、临海和台州市区，主线约148.49km,同时还将新建武义枫山联络线11.126公里，永康南疏解线长6.05km，台州地区配套建设台州至台州南货车联络线15.94km。</t>
  </si>
  <si>
    <t>项目已获省发改委批准，但开工时间未定</t>
  </si>
  <si>
    <t>继跟踪后续项目进展情况。</t>
  </si>
  <si>
    <t>1、核心问题：目前项目施工还未开始招标，开工时间也为明确；
2、工作思路：对接好设计院等中标后各施工单位及业主方；
3、关键点：确定项目启动时间及设备需求时间，然后再确认设备选型方案；
4、行动计划：时刻保持与客户的联系，配合客户前期投标等工作。</t>
  </si>
  <si>
    <t>2022-03-30 11:51:42</t>
  </si>
  <si>
    <t>XM-2022033010130</t>
  </si>
  <si>
    <t>杭州中环（G104国道）过江隧道工程</t>
  </si>
  <si>
    <t>北接海宁市孙家跳头，临近杭浦高速，南接钱塘区江南联营养殖有限公司，临近滨江二路，隧道标准断面为双向六车道，全长5.9km，其中海宁市境内长度为3.5km，钱塘区境内长度为2.4km。过江隧道总投资为65.7亿元，其中海宁市境内总投资约为39.0亿元，钱塘区境内总投资约为26.7亿元；</t>
  </si>
  <si>
    <t>隧道标准断面为双向六车道，全长5.9km，其中海宁市境内长度为3.5km，钱塘区境内长度为2.4km。</t>
  </si>
  <si>
    <t>海宁市交通运输局</t>
  </si>
  <si>
    <t>2023-03-16</t>
  </si>
  <si>
    <t>初步设计为浙江数智交院，目前项目处于前期阶段，由于嘉兴市与杭州钱塘区就建设出资问题未达成一致，导致项目推进缓慢</t>
  </si>
  <si>
    <t>资金情况暂未落实，未纳入杭州及嘉兴市2024年计划开工项目</t>
  </si>
  <si>
    <t>2021-08-07 07:57:48</t>
  </si>
  <si>
    <t>XM-202108077756</t>
  </si>
  <si>
    <t>上海轨道交通23号线</t>
  </si>
  <si>
    <t>主要为淤泥质软土，采用6.6米管片外径盾构机</t>
  </si>
  <si>
    <t>有隧道区间</t>
  </si>
  <si>
    <t>申通地铁</t>
  </si>
  <si>
    <t>1标上海轨道交通院，2标上海城建院，3标为铁一院</t>
  </si>
  <si>
    <t>2024-05-08</t>
  </si>
  <si>
    <t>跟进中标单位设备缺口情况，目前没有明确盾构需求。</t>
  </si>
  <si>
    <t>跟进施工单位，寻找设备缺口单位。</t>
  </si>
  <si>
    <t>已获得所有中标单位信息</t>
  </si>
  <si>
    <t>(多项)</t>
  </si>
  <si>
    <t>计数项:项目名称</t>
  </si>
  <si>
    <t>总计</t>
  </si>
  <si>
    <t>责任人</t>
  </si>
  <si>
    <t>项目数量</t>
  </si>
  <si>
    <t>更新项目数量</t>
  </si>
  <si>
    <t>更新数量排名</t>
  </si>
  <si>
    <t>更新率</t>
  </si>
  <si>
    <t>更新率排名</t>
  </si>
  <si>
    <t>综合排名
（各占50%）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</si>
</sst>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8">
    <xf numFmtId="0" fontId="0" fillId="0" borderId="0" xfId="0" applyFont="1">
      <alignment vertical="center"/>
    </xf>
    <xf numFmtId="0" fontId="0" fillId="0" borderId="0" xfId="0" applyFont="1" applyAlignment="1">
      <alignment horizontal="center" vertical="center" wrapText="1"/>
    </xf>
    <xf numFmtId="0" fontId="0"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1" xfId="0" applyFont="1" applyBorder="1" applyAlignment="1">
      <alignment horizontal="center" vertical="center" wrapText="1"/>
    </xf>
    <xf numFmtId="0" fontId="0" fillId="0" borderId="1" xfId="0" applyFont="1" applyBorder="1" applyAlignment="1">
      <alignment horizontal="center" vertical="center"/>
    </xf>
    <xf numFmtId="10" fontId="0" fillId="0" borderId="1" xfId="0" applyNumberFormat="1" applyFont="1" applyBorder="1" applyAlignment="1">
      <alignment horizontal="center" vertical="center"/>
    </xf>
    <xf numFmtId="0" fontId="0" fillId="2" borderId="1" xfId="0" applyFont="1" applyFill="1" applyBorder="1" applyAlignment="1">
      <alignment horizontal="center" vertical="center"/>
    </xf>
    <xf numFmtId="0" fontId="0" fillId="0" borderId="0" xfId="0" applyFont="1" applyAlignment="1">
      <alignment vertical="center"/>
    </xf>
    <xf numFmtId="0" fontId="0" fillId="0" borderId="0" xfId="0" applyFont="1" applyAlignment="1">
      <alignment horizontal="center" vertical="center"/>
    </xf>
    <xf numFmtId="0" fontId="0" fillId="0" borderId="1" xfId="0" applyFont="1" applyBorder="1" applyAlignment="1">
      <alignment horizontal="center"/>
    </xf>
    <xf numFmtId="0" fontId="0" fillId="0" borderId="1" xfId="0" applyFont="1" applyBorder="1" applyAlignment="1"/>
    <xf numFmtId="14" fontId="0" fillId="0" borderId="1" xfId="0" applyNumberFormat="1" applyFont="1" applyBorder="1" applyAlignment="1">
      <alignment horizontal="center" vertical="center" wrapText="1"/>
    </xf>
    <xf numFmtId="0" fontId="0" fillId="0" borderId="1" xfId="0" applyFont="1" applyBorder="1" applyAlignment="1">
      <alignment vertical="center" wrapText="1"/>
    </xf>
    <xf numFmtId="14"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FFF00"/>
          <bgColor rgb="FF00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pivotCacheDefinition" Target="pivotCache/pivotCacheDefinition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120.7008564815" refreshedBy="刘柯2[E3]" recordCount="135">
  <cacheSource type="worksheet">
    <worksheetSource ref="A1:AG1048576" sheet="exportReport"/>
  </cacheSource>
  <cacheFields count="32">
    <cacheField name="最后修改时间" numFmtId="0">
      <sharedItems containsString="0" containsBlank="1" containsNonDate="0" containsDate="1" minDate="2024-03-24T00:00:00" maxDate="2026-04-08T00:00:00" count="24">
        <d v="2026-04-08T00:00:00"/>
        <d v="2026-04-02T00:00:00"/>
        <d v="2026-04-01T00:00:00"/>
        <d v="2026-03-31T00:00:00"/>
        <d v="2026-03-30T00:00:00"/>
        <d v="2026-03-26T00:00:00"/>
        <d v="2026-03-20T00:00:00"/>
        <d v="2026-03-02T00:00:00"/>
        <d v="2026-01-31T00:00:00"/>
        <d v="2025-12-31T00:00:00"/>
        <d v="2025-12-30T00:00:00"/>
        <d v="2025-11-29T00:00:00"/>
        <d v="2025-11-06T00:00:00"/>
        <d v="2025-11-01T00:00:00"/>
        <d v="2025-10-31T00:00:00"/>
        <d v="2025-10-30T00:00:00"/>
        <d v="2025-10-22T00:00:00"/>
        <d v="2025-08-31T00:00:00"/>
        <d v="2025-01-05T00:00:00"/>
        <d v="2025-01-02T00:00:00"/>
        <d v="2024-12-31T00:00:00"/>
        <d v="2024-04-16T00:00:00"/>
        <d v="2024-03-24T00:00:00"/>
        <m/>
      </sharedItems>
    </cacheField>
    <cacheField name="创建时间" numFmtId="0">
      <sharedItems containsBlank="1" count="133">
        <s v="2025-09-01 08:32:50"/>
        <s v="2021-03-22 16:17:32"/>
        <s v="2024-12-31 10:27:46"/>
        <s v="2022-03-30 11:56:51"/>
        <s v="2021-03-22 16:17:29"/>
        <s v="2024-03-17 00:00:10"/>
        <s v="2024-04-01 17:44:56"/>
        <s v="2023-06-04 14:11:20"/>
        <s v="2023-06-04 15:23:57"/>
        <s v="2023-06-04 15:25:58"/>
        <s v="2023-06-04 15:28:00"/>
        <s v="2024-04-29 14:12:35"/>
        <s v="2025-05-30 22:27:47"/>
        <s v="2025-03-31 10:42:11"/>
        <s v="2024-12-30 19:58:12"/>
        <s v="2025-04-27 17:35:04"/>
        <s v="2024-12-30 20:10:19"/>
        <s v="2025-06-28 14:14:37"/>
        <s v="2025-05-30 22:36:59"/>
        <s v="2025-07-30 21:51:39"/>
        <s v="2025-07-30 21:54:11"/>
        <s v="2025-07-30 21:57:25"/>
        <s v="2025-07-30 22:00:05"/>
        <s v="2025-08-31 18:42:24"/>
        <s v="2025-08-31 18:57:41"/>
        <s v="2025-09-28 22:31:42"/>
        <s v="2023-08-26 22:48:07"/>
        <s v="2025-03-28 09:13:07"/>
        <s v="2021-10-22 22:28:26"/>
        <s v="2023-07-30 11:38:46"/>
        <s v="2024-10-27 12:47:44"/>
        <s v="2025-04-28 09:17:32"/>
        <s v="2024-07-09 16:48:49"/>
        <s v="2025-06-27 09:01:24"/>
        <s v="2025-06-27 08:55:23"/>
        <s v="2023-07-30 11:03:50"/>
        <s v="2024-12-30 20:33:31"/>
        <s v="2024-03-11 11:18:15"/>
        <s v="2023-10-31 22:50:29"/>
        <s v="2024-03-02 21:13:37"/>
        <s v="2024-12-30 15:45:19"/>
        <s v="2024-12-30 15:51:47"/>
        <s v="2024-12-30 16:11:54"/>
        <s v="2025-03-31 11:20:27"/>
        <s v="2025-07-24 18:23:14"/>
        <s v="2025-07-30 19:50:03"/>
        <s v="2025-07-30 19:55:31"/>
        <s v="2025-07-30 20:00:43"/>
        <s v="2025-09-01 08:11:13"/>
        <s v="2026-02-04 15:14:30"/>
        <s v="2025-11-03 21:12:01"/>
        <s v="2025-09-21 11:52:15"/>
        <s v="2025-11-03 20:57:04"/>
        <s v="2025-03-25 21:36:01"/>
        <s v="2024-03-18 21:50:49"/>
        <s v="2024-08-17 22:47:47"/>
        <s v="2024-08-17 23:30:25"/>
        <s v="2023-06-03 13:55:02"/>
        <s v="2023-06-03 14:00:36"/>
        <s v="2023-06-04 20:49:20"/>
        <s v="2021-03-22 16:17:26"/>
        <s v="2021-07-10 14:16:49"/>
        <s v="2021-03-22 16:17:25"/>
        <s v="2025-08-11 08:54:11"/>
        <s v="2025-11-14 17:28:39"/>
        <s v="2025-08-15 10:20:59"/>
        <s v="2025-08-15 10:18:46"/>
        <s v="2025-08-16 10:28:05"/>
        <s v="2026-01-25 16:53:31"/>
        <s v="2021-07-23 19:08:29"/>
        <s v="2021-10-21 09:52:43"/>
        <s v="2026-01-25 16:48:37"/>
        <s v="2025-08-15 10:16:38"/>
        <s v="2025-04-28 15:57:52"/>
        <s v="2021-10-21 09:41:03"/>
        <s v="2026-01-25 16:43:21"/>
        <s v="2025-08-11 08:29:46"/>
        <s v="2025-11-05 14:43:33"/>
        <s v="2026-01-26 12:11:36"/>
        <s v="2024-03-02 21:01:27"/>
        <s v="2024-04-27 14:29:03"/>
        <s v="2025-03-28 08:41:46"/>
        <s v="2023-06-03 13:28:53"/>
        <s v="2023-06-04 14:39:11"/>
        <s v="2023-06-04 14:52:37"/>
        <s v="2023-06-04 15:31:24"/>
        <s v="2024-03-03 11:12:22"/>
        <s v="2024-04-29 13:18:19"/>
        <s v="2024-04-29 13:28:18"/>
        <s v="2024-04-29 14:17:49"/>
        <s v="2025-07-31 22:48:36"/>
        <s v="2023-06-04 14:30:41"/>
        <s v="2023-06-04 14:50:23"/>
        <s v="2023-06-04 14:57:11"/>
        <s v="2023-06-04 14:59:23"/>
        <s v="2023-06-04 14:48:19"/>
        <s v="2023-06-04 15:05:17"/>
        <s v="2023-06-04 15:10:55"/>
        <s v="2024-03-03 11:21:23"/>
        <s v="2025-05-31 22:22:13"/>
        <s v="2025-06-28 15:14:18"/>
        <s v="2025-09-21 16:01:17"/>
        <s v="2024-01-09 16:39:41"/>
        <s v="2025-04-02 10:16:10"/>
        <s v="2023-06-04 14:36:50"/>
        <s v="2023-06-04 15:17:06"/>
        <s v="2023-06-04 15:21:46"/>
        <s v="2025-06-28 14:25:48"/>
        <s v="2023-06-04 13:33:59"/>
        <s v="2023-06-04 14:14:00"/>
        <s v="2023-06-04 15:18:49"/>
        <s v="2022-08-14 21:10:02"/>
        <s v="2025-08-15 10:13:54"/>
        <s v="2025-05-28 08:51:01"/>
        <s v="2025-03-30 21:37:49"/>
        <s v="2024-05-20 14:45:53"/>
        <s v="2024-04-01 17:48:27"/>
        <s v="2023-10-08 09:09:10"/>
        <s v="2023-09-15 09:50:26"/>
        <s v="2023-09-15 09:53:31"/>
        <s v="2023-09-15 09:58:48"/>
        <s v="2023-09-15 09:56:34"/>
        <s v="2023-07-28 16:58:48"/>
        <s v="2023-02-20 18:17:39"/>
        <s v="2023-03-30 21:27:56"/>
        <s v="2021-03-22 16:17:23"/>
        <s v="2025-10-22 12:42:19"/>
        <s v="2021-07-08 15:05:46"/>
        <s v="2021-10-21 09:46:44"/>
        <s v="2021-07-08 14:51:20"/>
        <s v="2022-03-30 11:51:42"/>
        <s v="2021-08-07 07:57:48"/>
        <m/>
      </sharedItems>
    </cacheField>
    <cacheField name="项目编号" numFmtId="0">
      <sharedItems containsBlank="1" count="135">
        <s v="XM-2025090120213"/>
        <s v="XM-202103225487"/>
        <s v="XM-2024123118565"/>
        <s v="XM-2022033010131"/>
        <s v="XM-202103225470"/>
        <s v="XM-2024031716419"/>
        <s v="XM-2024040116522"/>
        <s v="XM-202103225471"/>
        <s v="XM-2023060413963"/>
        <s v="XM-2023060413977"/>
        <s v="XM-2023060413982"/>
        <s v="XM-2023060413978"/>
        <s v="XM-2024042916696"/>
        <s v="XM-2025053019572"/>
        <s v="XM-2025033119073"/>
        <s v="XM-2024123018582"/>
        <s v="XM-2025042719283"/>
        <s v="XM-2024123018564"/>
        <s v="XM-2025062819740"/>
        <s v="XM-2025053019573"/>
        <s v="XM-2025073019964"/>
        <s v="XM-2025073019965"/>
        <s v="XM-2025073019966"/>
        <s v="XM-2025073019967"/>
        <s v="XM-2025083120210"/>
        <s v="XM-2025083120211"/>
        <s v="XM-2025092820433"/>
        <s v="XM-2023082614800"/>
        <s v="XM-2025032819047"/>
        <s v="XM-202110228391"/>
        <s v="XM-2023073014507"/>
        <s v="XM-2024102718062"/>
        <s v="XM-2025042819285"/>
        <s v="XM-2024070917264"/>
        <s v="XM-2025062719731"/>
        <s v="XM-2025062719730"/>
        <s v="XM-2023073014506"/>
        <s v="XM-2024123018583"/>
        <s v="XM-2024031116383"/>
        <s v="XM-2023103115374"/>
        <s v="XM-2024030216332"/>
        <s v="XM-2024123018580"/>
        <s v="XM-2024123018581"/>
        <s v="XM-2024123018563"/>
        <s v="XM-2025033119080"/>
        <s v="XM-2025072419941"/>
        <s v="XM-2025073019970"/>
        <s v="XM-2025073019971"/>
        <s v="XM-2025073019972"/>
        <s v="XM-2025090120220"/>
        <s v="XM-2026020421410"/>
        <s v="XM-2025110320608"/>
        <s v="XM-2025092120374"/>
        <s v="XM-2025110320607"/>
        <s v="XM-2025032519021"/>
        <s v="XM-2024031816424"/>
        <s v="XM-2024081717582"/>
        <s v="XM-2024081717583"/>
        <s v="XM-2023060313944"/>
        <s v="XM-2023060313939"/>
        <s v="XM-2023060413979"/>
        <s v="XM-202103225455"/>
        <s v="XM-202107107455"/>
        <s v="XM-202103225449"/>
        <s v="XM-2025081120013"/>
        <s v="XM-2025111420712"/>
        <s v="XM-2025081520064"/>
        <s v="XM-2025081520063"/>
        <s v="XM-2025081620059"/>
        <s v="XM-2026012521261"/>
        <s v="XM-202107237599"/>
        <s v="XM-202110218365"/>
        <s v="XM-2026012521270"/>
        <s v="XM-2025081520062"/>
        <s v="XM-2025042819326"/>
        <s v="XM-202110218363"/>
        <s v="XM-2026012521260"/>
        <s v="XM-2025081120030"/>
        <s v="XM-2025110520640"/>
        <s v="XM-2026012621262"/>
        <s v="XM-2024030216331"/>
        <s v="XM-2024042716658"/>
        <s v="XM-2025032819050"/>
        <s v="XM-2023060313941"/>
        <s v="XM-2023060413970"/>
        <s v="XM-2023060413957"/>
        <s v="XM-2023060413983"/>
        <s v="XM-2024030316329"/>
        <s v="XM-2024042916710"/>
        <s v="XM-2024042916711"/>
        <s v="XM-2024042916713"/>
        <s v="XM-2025073119973"/>
        <s v="XM-2023060413968"/>
        <s v="XM-2023060413956"/>
        <s v="XM-2023060413959"/>
        <s v="XM-2023060413971"/>
        <s v="XM-2023060413955"/>
        <s v="XM-2023060413973"/>
        <s v="XM-2023060413980"/>
        <s v="XM-2024030316334"/>
        <s v="XM-2025053119574"/>
        <s v="XM-2025062819732"/>
        <s v="XM-2025092120380"/>
        <s v="XM-2024010916075"/>
        <s v="XM-2025040219111"/>
        <s v="XM-2023060413969"/>
        <s v="XM-2023060413974"/>
        <s v="XM-2023060413976"/>
        <s v="XM-2025062819741"/>
        <s v="XM-2023060413951"/>
        <s v="XM-2023060413964"/>
        <s v="XM-2023060413975"/>
        <s v="XM-2022081411712"/>
        <s v="XM-2025081520061"/>
        <s v="XM-2025052819560"/>
        <s v="XM-2025033019071"/>
        <s v="XM-2024052016843"/>
        <s v="XM-2024040116513"/>
        <s v="XM-2023100815155"/>
        <s v="XM-2023091514972"/>
        <s v="XM-2023091514973"/>
        <s v="XM-2023091514982"/>
        <s v="XM-2023091514981"/>
        <s v="XM-2023072814497"/>
        <s v="XM-2023022013052"/>
        <s v="XM-2023033013370"/>
        <s v="XM-202103225438"/>
        <s v="XM-2025102220570"/>
        <s v="XM-202107087443"/>
        <s v="XM-202110218364"/>
        <s v="XM-202107087434"/>
        <s v="XM-202103225441"/>
        <s v="XM-2022033010130"/>
        <s v="XM-202108077756"/>
        <m/>
      </sharedItems>
    </cacheField>
    <cacheField name="项目名称" numFmtId="0">
      <sharedItems containsBlank="1" count="135">
        <s v="浙江物产DZ622盾构机维修改造项目"/>
        <s v="浙江金华金武永东轨道交通项目"/>
        <s v="义龙庆高速公路义乌至龙泉段（金华段）▲"/>
        <s v="杭州下沙至嘉兴长安城际铁路"/>
        <s v="文一西路西延工程（三期）"/>
        <s v="杭州站经望江门越江隧道至杭州南站连接线工程"/>
        <s v="G2531杭州至上饶高速公路（杭淳开高速公路）（杭州段）"/>
        <s v="漳汕铁路项目"/>
        <s v="铅山抽水蓄能项目"/>
        <s v="遂川抽水蓄能电站"/>
        <s v="永新抽水蓄能电站"/>
        <s v="永丰抽水蓄能电站"/>
        <s v="厦门钨业武宁县大湖塘北区钨矿20000t/d采选工程"/>
        <s v="市域供水联通保障工程（九溪水厂过江通道）"/>
        <s v="赣州市中心城区供水一体化项目取水及隧洞建设工程（上犹江水资源配置工程）"/>
        <s v="浙江特高压交流环网嘉兴-宁波段跨越钱塘江输电工程GIL管廊"/>
        <s v="上饶市广丰区壶峤砂岩矿绿色开发运营一体化项目"/>
        <s v="沪昆铁路立交(滨江区段)城市枢纽综合管网工程(江南大道 -信诚路)标段"/>
        <s v="江西漂塘钨业液压掘进台车采购需求"/>
        <s v="舟山市百兆瓦潮流能发电机组并网示范项目"/>
        <s v="合肥至温州高速公路浙皖界至桐庐段（湖州北段）"/>
        <s v="德清至安吉高速公路德清舞阳至安吉昌硕段"/>
        <s v="德清至安吉高速公路德清雷甸至舞阳段"/>
        <s v="S304临平至安吉公路德清县雷甸至舞阳段"/>
        <s v="文二西路提升改造工程"/>
        <s v="庄河核电厂循环水进水管道与排水管道隧道"/>
        <s v="新建上海至杭州高速铁路（沪杭高铁）"/>
        <s v="巴东至张家界高速沪蓉沪渝连接线项目"/>
        <s v="宁波枢纽建设工程绕城高速改扩建项目"/>
        <s v="宁波至余慈市域（郊）铁路二期"/>
        <s v="甬江流域南排通道工程"/>
        <s v="甬金衢上高速公路台州段"/>
        <s v="宁波象山港北岸配水（一期）工程Ⅰ标段"/>
        <s v="乌岩港大桥及接线公路工程"/>
        <s v="机场路(通途西路-规划空港大道)综合管廊工程"/>
        <s v="环城南路(联丰中路-世纪大道)综合管廊工程"/>
        <s v="台州市中心大道路过江通道"/>
        <s v="中铁二十一局集团川气东送项目"/>
        <s v="中铁二十二局义龙庆7标项目部"/>
        <s v="甬舟高速公路复线二期"/>
        <s v="浙江柯城抽水蓄能电站"/>
        <s v="绍兴市城市轨道交通4号线1标"/>
        <s v="绍兴市地铁5号线"/>
        <s v="甬金衢上高速（衢州段）"/>
        <s v="绍兴市地铁4号线2标"/>
        <s v="杭淳开高速衢州段"/>
        <s v="中铁隆绍兴市城市轨道交通4号线6标"/>
        <s v="绍兴市城市轨道交通4号线3标"/>
        <s v="绍兴市城市轨道交通4号线8标"/>
        <s v="诸暨至嵊州高速公路"/>
        <s v="华能霞浦核电项目排水隧道"/>
        <s v="将乐百祥矿业长距离皮带机项目"/>
        <s v="中铁十七局沈海线漳诏高速扩容工程A9标"/>
        <s v="中铁十七局潮州至南昌高速福建三明段A7标"/>
        <s v="厦门九龙江北溪引水左干渠提升改造工程"/>
        <s v="福建“一库三线”项目"/>
        <s v="福州地铁第3轮规划（6号线西延线）"/>
        <s v="厦门轨道交通3期（9号线二期）"/>
        <s v="上饶至浦城高速公路（福建段）"/>
        <s v="沈海高速福厦段二期扩容工程"/>
        <s v="福州地铁3轮规划（S1线祥谦至福清）"/>
        <s v="沈海联络线泉（州）梅（州）高速公路泉州段"/>
        <s v="闽西南水资源配置工程"/>
        <s v="厦漳泉R1线"/>
        <s v="合流污水支线1.4标"/>
        <s v="上海轨道交通19号线"/>
        <s v="上海轨道交通27号线（浦南线）"/>
        <s v="燃气过江隧道"/>
        <s v="上海原水西环线南北段项目焊接机器人设备"/>
        <s v="上海市临海电力项目"/>
        <s v="上海南北通道"/>
        <s v="上海市南枫线"/>
        <s v="上海城建库管1.6标"/>
        <s v="蒙电入沪"/>
        <s v="上海嘉闵线北延"/>
        <s v="上海地铁20号线"/>
        <s v="上海原水西环线1.2标"/>
        <s v="上海路桥库管项目1.5标"/>
        <s v="中铁十五局集团有限公司 2025-2026年度钢模板、挂篮模板、套筒、波纹管、锚杆等物资框架协议采购"/>
        <s v="福建马坑矿业液压掘进台车采购需求"/>
        <s v="上虞区曹娥江市政过江隧道项目"/>
        <s v="台州市域铁路S4线"/>
        <s v="天河抽水蓄能电站"/>
        <s v="温武吉铁路"/>
        <s v="新干至兴国高速公路"/>
        <s v="寻乌至全南高速公路西延段"/>
        <s v="横峰抽水蓄能电站"/>
        <s v="江西抚州宜黄县二都镇高山饰面用花岗岩矿矿山建设+生产加工项目"/>
        <s v="G220武穴至瑞昌过江通道"/>
        <s v="湖口至九江跨湖二通道"/>
        <s v="萍乡市自然资源矿业开发有限公司上栗县楚山绿色建材项目"/>
        <s v="安能二局边坡支护设备需求"/>
        <s v="南昌北二环高速公路"/>
        <s v="上饶至德兴至婺源高速公路"/>
        <s v="上饶浙赣界至金溪高速公路一期工程                        （浙赣界至宁上高速段）"/>
        <s v="瑶湖隧道"/>
        <s v="宜春东北绕城高速公路"/>
        <s v="福银高速江西段二通道 （九江至黄梅过江通道）"/>
        <s v="九江至小池过江通道"/>
        <s v="南昌昌北国际机场三期扩建工程"/>
        <s v="江铜银珠山矿业有限公司"/>
        <s v="长株桂新高速项目"/>
        <s v="徐公岛核能项目进场道路及电力送出项目"/>
        <s v="吉水县双村镇旦元普通建筑用砂岩矿绿色开发运营一体化服务招商项目"/>
        <s v="中铁十九局陕西浙交秦新矿业有限公司西峪矿开采及破碎加工项目"/>
        <s v="G7021宁武高速新干至瑞昌（赣鄂界）工程"/>
        <s v="寻乌抽水蓄能电站"/>
        <s v="安远县营口水库及抽水蓄能电站"/>
        <s v="赣州市海鑫矿业有限公司液压掘进台车采购需求"/>
        <s v="弋阳至南丰高速公路建设项目"/>
        <s v="袁河河道提升工程"/>
        <s v="赣县抽水蓄能电站"/>
        <s v="东阳石马潭水库枢纽工程"/>
        <s v="S7沪崇高速"/>
        <s v="S7崇明西通道"/>
        <s v="水乡旅游线城际铁路"/>
        <s v="上海市青草沙库管连通管项目"/>
        <s v="科海路南延过江隧道"/>
        <s v="潮王路-新风路连通工程（三期工程）"/>
        <s v="梧桐路过江隧道"/>
        <s v="军师路过江隧道"/>
        <s v="绕城高速改线过江隧道项目"/>
        <s v="亚太路过江隧道"/>
        <s v="泉州晋江隧道"/>
        <s v="紫金金沙钼矿TBM"/>
        <s v="紫金矿业YAMA、NC塞紫铜铁路线改造项目"/>
        <s v="沪平市域铁路项目"/>
        <s v="沪东中华造船（集团）有限公司移动式焊接机器人"/>
        <s v="洪屏抽水蓄能项目(二期)"/>
        <s v="上海轨道交通21号线一期工程"/>
        <s v="隆昌路越江隧道新建工程"/>
        <s v="浙江金台城际铁路项目"/>
        <s v="杭州中环（G104国道）过江隧道工程"/>
        <s v="上海轨道交通23号线"/>
        <m/>
      </sharedItems>
    </cacheField>
    <cacheField name="项目概况" numFmtId="0">
      <sharedItems containsBlank="1" count="135" longText="1">
        <s v="浙江物产工服DZ622盾构机维修改造，更换主轴承、新制刀盘、二级维修"/>
        <s v="金武永东市域铁路预计总投资435.2亿元，线路全长111.7公里，其中地下线长约32.9公里，占比29.5%，位于金华市、武义县、永康市的中心城区和在建横店机场、横店镇；高架线及过渡段长约72.4公里，山岭隧道线长约6.4公里。全线设站26座，其中地下站14座，高架站12座。换乘站4座，平均站间距约4.5公里。"/>
        <s v="全长约105.5公里，采用双向四/六车道高速公路标准，设计速度120km/h"/>
        <s v="本项目线路总体由南向北,由杭州地铁1号线文海南路站引出，自浙江钱塘区下沙街道经海宁高新区至长安镇区，终点杭海城际铁路长安站。项目线路全长约20公里，暂定设车站7座（另预留1座），包含地上、地下车站，最高运行速度120km/h，隨道长度5.10公里，2区间"/>
        <s v="项目西起临余桥东，与现状已建科技大道（临安段）衔接，东至南湖圩堤北6#盾构井，全长约5公里。项目分为快速路系统和地面辅道系统两部分。快速路系统重，地下快速路长约1.77公里，地面快速路长约3.25公里；地面辅道全长约3.76公里。"/>
        <s v="望江门隧道是杭州铁路枢纽规划中预留的一条过江通道。北端连接杭州城站，以过江隧道的形式穿过钱塘江，进入滨江区境内，继续以地下隧道的形式向东延伸，经过萧山城区。最终向东可连接机场高铁，连通萧山机场，向南可连至火车南站。线路全长14.74km，其中地下隧道长11.7km,计划2024启动可研编制"/>
        <s v="杭州至上饶高速公路中环至浙赣界（杭淳开高速公路）项目工可推荐方案起点位于富阳区银湖街道六家山村附近与杭州中环相交，起点桩号K0+000，浙江段止于浙江省开化县与江西省德兴市交界处，终点桩号K246+057，路线全长约246km（含千黄高速公路利用段约20km），新建里程约226km。工程总投资约709亿元"/>
        <s v="1标中铁十一局一公司，门口山隧道5800m_x000d__x000a_2标中铁十二局二公司，大岭隧道13434m；3标中铁四局五公司，林萍隧道2800m；_x000d__x000a_4标中铁大桥局六公司，凤山岭隧道1870m。"/>
        <s v="铅山县高桥抽水蓄能电站位于铅山县境内，电站拟建规模为200～240万千瓦。项目动态投资约200亿元"/>
        <s v="进厂交通洞1786m，断面8*8.8，通风安全洞1087m，断面7*6.5，施工支洞共3782m."/>
        <s v="进厂交通洞1485m，断面尺寸8*8.5，通风安全洞1138m，断面尺寸7*6.5，采用钻爆法全断面开挖。自流排水洞4011m,断面3*3，拟采用TBM施工。"/>
        <s v="电站总装机容量1200MW（4×300MW）为一等大（1）型工程。枢纽工程主要建筑物由上水库、下水库、输水系统、地下厂房和开关站等组成。"/>
        <s v="现有生产系统为地下开采，平硐开拓，留矿法采矿。本次矿山建设开采方式为露天开采。建设规模：采选矿规模为20000t/d。"/>
        <s v="本项目投资估算 37733.75万元，建设规模 ：本项目建设内容为（1）滨江区与西湖区实现互联互通新建管线，主要为新建供水管道DN1600mm长度约3.2公里，新建供水管DN1200mm长度约1.1公里；（2）新建过江盾构管廊一座内径5.5m，外径6.2m，长度约为1.8公里 。"/>
        <s v="骨干引调水线路总长108.6km，其中引水隧洞27.0km、城乡供水输水管道长63.1km、灌溉输水干管长18.5km。引水隧洞拟采用TBM施工。"/>
        <s v="项目处于可研阶段，管廊长度约4.9km，采用11m6管片外径泥水平衡盾构机施工"/>
        <s v="规划建设生产规模不低于600万吨/年，建设期1年，合作期20年，由中铁十九局和上饶市泽海建材有限公司联合中标，十九局中标金额76.84亿元，由广州公司实施。"/>
        <s v="南环路综合管廊(东信大道-信诚路)综合管廊工程，路径总长约2.49km，设计外径8.8m"/>
        <s v="江钨集团漂塘钨业计划采购1台液压掘进台车。"/>
        <s v="舟山市百兆瓦潮流能发电机组并网示范项目，开展发电机组关键部件的制造工艺技术研究，本项目的大型结构件主要包括塔筒、基座、艇舱及端盖、总成平台等，其特点是大尺寸（单件超过30米）、大重量（单件超过100吨），全焊透Ⅰ级焊缝，并且要求热处理消除焊接应力"/>
        <s v="项目起点位于湖州市长兴县泗安镇小界碑村西北侧浙皖交界处，终于与规划德安高速公路安吉昌硕至天荒坪段交叉处，合计约37.915km。全线共设置桥梁约15904m/42座，隧道约2277m/5座，全线桥隧占比约48.0%。沿线共设置枢纽式互通立体交叉1处，一般式互通立体交叉5处，服务区1处（与互通合建）"/>
        <s v="项目推荐方案全长24.13公里，全线采用高速公路标准、双向六车道，设计速度100公里/小时。全线设枢纽互通立交2处，一般互通立交2处。共布设桥梁8208.79米/17座(含枢纽互通区及分离主线桥)，其中特大桥3293.79米/2座，大桥4465.00米/10座、中桥450.00米/5座；隧道6座，折合双洞全长11815.00米，其中:特长隧道3826.50米/1座，长隧道6835.00米/3座，中隧道870.00米/1座，短隧道283.50米/1座；全线桥隧占比82.97%。沿线设施包括互通收费站2处，路段监控通信分中心1处，桥隧监控通信站1处。"/>
        <s v="本项目推荐方案全长21.7公里，全线设枢纽互通立交2处，一般互通立交3处（含续建的上柏互通），设德清南互通连接线2.08km/1条，采用一级公路标准，设计速度80km/h，双向四车道，路基宽度25.5米。共布设桥梁12座，全长17832.18米（其中连续高架桥长约16.195km）；全线桥梁占比82.17%。沿线设施包括互通收费站2处，管理分中心1处，服务区1处。项目估算总投资约116.9亿元（其中涉铁费用约9亿元），建安费约57.68亿元（不含涉铁段）。"/>
        <s v="路线全长约21.3km。涉铁范围总长1290米，其中宁杭高铁、合杭高铁段690米，宣杭铁路段600米。项目拟采用双向六车道和四车道一级公路标准（兼顾城市道路功能），设计速度采用80km/h，整体式路基宽度39m、41m、47m和33.5m。桥梁总长6202.5m/16座，其中特大桥3717.5m/3座，大桥2005m/7座，项目估算总投资约30.3亿元（其中涉铁费用约4亿元），建安费约18.74亿元（不含涉铁段）。"/>
        <s v="项目西起运溪路，东至荆长大道，长约6.7km，工程内容包括新建下穿隧道、地面道路改造、景观品质提升等。新建文二西路隧道长约2.65km，隧道规模为双向四车道。"/>
        <s v="庄河核电厂一期工程每台机组设置 2 条循环水进水管道(GD)，循环水进水管道(GD)采用现浇钢筋混凝土管道内衬玻璃钢管道，内径尺寸为 4000mm；庄河核电厂一期工程每台机组设置 2 条循环水排水管道(GE)，循环水排水管道(GE)采用现浇钢筋混凝土管道内衬玻璃钢管道，内径尺寸为 4750mm"/>
        <s v="线路起自上海东站，经嘉兴进入杭州市，终至杭州西站，全线运营长度220.9km，新建线路长度182.0km，其中嘉兴境内约100公里，设平湖南、嘉兴南、桐乡三座车站。"/>
        <s v="巴东至张家界高速沪蓉沪渝连接线（含巴东长江二桥）起于巴东县城北侧与沪蓉高速公路设枢纽互通相接，向南跨长江，经巴东县茶店子镇、秭归县磨坪乡，止于巴东县野三关镇关镇西侧与沪渝高速公路设枢纽互通相接，路线全长约70.596km。巴东城区北互通连接线全长约4km，磨坪互通连接线长约4.3km，两处连接线均按二车道二级公路标准建设。桥梁全长16250m/35座（其中：特大桥6290m/4座，大桥9870m/30座，中桥90m/1座，其中巴东长江公路二桥主桥推荐采用主跨1150m钢箱梁悬索桥）。隧道全长40511m/16座（其中：特长隧道26743m/5座（其中信陵隧道长度10082m），长隧道11610/7座，中隧道1515/2座，短隧道643/2座）。设互通式立交7处（巴东高铁新区互通、溪丘湾枢纽、巴东城区北互通、巴东城区南互通、秭归磨坪互通、野三关北互通、野三关枢纽）、养护工区1处，服务区1处，路段管理分中心1处。技术标准：全线拟采用80km/h设计速度，四车道的高速公路设计标准，路基宽25.5m，长江大桥采用双向六车道标准。本项目估算总金额约为201亿元。"/>
        <s v="起于古中路与绕城高速的交叉点，止于朝阳互通。路线全长9.4km，隧道长度5.2km，其中盾构段长度3.65km，设置2座通风塔。"/>
        <s v="全长53.95km，全线新建车站13座，其中余姚段21km"/>
        <s v="西线工程总长约57.8公里，主要采用13米级TBM/双模盾构、土压盾构法和钻爆法进行施工。东线工程总长约42.2公里，主要采用13米级土压盾构法、13米级TBM/双模盾构和钻爆法进行施工。此外，全线设计有7口竖井，深度为45米，直径在23米至25米之间，采用竖井掘进机进行施工。"/>
        <s v="甬金衢上高速台州段工程路线起点设置仆船隧道内与绍兴段顺接，隧道出口后设置石梁互通及连接线，过后设置天台山1号隧道（分离式左线长9470m），进洞后路线转向西南，出洞后设置桥梁后再次进入隧道，出洞后进入天台盆地，路线继续向西于白鹤镇南端设置白鹤枢纽与上三高速交叉，跨越上三高速和104国道后，于楼外村附近设置互通与104国道相接，之后向西下穿杭绍台高铁，路线向西于上坝头村附近上跨合溪干渠，在王里溪村附近设置平桥互通及连接线与323省道连通，向西沿山脚布线，于合溪口村西侧跨越合溪，向西在杭绍台高速天台街头互通北侧上跨既有杭绍台高速，并设置街头枢纽与杭绍台高速交叉，路线继续向西沿山脚布线在后洋村附近设置街头互通与连接线与323省道连通，路线沿杨家溪南岸，沿峡谷地带靠山侧布线，采用路基为主的方案进入山区，设置庄家岙隧道、寒山湖隧道，至寒山湖隧道内台州与金华交界处与甬金衢上高速金华段顺接，路线全长约46.6km。项目估算总投资约156.7亿元，其中建安费约93.5亿元。本项目设桥梁长约12678米／30座；隧道长约18680米／6座（其中特长隧道2座、长隧道2座）；主线设枢纽2处（白鹤枢纽、街头枢纽）；互通及收费站4处（石梁互通、天台北互通、平桥互通、街头互通）；服务区1处（平桥服务区）；设置隧道管理站2处；共设置石梁互通、平桥互通与街头互通3条连接线。全线采用双向六车道高速公路设计标准，其中起点至白鹤枢纽、街头互通至终点段采用设计速度100km/h，路基宽度33.5m；白鹤枢纽至街头互通段约20km采用设计速度120km/h，路基宽度34.0m。"/>
        <s v="（1）新建蒋家池头至大嵩水厂引（输）水管线，其中主管线长约 16.9 千米。输水线由蒋家池头调节站始发，向东偏北以顶管（1#管道，长约 221 米）依次下穿莼湖快速路、金溪后，在张家墈转 1#隧洞（长约 4.26 千米）下穿金娥山，在车岭水库南侧山体出洞。再次以顶管（2#管道，长约 659 米）下穿下潘村后，转入 2#隧洞（长约 11.62 千米）穿越横岭山、梅溪，甬绍东天然气管、地铁12号线，在经堂寺南侧山体出洞"/>
        <s v="乌岩港大桥及接线公路工程项目为二级公路，起点位于鹤浦镇黄岩庄，与石三线十字交叉，沿线途经黄金盘、楼屋、大湾塘、小外湾等村庄，在后龙头村南侧跨越乌岩港进入高塘乡，终点接石三线引桥桥头。路线全长约10.567km，采用双向两车道二级公路标准，设计速度60km/h，路面采用沥青混凝土路面。项目预计于2026年动工开建，计划建设周期36个月。"/>
        <s v="机场路(通途西路-规划空港大道)综合管廊工程位于海曙区，北起通途西路管廊预留工作井，南至规划空港大道，全长约9.6公里。管廊规划基本位于道路两侧防护绿带内，标准段采用圆形盾构断面形式(分高压舱和综合舱)，规划预留电力、再生水、给水、压力污水、通信等管位入廊空间。"/>
        <s v="环城南路(联丰中路-世纪大道)综合管廊工程位于海曙区、鄞州区，西起联丰中路，东至世纪大道，全长约13公里。管廊规划基本位于道路两侧防护绿带内，标准段采用圆形盾构断面形式(分高压舱和综合舱)，规划预留电力、再生水、给水、压力污水、通信等管位入廊空间。_x000d__x000a_项目规模：估算总投资约259492.01万元,其中工程费用约170046.97万元。"/>
        <s v="台州市椒江城市发展投资集团有限公司投资的世纪大道路过江隧道，隧道长度2.1km，由椒江区投资，项目已立项完成，采用16.3米泥水平衡盾构机。"/>
        <s v="该项目其中温州市区和瑞安市区有下穿瓯江和飞云江盾构段，长度分别为918米、737米。隧道断面分别为4.25米、3.08米。预计需求两台不同直径泥水盾构，需进一步了解施工单位设备来源。"/>
        <s v="本项目主线右幅YK176+700～YK186+560段长约9.86公里、左幅ZK176+700～ZK186+550段长约9.85公里的路基、桥梁（含伸缩缝安装）、涵洞、隧道（含高位水池，不含隧道机电）、改路改河改渠（含改路路面）等的实施、完成、缺陷责任期缺陷修复等"/>
        <s v="甬舟高速公路复线起于宁波北仑好思房，经金塘岛、册子岛、富翅岛至舟山本岛，近期终于定海大沙，接北向疏港公路，路线总长约45.5km。_x000d__x000a_戚家山-金塘段：长18.038km，目前处于工可阶段。_x000d__x000a_隧道全长11.644km，含盾构段9.89km（其中陆域盾构段1.3km，海中盾构段8.59km），钻爆段1.159km，明挖段0.595km。"/>
        <s v="总投资约80.72亿元，装机容量120万千瓦。电站枢纽工程主要由上水库、下水库、输水系统、地下厂房和开关站等建筑物组成，按装机容量确定为一等大（1）型工程，建成后主要承担浙江电网的调峰、填谷、储能、调频、调相和备用等任务。前期标Q1标：目前已挂网招标，主要包括，连接公路、检修平台、进场交通洞600米、通风安全洞1.2公里 断面大小6.5x7.5米；施工支洞合计7个洞长合计3195米，断面大小从8.0x8.5到3.0x3.0不等；开标时间为10月14日；10月31日定标为水电十二局"/>
        <s v="工程位于浙江省绍兴市越城区。包独树路站/独树路站～银桥路站区间/银桥路站总共2站1区间、银桥路站站后区间及泄压井：_x000d__x000a_(1)独树路站为地下二层岛式站，长183.3m，宽19.7m，深约16.59m。附属设1个出入口。_x000d__x000a_(2)银桥路站为地下二层岛式站，长259.6m，宽19.7m，深约17.42m。附属4个出入口，4组风亭，3个安全出入口。_x000d__x000a_(3)独树路站～银桥路站区间右线1556.858m，左线1556.658m，联络通道2座。_x000d__x000a_(4)银桥路站站后区间左/右线长均为150.891m，不设联络通道。_x000d__x000a_(6)配套的桥梁拆复建1座、绿化迁移、管线迁改、交通导改等施工内容。_x000d__x000a_区间隧道管片外径6.7m，采用2台土压盾构机施工。_x000d__x000a_工期1946个日历天，开竣工日期2024年12月31日～2030年04月30日。"/>
        <s v="线路全长约15.3公里，共设站12座，均为地下站，其中换乘站3座；新建袍中路车辆段1座；新建出入段线2条"/>
        <s v="，项目主线全长122.361km（其中金华段8.065km，衢州段114.296km）。本项目概算总投资2934431万元，其中建安费1762302万元。隧道9536.5米/12 座（其中长隧道6463m/4座，中隧道1514.5m/2座，短隧道1389m/4座，连拱隧道170m/2座），_x000d__x000a_合计分为5个标段，其中3标交工宏图、5标交工大桥有三臂凿岩台车需求。"/>
        <s v="人民东路站～迎宾路站区间、迎宾路站、迎宾路站～独树路站区间总共1站2区间涉及的车站及区间的永久工程；迎宾路站：地下一层为站厅层，地下二层为站台层，站台宽度均为 11m。车站主体基坑长 167.00m，标准段宽 19.7m，端头井宽 24.0m，车站覆土约 3m。标准段坑深约 16.65m，西端头井挖深 18.35m，东端头井挖深18.65m；人民东路站～迎宾路站区间区间长度1500米，迎宾路站～独树路站盾构区间区间长度1980米"/>
        <s v="衢州段合计分为5个标段，中标单位分别为交工金筑、中交二公局、交工集团（交工大桥）、交工宏途、省建投交建；其中1标包含设隧道 6429.5m/5 座，其中特长隧道 1 座(淳开隧道全长 3217m， TJ01 标段实施 3055m)，长隧道 1 座(阳密隧道 1210.5m)，中隧道 2 座(观音尖隧道 923.5m、富林隧道 837m)，短隧道 1 座(天峰隧道 394.5m)需求1台三臂；3标隧道 5766m/3 座，其中特长隧道 1 座(曹门隧道 3067m)、长隧道 1 座〔（上城隧道全长 1416.5m，TJ03 标段实施 1/2 即 708.25m）、（道沃源遂道全长 2716.5m，TJ03 标段实施 1/2即 1358.25m）〕、中隧道 1 座(中村隧道 632.5m)；需求2台三臂；4标特长隧道 1 座(长苏隧道 4709m)、长隧道 3 座〔北源隧道 1935m，枫坞隧道 2629m，（道沃源遂道全长 2716.5m；需求3台3臂"/>
        <s v="站2区间1出入段；区间长分别为784米、895米；出入段长422米"/>
        <s v="世茂天际站～平江路站区间、平江路站～人民东路站区间、人民东路站（含5号线人民东路站）总共1站2区间及平江路站附属结构涉及的车站及区间永久工程"/>
        <s v="黄酒小镇站～东浦站区间（含黄酒小镇站盾构接收端土建改造）、东浦站、东浦站～大树江站区间（含区间拔桩）、大树江站总共2站2区间涉及的车站及区间永久工程"/>
        <s v="项目主线全长约65.3公里，其中诸暨段25.5公里，嵊州段39.8公里，设计时速100公里/小时，采用双向六车道高速公路标准（路基宽度33.5米）。起点位于诸暨市街亭枢纽附近，顺接绍诸高速延伸线；终点为嵊州市三界枢纽，预留向东延伸接口。控制性工程包括穿越诸暨 - 嵊州交界香榧公园的特长隧道群（含竹溪特长隧道，单洞长度超5300米），以及跨谢家水库特大桥（2408米）、樱枝山一号高墩大桥（墩高超80米）。"/>
        <s v="1、福建霞浦核电厂址隶属于宁德市霞浦县长春镇长门村，共3条隧洞，均采用盾构法施工。一期排水隧道，直径8.1m，长度1.88km；二期排水隧洞，直径8.1m，长度3.4km。三期排水隧洞，直径8.1m，长度4.2km。_x000d__x000a_2、一期目前处于初步设计阶段，预计2026年第一季度开工。_x000d__x000a_3、业主：华能霞浦核电有限公司；_x000d__x000a_4、设计院：中交四航院；_x000d__x000a_5、总包方：中核工业。分包工程均在华能电子商务平台上招标，投标单位要同时入围了中国核工业及中国华能供应商库。_x000d__x000a_设备需求：3台ZTS9100。"/>
        <s v="项目名称：将乐百祥矿业有限公司际下矿段方解石矿建设项目_x000d__x000a_1、业主:将乐百祥矿业有限公司，民营企业，成立于2019年，位于福建省将乐县高唐镇楼杉村，专注于非金属矿开采与销售。_x000d__x000a_2、矿区至加工厂距离24km，其中约10km为山路，道路交通条件差，计划将修建隧道，采用皮带机运输。计划2年内完成隧道与皮带机建设。目前十四局集团公司华东经营部牵头对接业主，计划向业主推荐EPC模式，由十四局牵头，联合铁一院，我司配合提供设备技术支持。"/>
        <s v="沈海线漳诏高速扩容工程，共计13个标段，中铁17局中的中标的A9标中，大臣山隧道2339m作为本工程隧道全机械施工试验工点，业主为机械化施工提供500万费用。"/>
        <s v="1、项目全长约96.006公里，建安投资约96.42亿元。_x000d__x000a_2、计划11月7日开标，分8个标，A7标有机械化施工要求。A7 标段的大坪隧道进口端作为隧道全机械施工试验工点，经费500万。"/>
        <s v="1、九龙江北溪引水左干渠提升改造工程，总投资182800万元_x000d__x000a_2、龙屿节制闸至过芸溪段：新建输水通道总长约 5.43 千米，其中海沧水厂上游段隧洞长 3.62 千米，海沧水厂下游段隧洞长 1.72 千米，输水箱涵长 0.09 千米。_x000d__x000a_-深青溪至杏林取水口段：新建输水通道总长约 5.44 千米，其中隧洞长 4.58 千米，输水箱涵长 0.86 千米。_x000d__x000a_3、隧道计划采用管片外径6.2米盾构机施工，主要穿越的地层有残积砂质粘性土、全风化花岗岩、散体状强风化花岗岩、碎裂状强风化花岗岩、中风化花岗岩。"/>
        <s v="1、闽江口城市水资源配置提质增效（一库三线）工程，该工程向福州主城区、滨海新城、莆田等地供水，总体布局为“一库三线”，即在大樟溪新建龙湘大型水库；新建福州主城区、滨海新城及莆田3条输水线路，线路总长约166.5公里，其中新建约76.5公里。_x000d__x000a_2、初步投资匡算约192亿元。"/>
        <s v="福州市轨道交通6号线西延线工程起于洪塘站，终于潘墩站（不含）。线路全长约13.6km，共设车站9座，平均站间距1.486km；全线均为地下敷设。投资总额约135.08亿元_x000d__x000a_2、业主组成：_x000d__x000a_业主单位：福州地铁集团，_x000d__x000a_设计单位：福州地铁轨道交通设计院"/>
        <s v="1、线长18.8km，设站14座，设停车场一座；_x000d__x000a_2、跨海段采用管片外径11.8米泥水平衡盾构机施工，区间长度2.7公里，需求1台，业主于2024年8月24日组织了盾构机选型评审会。_x000d__x000a_3、业主单位：铁一院；业主单位：厦门轨道交通"/>
        <s v="路线规划：起于闽赣交界浦城县盘亭乡界牌村（顺接已通车的江西段），终于官路乡河村村，衔接 G3 京台高速，全长 19.008 公里（较原规划缩短约 10 公里）。_x000d__x000a_建设标准：双向四车道高速公路，设计时速 100km/h，路基宽度 26 米，桥隧比例 57.7%（桥梁 16 座 / 5937.5 米、隧道 2 座 / 5030 米），设盘亭互通、官路枢纽互通 2 处，浮盖山服务区（兼高速出入口）1 处。"/>
        <s v="主线设有桥梁71007.5米/37座，隧道长度为1000米/2座（扩建后）。莆炎高速与莆永高速联络线部分，桥梁长度为8971米/9座，隧道长度为2020米/1座。"/>
        <s v="1、在福州主城区范围内共设置福州南站、祥谦站、中央公园站、汽车城站、东台工业园站5个站点；_x000d__x000a_2、在福清内主要沿福百路走向，设置清繁大道站、清荣大道站、清昌大道站、创业大道站、福清站5个站点。线路长约40km，S1线将与F1线在祥谦站互联互通，可以实现福清市区、福州南站与长乐机场的直连。"/>
        <s v="1、泉梅高速（泉州段）：起于沈海高速黄塘互通，向西经洛江区、南安市，于码头镇铺前村西侧设铺前枢纽汇入现状泉南高速。将原泉南高速由6车道双侧拓宽至8车道，止于永春互通。_x000d__x000a_2、路线全长58.243Km，其中新建里程37.251Km，原位扩容里程20.992Km。隧道4048米/4座，隧道占路线里程7.07%，工程投资估算为95.1334亿元。_x000d__x000a_3、业主单位：泉州市泉三高速公路投资有限责任公司"/>
        <s v="1、闽西南引水工程_x000d__x000a_1.1、工程总体布局为 “两库两闸三线”，总投资 342 亿元。“两库” 分别是漳平浙溪大型水库、华安罗溪中型水库；“两闸” 为九龙江北溪水闸和西溪桥闸；“三线” 为棉花滩、漳州和厦泉等 3 条输水线路。其中泉厦支线，棉花滩支线隧洞会用到TBM施工，TBM隧洞约100公里。预计在2026年下半年启动施工招标工作。_x000d__x000a_1.2项目名称：闽西南水资源配置工程。 _x000d__x000a_相关单位：业主单位：省水投集团；设计单位：省水利水电设计院。_x000d__x000a_建设地点：龙岩市、漳州市、厦门市、泉州市。 _x000d__x000a_建设内容：工程由新建水库和输水工程组成。_x000d__x000a_设备需求：预计采用10台5至7米硬岩掘进机，5台3米~5米硬岩掘进机。"/>
        <s v="1、厦漳泉 R1 线项目总投资最终确定为约695.7 亿元。该线路全长 175.04 公里，途经泉州、厦门、漳州三地。_x000d__x000a_2、业主单位，厦门：厦门地铁集团，漳州：漳州铁路投资有限公司，泉州：泉州轨道交通集团，总规划设计院是总铁二院。_x000d__x000a_3、全线正线中桥梁长度 88.278 公里，隧道长度 78.111 公里，结合全长 175.04 公里计算，桥梁占比约 50.4%，隧道占比约 44.6%，剩余约 5% 为路基（路基长度 5.797 公里）。_x000d__x000a_4、中国铁建股份成立的专班，厦门专班：成员单位中铁十二局、中铁十四局、中铁海峡（中铁22局3公司）；漳州专班：中铁建漳州公司（中铁十二局）、中铁十五局、中铁二十二局、中铁十八局（新增）；泉州专班：中铁建泉州公司（中铁建大桥局），中铁十七局，中铁二十局，中铁十六局（新增）、中铁二十四局（新增）。"/>
        <s v="区间长度874m，56m小转弯，前期已报价，初定竞争性谈判模式，预计年底启动"/>
        <s v="中交隧道局4台ZTE6830 (2027-5-1);区间长度单线1200米+1300米_x000d__x000a_上海基础4台ZTE6830 (2027-6-30);区间长度单线400（370米转弯）+780（380米转弯）+660（400米转弯）+1030（350米转弯）+1145（450米转弯）米；_x000d__x000a_中铁十四局1台6.6米土压盾构，区间长度单线1644米（一级重大）"/>
        <s v="起点陆家嘴，终点临港自贸区金融湾，一期位于浦东新区内，全长79公里，设车站14座。"/>
        <s v="过江管隧道长度16.3~17.2km。隧道外直径4~4.8m，隧道底板最大埋深约-68m"/>
        <s v="原水西环线大概50km，35km是盾构内敷设钢管，DN3400mm管径"/>
        <s v="位置在上海市闵浦大桥东西两侧，区间四段，5.2米盾构1.7km+7.8米盾构2km+2段6.6米盾构1.5km"/>
        <s v="大盾构区间约13.5千米，单管双层布置，圆隧道外径15米，内径13.7米。最小转弯半径500米。"/>
        <s v="自南汇支线金融服务区站，经上海自贸区临港新片区，奉贤奉城镇，奉贤新城，金山区亭林镇，朱泾镇，枫泾镇，至枫泾站。全长93公里，隧道27公里"/>
        <s v="青草沙-陈行库管连通工程KG1.6标一井一区间，3444m，隧道外径φ6200mm，内径φ5500mm，为单线隧道。平面最小转弯半径R=500m"/>
        <s v="库布齐—上海±800千伏特高压GIL管廊工程隧道总长11.3km，江中段约10km，管片外径初定12.5m"/>
        <s v="初步设计阶段，预计招标时间2026年底"/>
        <s v="共设车站16座，全长28km，串联浦东新区三大功能区的南北向径向市区线"/>
        <s v="463m+100m,1台5.2米主动铰接土压盾构机"/>
        <s v="原水西环线北段起点，5#井-4#井区间长度2377m，管片内外径6200/5500，2026年底或27年初设备进场"/>
        <s v="中铁十五局集团有限公司是一支位居世界500强第43位的中国铁建旗下的基建劲旅，是集设计、施工、科研为一体的国有建筑工程总承包企业，上海市首家拥有铁路工程施工总承包特级、公路工程施工总承包特级（两个）、市政公用工程施工总承包特级、建筑工程施工总承包特级的五特级企业。集团公司下设16个全资子公司，另设轨道交通运营公司、城建设计研究院2个分公司、8个区域总部，1个海外及央企（JM）事业总部。_x000d__x000a_在管理体制上，集团公司全面推行精细化管理模式，在做精做优工程主业的基础上，不断延伸产业链条，精心打造“深地空间、地下交通枢纽、智慧停车、新能源、城市更新、超高性能混凝土、铁建石油、运营维护、PC产业园、园林建筑”等“十大品牌”，培育成型八大业务板块，即工程承包板块、铁路运营板块、资本运营板块、房地产开发板块、物流贸易板块、工业制造板块、海外工程板块、勘察设计板块等，年施工能力达1000亿元以上。"/>
        <s v="福建马坑铁矿需求3台液压掘进台车，已于2026年1月21日挂网，原计划2月5日开标，现延迟到2月27日开标。"/>
        <s v="本项目起于虞兴路-五星东路路口，止于市民大道-称山南路路口，全长约1830m，盾构段长约795m；采用11.3米管片外径泥水盾构；"/>
        <s v="台州市域铁路S4线起于腾云路，往南经台州机场，终至温岭新河镇，线路全长约26km，其中地下段6.6km，高架线25.4km；全线设站8座，其中地下站4座，高架站4座；线路在新河南站与规划市域铁路S5线贯通，本线于新河镇东侧新建车辆段一座。"/>
        <s v="总投资80亿元，中电建投资，2022年已完成项目公司成立，目前项目暂未获批，宁波市列为今年启动项目。排水廊道长度约3km。电建华东院负责前期。"/>
        <s v="线路全长689公里，总投资800亿元，设计时速160km/h，预留200km/h条件。"/>
        <s v="长约186公里，起于阳樟高速终点，与东昌高速十字交叉，终于泉南高速，与兴国至桂东高速顺接。"/>
        <s v="项目路线全长 53.488km，设计速度 100km/h，采用双向四车道高速公路设计标准建设，路基宽度 26m。设置互通式立交 4 处，其中枢纽互通 1处，一般式落地互通 3 处；连接线 2km/3 处；设置服务区 1 处，设置桥梁13568m/23 座，隧道 7835m/5 座。项目投资估算总金额约 73.8455 亿元（项目建设规模及投资估算金额最终以政府核准为准）。"/>
        <s v="横峰抽水蓄能电站计划总投资约100亿元，该电站于10月12日签约，项目位于横峰县葛源镇关田村。初步预计装机容量1200MW，装机4台，单机容量300MW，工程等别为一级。"/>
        <s v="矿区采用露天开采方式，年产矿废石量约 40.82万立方米，全部用于加工区生产成品骨料；矿区面积 0.2407km2，一期开采深 度+860米至+700 米，资源量1345万立方米"/>
        <s v="路线全长12.915公里，估算总投资为70.51亿元，其中武穴市负责长江大桥段和武穴境接线工程的建设，九江境内6.7公里，一级公路标准设计。"/>
        <s v="起于既有S22都九高速与S20彭湖高速的湖口枢纽，自东向西跨越鄱阳湖，沿庐山北麓、九江中心城区南缘间布线，终点接既有G70福银高速与G56杭瑞高速的九江枢纽，规划线路全长约46公里，其中跨湖段约19公里（兼顾G351跨湖）、城区段约27公里。"/>
        <s v="拟建设总年产量为980万吨骨料，其中600万吨作为建筑用砂石骨料，380万吨作为水泥用石灰石。建设内容分为四部分：（1）采矿基建期配套，含表土剥离、矿山开拓系统、矿山运输系统、建设期排水系统、排土场等矿山基建工程；（2）骨料线，粗碎车间、中/细碎车间、除土/检查筛分车间、石灰石碎石库、成品筛分车间、选粉制砂及石粉散装、土堆棚、骨料成品储存库车间、辅助生产设施等；（3）场外重载交通运输公路，从建设场地连接到s308省道，下穿昌栗高速，路线全长约2.8km，按二级公路技术标准设计，设计速度40km/h，一般路基宽8.5m，昌栗高速以北设有爬坡车道路基宽17m，设有明洞1处；（4）远期预留廊道工程，年运输能力200万吨，计划2029年开工建设。"/>
        <s v="安能二局科技发展部计划申报边坡支护设备科研课题，已为客户提供我司技术方案。"/>
        <s v="江西南昌北二绕城高速公路项目路线起于江西省南昌市安义县万埠镇，接在建的南昌西二绕城高速公路，经安义县万埠镇、长均乡、永修县马口镇、赣江新区中医药科创城、经开区樵舍镇、新建区金桥乡、象山镇、联圩乡、南昌县南新乡，终于福银高速南昌东绕城段的南新互通，全长约52.010公里。项目概算总投资约96.68亿元，其中建安费约65.44亿元。"/>
        <s v="路线全长124公里，由上饶至景德镇（上饶段）高速91公里和德兴至婺源高速33公里组成。"/>
        <s v="高速公路双向六车道，全长约83公里。总投资88亿。"/>
        <s v="起学苑一路，延艾溪湖二路，穿越瑶湖，往东与德昌高速立交相接。原规划的瑶湖隧道长度为5.5公里，重新规划后隧道长度缩短为3公里。"/>
        <s v="规划期内新建里程32公里，双向六车道，设计速度100公里/小时，预计投资45亿元。"/>
        <s v="项目起点在九江市江洲镇（赣鄂界），终点在九江市新港镇，全长约11公里，是一座跨越长江的桥梁。"/>
        <s v="初步推荐路线方案全长约90公里，项目估算总投资130亿元。"/>
        <s v="4、5号下穿通道工程是南昌昌北机场三期扩建工程第一批次工程；4号通道起于东二路，南至机场航站区道路，长度 535.766m；5 号下穿通道作为本期南侧连接机场航站区道路，北侧连接货运区，全长度 1110.0m。4、5号下穿通道均为城市次干路，设计时速:40km/h，双向四车道"/>
        <s v="项目基建期三年。基建工程宛如庞大的建筑拼图，包括主井、进风井、回风井、-133m中段、-180m中段、-164m分段、-148m分段巷道，以及采准斜坡道、措施斜坡道、各类硐室、采切工程等诸多内容基建工程量总计约35.58万立方米"/>
        <s v="项目包括G4京港澳高速长沙广福至株洲王拾万（朱亭）段的扩容工程，以及桂东至新田（宁远）高速公路的郴州至桂阳段。其中，G4京港澳高速的扩容工程是湖南省有史以来投资规模最大的单体交通项目，全长约为144千米，涉及多个市辖区和乡镇。桂东至新田高速公路则是湖南省“十四五”重点项目，全长约57.7公里，设计时速为120公里，项目投资413亿元。"/>
        <s v="1、小洋山到徐公岛的进场道路：小洋山走廊带海底隧道全长15.17km，其中矿山段长度1.23km，盾构段长度11.53km。有2个断面方案：管片外径13.3m、14.6m。2、电力送出管廊隧道长度约40km，盾构外径10.8m，设2座人工岛方案：单台掘进约7km（共6台）利用天然岛方案：单台掘进约11km（共4台）。"/>
        <s v="本项目矿区面积 0.91平方公里 ， 标高为+380.6m ～+150m标高范围 ， 资源量矿石资源量 11417.96万吨（ 4425.56万立方米 ） ， 矿种为沙岩矿 ， 开采年限为 28年（ 含基建期 2年） ， 开采规模为 400万吨/年(前五年任务1200万吨） 。"/>
        <s v="矿山为山坡露天矿，储量1.8亿吨，年产能力800万吨"/>
        <s v="项目起点位于新干北互通东侧850米处，东昌管养桩号为K69+629，途经江西省吉安市新干县，宜春市樟树市、高安市、奉新县、靖安县，九江市武宁县、瑞昌市，终点位于此瑞昌市洪一乡河山塘村与湖北省阳新县木港镇徐家村之间，路线全长218.3公里，项目总投资约304.5亿元。_x000d__x000a_采用双向四车道高速公路标准，设计速度100公里/小时，路基宽26米，沥青路面结构。"/>
        <s v="电站总装机规模120万千瓦。电站枢纽工程主要由上水库、下水库、输水系统、地下厂房和地面开关站等建筑物组成，工程总投资约80亿元"/>
        <s v="营口水库总库容1.19亿立方米，为大（2）型水库，该项目已列入_x000d__x000a_《国家“十四五”水安全保障规划》；抽水蓄能电站总装机140万千瓦，抽蓄电站总投资80亿。"/>
        <s v="计划采购1台液压掘进台车。"/>
        <s v="全长179.216km，隧道7357米/6座，特大桥2196米/2座，大中桥33684米/116座。"/>
        <s v="袁河航道开发工程包括龙尾洲航运枢纽工程、笏洲航运枢纽工程、石洲枢纽改建工程、袁河荷湖馆～新余段航道整治工程4个工程。投资估算144.2亿元。"/>
        <s v="电站为日调节纯抽水蓄能电站，设计装机容量1200MW(4x300MW)，年发电量12亿KW·h，主要由上水库、输水系统、地下厂房系统、下水库及地面开关站等建筑物组成，为一等大(1)型工程，工程概算动态投资79.83亿元，工期约60个月。"/>
        <s v="本工程新建石马潭水库、潘坑水库，并在东方红水库库区右侧库岸位置新建泵站，通过引水隧洞在洪水期提前引水进入潘坑水库，石马潭水库和潘坑水库通过连通隧洞实现联合调度；另外在西侧磐溪上游两条支流上分别新建磐溪1#引水堰、磐溪2#引水堰，在桐坑上游新建桐坑引水堰，通过引水隧洞引水至石马潭水库。石马潭水库枢纽工程总库容3823万m3，新增优质水供水量3675万m3。石马潭水库枢纽工程为Ⅲ等工程，包括水库工程和引水工程，其中石马潭水库为中型水库，潘坑水库为小（1）型水库，引水隧洞线路总长21.8km，东方红泵站设计流量25m3/s。"/>
        <s v="盾构段长度将达到 16km，下穿航道段长约 10km"/>
        <s v="针对不同的功能需求，盾构隧道管片外径为 17.5 米、 18.5 米和 19.5 米，选型之一； 2、盾构段长度为 16 公里，江中是否可以设置工作井暂无明确结论，须同时 考虑设置工作井（其中下穿航道段长约 10km）、独头掘进或地中对接技术； 3、最大埋深约 60 米， 最大水压约 0.9MPa， 最大纵坡按 4%考虑； 4、穿越地层从浅到深依次为： ④淤泥质粘土、 ⑤1-2粉质粘土、 ⑤2粉质粘土、 ⑤3粉质粘土、 ⑦2粉砂、 ⑨1粉细砂、 ⑨2中粗砂，掘进断面范围内砂土占比约 80%。 其中⑦2、 ⑨1、 ⑨"/>
        <s v="水乡旅游线城际铁路线路全长132公里，起自示范区客厅站，经江苏吴江，与如通苏湖铁路共线至南浔站，经浙江湖州、嘉兴桐乡乌镇、桐乡城区、海宁盐官古镇至杭州萧山机场。其中嘉兴境内约50km，起于嘉兴与湖州市界，止于嘉兴与杭州市界，速度目标值为160公里/小时，初步估算投资约200亿元。"/>
        <s v="中央沙工作井滨江森林公园工作井过江段，隧道长度7.7千米，泥水盾构外径6.5米，中央沙工作井24米外径深58米底板，滨江森林公园工作井23米外径底板50米深"/>
        <s v="全长约 4.35km。其中双向四车道明挖隧道2.5km，双向六车道盾构隧道 1km(与规划地铁线路合建)，盾构外径为15.2m;其余为双向六车道明挖隧道，项目预计总投资26.1亿元。"/>
        <s v="工程西起河东路，东至胜景路，全长约2.26km，隧道出入口分设在上塘路两侧，北线隧道长约2.16km，南线隧道长约1.41km。在长岳街和胜景路各设置一个匝道入口，在和平地块设置一对出入口连接地下车库，管理用 房设置于胜景路西侧。隧道采用盾构、明挖和矩形顶管施工工艺，施工总工期约36个月。"/>
        <s v="梧桐路过江隧道：全长5.24公里，盾构段长2公里，管片外径15.2m，需求2台泥水平衡盾构机。总体规模：隧道总长5km，暗埋段4.85km，工作井2处，定向匝道2对，平行匝道1对；主要穿越：之浦路、枫桦东路、钱塘江及其堤岸、闻涛路、滨浦路、西浦路、新浦路、浦沿路；交通转换：隧道主线西口与枫桦西路顺接；枫桦东路设置沟通南、北向定向匝道；西浦路以西设置一对平行匝道；隧道主线洞口过浦沿路后出地；轨道交通：隧道与规划11号线共廊道，明挖合建2个车站，大盾构共管过江，部分区间明挖合建。"/>
        <s v="全长2.82公里，盾构段长1.65公里，管片外径14.5m，需求1台泥水平衡盾构机。总体规模：隧道总长2.815km，暗埋段2.51km，工作井3处；主要穿越：枫桦东路、北岸塘路、钱塘江及其堤岸、万达北路；交通转换：隧道主线西口在枫桦东路西侧分级出地面，与绕城高速出入口匝道平面交叉；隧道主线东口在万达北路东侧分级出地面。轨道交通：隧道与规划19号线同期实施，部分区间明挖合建；隧道与4号线车站垂直相交 。"/>
        <s v="全长8.17公里，盾构段长6.73公里，管片外径15m，需求4台泥水平衡盾构机。"/>
        <s v="全长6.29公里，西盾构段全长2.91公里，管片外径15.5m，需求2台泥水平衡盾构机；过江盾构段全长1.59公里，管片外径15.5m，需求2台泥水平衡盾构机。总体规模：路线总长约13km ，设置3座隧道，隧道总长9.264km，暗埋段约8km，工作井4处，枢纽互通1处，地下匝道出入口3对，地面出入口7对，出入口平均间距约1.3km；主要穿越：科海南路、袁浦街、军师路、钱塘江及其堤岸、时代大道、湘虎路；交通转换：尽量利用快速路地面段以及隧道敞口段空间设置出入口，必要时设置地下匝道。主要转换系统为科海路、杭新景高速、袁浦街、军师路以及时代大道。轨道交通：穿江隧道与规划10号线共建， 大盾构共管过江 ，明挖合建1个车站， 部分区间明挖合建 ；10号线与规划18号线在东岸换乘。"/>
        <s v="1、项目简介：_x000d__x000a_起点由双龙路变更为晋江岸三号路，终点由滨海街变更为东海经十四路，路线全长约3.0km，其中跨海段长1.2km，采用一级公路兼城市主干路标准、主线设计速度为60km/h，投资估算39.2亿元，计划开工2025年，完成年2027年。_x000d__x000a_2、业主组成：_x000d__x000a_业主单位：泉州市东海投资管理有限公司_x000d__x000a_设计单位：中交第二公路规划设计院，可研"/>
        <s v="该项目建设期4.5年，总投资预计72亿元，其中建设投资64亿元，建成达产后年均产钼精矿含钼2.72万吨。该项目预计有一台6米级TBM需求，及6.6千米连续皮带机，用于7公里的斜坡道开拓。"/>
        <s v="塞紫金铁路改线13km和逃生通道6KM;5.5米和主线工程8.5米"/>
        <s v="线路全长50.9KM（金山--平湖），金山卫站--独山港东站，隧道全长8.65km，设计时160km/h，采用2台13.6m管片外径泥水平衡盾构机施工"/>
        <s v="沪东中华造船厂扩建自用移动式焊接机器人 5 套，包括设计、_x000d__x000a_制造、包装、运输、安装、调试、培训等"/>
        <s v="江西省抽水蓄能规划“十四五”重点实施项目，总装机容量为180万千瓦，主要由上水库、输水系统、地下厂房系统、地面开关站及下水库等建筑物组成，与已建洪屏抽水蓄能电站一期工程共用上、下水库，项目投资51.14亿元。"/>
        <s v="线路长28km，设站16座，建设工期6年，采用A型车6辆编组，最高运行时速80公里"/>
        <s v="工程北起杨浦区隆昌路-杨树浦路交叉口，南至浦东新区云山路-栖山路交叉口，工程采用双管单层盾构越江方案，双向4车道，全长约2公里。总投资27亿元，21年计划下半年开工。"/>
        <s v="全长158.24公里，速度达350km/h，金台铁路自新金温铁路的永康南站引出，向东经壶镇、磐安、仙居、临海和台州市区，主线约148.49km,同时还将新建武义枫山联络线11.126公里，永康南疏解线长6.05km，台州地区配套建设台州至台州南货车联络线15.94km。"/>
        <s v="北接海宁市孙家跳头，临近杭浦高速，南接钱塘区江南联营养殖有限公司，临近滨江二路，隧道标准断面为双向六车道，全长5.9km，其中海宁市境内长度为3.5km，钱塘区境内长度为2.4km。过江隧道总投资为65.7亿元，其中海宁市境内总投资约为39.0亿元，钱塘区境内总投资约为26.7亿元；"/>
        <s v="主要为淤泥质软土，采用6.6米管片外径盾构机"/>
        <m/>
      </sharedItems>
    </cacheField>
    <cacheField name="隧道情况" numFmtId="0">
      <sharedItems containsBlank="1" count="107">
        <s v="区间长度1205m"/>
        <s v="地下线长约32.9公里"/>
        <s v="桥隧比83%"/>
        <s v="隨道长度5.10公里，2区间"/>
        <s v="其中地下快速路采用盾构法，长约1.77km，含1.24km 盾构隧道和0.53km 明挖隧道"/>
        <s v="地下隧道长11.7km"/>
        <s v="隧道总长度约76km"/>
        <s v="/"/>
        <s v="引水洞、交通洞，通风安全洞等"/>
        <s v="进厂交通洞1786m，断面8*8.8，通风安全洞1087m，断面7*6.5，施工支洞共3782m."/>
        <s v="进厂交通洞1485m，断面尺寸8*8.5，通风安全洞1138m，断面尺寸7*6.5，采用钻爆法全断面开挖。自流排水洞4011m,断面3*3，拟采用TBM施工。"/>
        <s v="新建过江盾构管廊一座，内径5.5m，外径6.2m， 长度约为1.8公里"/>
        <s v="引水隧洞27.0km，采用TBM施工，开挖直径5米。"/>
        <s v="隧道长度约4.9km，采用11m6管片外径泥水平衡盾构机施工"/>
        <s v="略"/>
        <s v="路径总长约2.49km，设计外径8.8m"/>
        <s v="无"/>
        <s v="隧道约2277m/5座"/>
        <s v="隧道6座，折合双洞全长11815.00米"/>
        <s v="新建文二西路隧道长约2.65km，隧道规模为双向四车道。"/>
        <s v="庄河核电厂一期工程每台机组设置 2 条循环水进水管道(GD)、 2 条循环水排水管道(GE)"/>
        <s v="无隧道"/>
        <s v="隧道全长40511m/16座（其中：特长隧道26743m/5座（其中信陵隧道长度10082m），长隧道11610/7座，中隧道1515/2座，短隧道643/2座）。"/>
        <s v="其中盾构段长度3.65km，拟采用16米级盾构机"/>
        <s v="暂未确定"/>
        <s v="隧道长度16km，拟采用9米敞开式TBM施工，主要以2.3类围岩为主，4.5类围岩占比15%"/>
        <s v="隧道长约18680米／6座（其中特长隧道2座、长隧道2座）"/>
        <s v="11.62 千米引水隧道，拟采用4米敞开式TBM"/>
        <s v="1.77km特大桥。"/>
        <s v="9.6公里，采用ZTE6950盾构机施工"/>
        <s v="全长约13公里，采用6.7米土压平衡盾构机掘进"/>
        <s v="隧道长度2.1km，拟采用16.3米泥水盾构机施工"/>
        <s v="其中温州市区和瑞安市区有下穿瓯江和飞云江盾构段，长度分别为918米、737米。"/>
        <s v="大淤山隧道：1475m；大丘田隧道：3452.5m"/>
        <s v="隧道全长11.644km，含盾构段9.89km（其中陆域盾构段1.3km，海中盾构段8.59km），钻爆段1.159km，明挖段0.595km。"/>
        <s v="进场交通洞、排水廊道"/>
        <s v="独树路站～银桥路站区间右线1556.858m，左线1556.658m，联络通道2座。 (4)银桥路站站后区间左/右线长均为150.891m，不设联络通道。 (6)配套的桥梁拆复建1座、绿化迁移、管线迁改、交通导改等施工内容。"/>
        <s v="线路全长约15.3公里，共设站12座，均为地下站，其中换乘站3座；新建袍中路车辆段1座；新建出入段线2条"/>
        <s v="隧道总长9184.5米/12座"/>
        <s v="人民东路站～迎宾路站区间区间长度1500米，迎宾路站～独树路站盾构区间区间长度1980米"/>
        <s v="。隧道28241米/16座（其中特长隧道10831米/3 座（淳开隧道全长 3217 米，衢州段3055米，杭州段162米），长隧道14291米/8座，中隧道2393米/3座，短隧道726 米/2 座）。"/>
        <s v="18000000"/>
        <s v="世茂天际站～平江路站区间1381米；平江路站～人民东路站盾构区间751米"/>
        <s v="黄酒小镇站~东浦站区间813米；东浦站~大树江站区间747米"/>
        <s v="隧道13座总长27087.5米，含2座特长隧道（总长10240米）"/>
        <s v="一期排水隧道，直径8.1m，长度1.88km；二期排水隧洞，直径8.1m，长度3.4km。三期排水隧洞，直径8.1m，长度4.2km。"/>
        <s v="计划将修建隧道，采用皮带机运输，10公里隧道，"/>
        <s v="2.3公里隧道"/>
        <s v="A7 标段的大坪隧道进口端作为隧道全机械施工试验工点，经费500万。"/>
        <s v="预计采用6.2米管片外径的盾构机，总隧道总长约10公里。"/>
        <s v="8.6米盾构机一台，穿乌龙江，区间长度约2公里；4.5米TBM一台，莆田境内，区间长度约17.7公里；1.8~2米顶管机十来台"/>
        <s v="线路全长约13.6km，共设车站9座，平均站间距1.486km；全线均为地下敷设。"/>
        <s v="18.8km、14站、全地下敷设"/>
        <s v="上饶至浦城高速公路（福建境内）共有6座隧道，总长度为2500米‌‌。"/>
        <s v="高架路面扩宽为主，隧道扩建较少"/>
        <s v="福州市内：其中两座长大隧道（1km、5.8km），1km隧道暂定为矿山法施工。5.8km隧道（穿山、硬岩）计划采用TBM施工。福清市内：其中4.2km（1km软土（未完全探明），2.2km（穿山硬岩），1km穿越既有火车站场（考虑沉降）），计划采用双模或利用风井进入土压、TBM进行开挖"/>
        <s v="隧道4048米/4座"/>
        <s v="初步规划采用3~8米洞径，2、3、4类围岩，100到200兆帕，地下水丰富，TBM施工隧洞总长约150公里。"/>
        <s v="线路全长约206KM"/>
        <s v="区间长度874m，56m小转弯，ZTE4330-1"/>
        <s v="起点陆家嘴，终点临港自贸区金融湾，一期位于浦东新区内，全长79公里，设车站14座。"/>
        <s v="过江管隧道长度16.3~17.2km。隧道外直径4~4.8m，隧道底板最大埋深约-68m"/>
        <s v="区间四段，5.2米盾构1.7km+7.8米盾构2km+2段6.6米盾构1.5km"/>
        <s v="浦西段2.25千米，越江段2.26千米，共线段5.5千米，浦东段3.5千米"/>
        <s v="27公里隧道"/>
        <s v="青草沙-陈行库管连通工程KG1.6标一井一区间，3444m，隧道外径φ6200mm，内径φ5500mm，为单线隧道。平面最小转弯半径R=500m"/>
        <s v="库布齐—上海±800千伏特高压GIL管廊工程隧道总长11.3km，江中段约10km，管片外径初定12.5m"/>
        <s v="预计区间长度12km"/>
        <s v="6.6米土压盾构机凌兆新村站→东方体育中心1640m 11.3米泥水盾构区间224m"/>
        <s v="463m+100m,1台5.2米主动铰接土压盾构机"/>
        <s v="1.6km，6.2米管片外径小转弯土压盾构机"/>
        <s v="全长约1830m，盾构段长约795m"/>
        <s v="地下段6.6km"/>
        <s v="3km左右3.5米排水廊道"/>
        <s v="暂未收集"/>
        <s v="全线隧道总长度为11.475公里（11475米），包含5座隧道。"/>
        <s v="隧道 7835m/5 座"/>
        <s v="设斜井、引水洞、尾水洞等。"/>
        <s v="原隧道长度为5.5公里，重新规划后隧道长度缩短为3公里。"/>
        <s v="初步推荐路线方案全长约90公里，项目估算总投资130亿元。"/>
        <s v="-133m中段、-180m中段、-164m分段、-148m分段巷道，"/>
        <s v="隧道长度1000米."/>
        <s v="1. 小洋山—徐公岛 16 km，管片外径 13.3/14.5 m。 2. 电力管廊 40 km，管片外径 10.8 m。 "/>
        <s v="矿山为山坡露天矿，储量1.8亿吨，年产能力800万吨"/>
        <s v="隧道7357米/6座，"/>
        <s v="输水系统总长约3253.2米，采用二洞四机布置，其中引水系统全长约1808.1米，尾水系统全长约1445.1米；上下库连接道路全长约8.10公里，设有隧道2座，总长约2.50公里"/>
        <s v="引水隧洞线路总长21.8km"/>
        <s v="盾构段长度将达到 16km，下穿航道段长约 10km"/>
        <s v="盾构段长度为 16 公里"/>
        <s v="盾构隧道约15km"/>
        <s v="300,000,009"/>
        <s v="盾构隧道 1km(与规划地铁线路合建)"/>
        <s v="全长约2.26km，隧道出入口分设在上塘路两侧，北线隧道长约2.16km，南线隧道长约1.41km。"/>
        <s v="全长5.24公里，盾构段长2公里，管片外径15.2m"/>
        <s v="全长2.82公里，盾构段长1.65公里，管片外径14.5m"/>
        <s v="全长8.17公里，盾构段长6.73公里，管片外径15m"/>
        <s v="全长6.29公里，西盾构段全长2.91公里，管片外径15.5m"/>
        <s v="全长约3.0km，其中跨海段长1.2km，"/>
        <s v="设备需求直径6.3米，7KM。6.6km长配套TBM使用的连续皮带机，含储带仓等；不含胶带。"/>
        <s v="13km"/>
        <s v="隧道全长11.65km"/>
        <s v="输水系统总长度3459米"/>
        <s v="线路长28km，需求6米级土压平衡盾构机"/>
        <s v="工程采用双管单层盾构越江方案，双向4车道，全长约2公里"/>
        <s v="隧道标准断面为双向六车道，全长5.9km，其中海宁市境内长度为3.5km，钱塘区境内长度为2.4km。"/>
        <s v="有隧道区间"/>
        <m/>
      </sharedItems>
    </cacheField>
    <cacheField name="行业分类" numFmtId="0">
      <sharedItems containsBlank="1" count="18">
        <s v="地铁-5"/>
        <s v="公路-4"/>
        <s v="轨道交通"/>
        <s v="城建"/>
        <s v="铁路-2"/>
        <s v="铁路"/>
        <s v="水利水电-0"/>
        <s v="非煤矿山-11"/>
        <s v="市政管廊-6"/>
        <s v="电力-14"/>
        <s v="城建-1"/>
        <s v="其他-13"/>
        <s v="水利水电"/>
        <s v="轨道交通-12"/>
        <s v="公路"/>
        <s v="绿色建材-10"/>
        <s v="煤矿-3"/>
        <m/>
      </sharedItems>
    </cacheField>
    <cacheField name="产品事业部" numFmtId="0">
      <sharedItems containsBlank="1" count="8">
        <s v="掘进机事业部"/>
        <s v="特种装备事业部"/>
        <s v="掘进机研发运营中心"/>
        <s v="矿山装备事业部"/>
        <s v="隧道装备研发运营中心"/>
        <s v="电气与智能研究设计院"/>
        <s v="交通工程装备事业部"/>
        <m/>
      </sharedItems>
    </cacheField>
    <cacheField name="承揽主办方" numFmtId="0">
      <sharedItems containsBlank="1" count="3">
        <s v="华东区域"/>
        <s v="海外区域"/>
        <m/>
      </sharedItems>
    </cacheField>
    <cacheField name="承揽协办方1" numFmtId="0">
      <sharedItems containsBlank="1" count="7">
        <s v="华南区域"/>
        <s v="华东区域"/>
        <m/>
        <s v="无部门"/>
        <s v="华中区域"/>
        <s v="西南区域"/>
        <s v="西北区域"/>
      </sharedItems>
    </cacheField>
    <cacheField name="项目所在省份" numFmtId="0">
      <sharedItems containsBlank="1" count="10">
        <s v="浙江"/>
        <s v="福建"/>
        <s v="江西"/>
        <s v="辽宁"/>
        <s v="湖北"/>
        <s v="上海"/>
        <s v="湖南"/>
        <s v="陕西"/>
        <s v="安徽"/>
        <m/>
      </sharedItems>
    </cacheField>
    <cacheField name="投资规模（亿元）" numFmtId="0">
      <sharedItems containsBlank="1" count="99">
        <s v="5.0000000000"/>
        <s v="435.2000000000"/>
        <s v="372.2000000000"/>
        <s v="96.8500000000"/>
        <s v="93.0000000000"/>
        <s v="100.0000000000"/>
        <s v="709.0000000000"/>
        <s v="210.0000000000"/>
        <s v="200.0000000000"/>
        <s v="110.0000000000"/>
        <s v="80.0000000000"/>
        <s v="50.0000000000"/>
        <s v="3.7700000000"/>
        <s v="58.0000000000"/>
        <s v="89.0000000000"/>
        <s v="31.2000000000"/>
        <s v="10.0000000000"/>
        <s v="25.0000000000"/>
        <s v="116.9000000000"/>
        <s v="34.0000000000"/>
        <s v="3,200.0000000000"/>
        <s v="400.0000000000"/>
        <s v="201.0000000000"/>
        <s v="170.0000000000"/>
        <s v="250.0000000000"/>
        <s v="93.5000000000"/>
        <s v="9.0000000000"/>
        <s v="11.7500000000"/>
        <s v="17.0000000000"/>
        <s v="28.0000000000"/>
        <s v="45.0000000000"/>
        <s v="80.7200000000"/>
        <s v="4.9200000000"/>
        <s v="103.6800000000"/>
        <s v="305.8300000000"/>
        <s v="4.1000000000"/>
        <s v="136.0000000000"/>
        <s v="3.6600000000"/>
        <s v="7.2100000000"/>
        <s v="5.1900000000"/>
        <s v="183.0000000000"/>
        <s v="456.0000000000"/>
        <s v="3.3680000000"/>
        <s v="169.7400000000"/>
        <s v="99.6000000000"/>
        <s v="18.0000000000"/>
        <s v="192.0000000000"/>
        <s v="135.0800000000"/>
        <s v="405.0000000000"/>
        <s v="30.0000000000"/>
        <s v="120.0000000000"/>
        <s v="160.0000000000"/>
        <s v="95.1334000000"/>
        <s v="342.0000000000"/>
        <s v="695.7000000000"/>
        <s v="0.2000000000"/>
        <s v="3.0000000000"/>
        <s v="0.0050000000"/>
        <s v="6.0000000000"/>
        <s v="280.0000000000"/>
        <s v="0.3000000000"/>
        <s v="20.0000000000"/>
        <s v="393.0000000000"/>
        <s v="0.4000000000"/>
        <s v="4.6700000000"/>
        <s v="20.1900000000"/>
        <s v="800.0000000000"/>
        <s v="0.0000000000"/>
        <s v="96.0000000000"/>
        <s v="11.0000000000"/>
        <s v="70.5100000000"/>
        <s v="24.0000000000"/>
        <s v="15.5000000000"/>
        <s v="96.6800000000"/>
        <s v="88.0000000000"/>
        <s v="36.0000000000"/>
        <s v="85.0000000000"/>
        <s v="130.0000000000"/>
        <s v="264.0000000000"/>
        <s v="12.9900000000"/>
        <s v="413.0000000000"/>
        <s v="1,000.0000000000"/>
        <s v="68.0000000000"/>
        <s v="31.0000000000"/>
        <s v="304.5000000000"/>
        <s v="236.0000000000"/>
        <s v="144.0000000000"/>
        <s v="75.0000000000"/>
        <s v="15.0000000000"/>
        <s v="26.1000000000"/>
        <s v="38.0000000000"/>
        <s v="13.0000000000"/>
        <s v="65.7000000000"/>
        <s v="39.0000000000"/>
        <s v="64.0000000000"/>
        <s v="300.0000000000"/>
        <s v="0.0800000000"/>
        <s v="369.0000000000"/>
        <m/>
      </sharedItems>
    </cacheField>
    <cacheField name="业主单位" numFmtId="0">
      <sharedItems containsBlank="1" count="109">
        <s v="浙江物产工程技术服务有限公司"/>
        <s v="金华市轨道交通集团有限公司"/>
        <s v="浙江金华义龙庆高速公路有限公司"/>
        <s v="海宁市轨道交通投资建设有限公司"/>
        <s v="杭州余杭城市发展投资集团有限公司"/>
        <s v="杭州铁路枢纽工程建设指挥部"/>
        <s v="浙江省交通投资集团有限公司"/>
        <s v="东南沿海铁路福建公司"/>
        <s v="中广核风电有限公司"/>
        <s v="江西省投资集团"/>
        <s v="华能（永新）抽水蓄能有限责任公司"/>
        <s v="江西华电抽水蓄能有限公司"/>
        <s v="厦门钨业（江西巨通实业）"/>
        <s v="杭州滨江水务有限公司"/>
        <s v="赣州市市政公用集团"/>
        <s v="国网浙江省电力有限公司"/>
        <s v="上饶市建广绿色建筑材料有限公司"/>
        <s v="杭州滨江环境发展有限公司"/>
        <s v="江西漂塘钨业有限公司"/>
        <s v="中铁建发展集团有限公司"/>
        <s v="湖州市公路与运输管理中心"/>
        <s v="安吉德安高速公路有限公司"/>
        <s v="中核大唐庄河核电有限公司"/>
        <s v="湖北交通投资集团有限公司"/>
        <s v="宁波市高等级高速公路建设"/>
        <s v="宁波轨道交通集团"/>
        <s v="宁波市水库管理中心"/>
        <s v="天台县交通运输局"/>
        <s v="宁波市水利投资有限公司"/>
        <s v="象山县交投"/>
        <s v="宁波城市地下空间投资有限公司"/>
        <s v="台州市椒江城市发展投资集团有限公司"/>
        <s v="国家石油天然气管网集团有限公司西气东输分公司"/>
        <s v="浙江省高速建设管理有限公司"/>
        <s v="舟山甬舟铁路建设指挥部、浙江交建"/>
        <s v="浙江柯城抽水蓄能有限公司"/>
        <s v="绍兴市轨道交通集团有限公司"/>
        <s v="绍兴市地铁集团"/>
        <s v="浙高建"/>
        <s v="绍兴地铁"/>
        <s v="绍兴地铁集团有限责任公司"/>
        <s v="绍兴市诸嵊高速公路有限公司"/>
        <s v="华能霞浦核电有限公司"/>
        <s v="将乐百祥矿业长距离皮带机项目"/>
        <s v="福建省漳州高速公路有限公司（漳州漳诏高速扩建工程有限公司））"/>
        <s v="三明昌潮高速公路有限责任公司"/>
        <s v="厦门市政原水运营公司"/>
        <s v="福州水务集团有限公司、莆田市水务集团有限公司"/>
        <s v="福州地铁集团"/>
        <s v="厦门轨道交通建设集团"/>
        <s v="南平市高速公路有限责任公司"/>
        <s v="福建省高速公路集团有限公司"/>
        <s v="泉州市泉三高速公路投资有限责任公司"/>
        <s v="福建水投"/>
        <s v="厦门轨道交通集团有限公司、泉州轨道交通集团有限公司、漳州轨道交通集团有限公司"/>
        <s v="上海城投水务集团有限公司"/>
        <s v="上海申通地铁集团有限公司"/>
        <s v="上海燃气公司"/>
        <s v="国家电网"/>
        <s v="上海城投公路投资集团有限公司"/>
        <s v="上海申铁"/>
        <s v="上海城投水务"/>
        <s v="国家电网上海分公司"/>
        <s v="上海申铁建设集团有限公司"/>
        <s v="上海申通地铁"/>
        <s v="中铁十五局集团有限公司"/>
        <s v="福建马坑矿业股份有限公司"/>
        <s v="绍兴市上虞区交通集团有限公司"/>
        <s v="台州市轨道交通"/>
        <s v="浙江宁海中电建天河抽水蓄能有限公司"/>
        <s v="江西省交通投资集团有限责任公司项目建设管理公司"/>
        <s v="赣州交通控股集团有限公司"/>
        <s v="葛洲坝集团"/>
        <s v="江西省茂新矿业有限责任公司"/>
        <s v="瑞昌市交通运输局"/>
        <s v="江西省交通投资集团有限责任公司"/>
        <s v="萍乡市自然资源矿业开发有限公司（萍乡市投发）"/>
        <s v="中国安能集团第二工程局有限公司"/>
        <s v="南昌市政公用投资控股（集团）有限责任公司"/>
        <s v="九江市公路管理局"/>
        <s v="南昌昌北国际机场有限公司"/>
        <s v="江铜银珠山矿业有限公司"/>
        <s v="湖南铁建昆仑长株桂新高速公路有限公司"/>
        <s v="国核浙能核能公司"/>
        <s v="江西吉湖矿业发展有限公司"/>
        <s v="陕西浙交秦新矿业有限公司"/>
        <s v="三峡建工"/>
        <s v="安远县水利局"/>
        <s v="赣州市海鑫矿业有限公司"/>
        <s v="江西省港口集团有限公司"/>
        <s v="东阳市水务投资集团有限公司"/>
        <s v="S7沪崇高速"/>
        <s v="上海城投公路投资（集团）有限公司"/>
        <s v="嘉兴市铁路与轨道交通投资集团有限责任公司"/>
        <s v="上海原水集团有限公司"/>
        <s v="杭州市钱江新城建设管理委员会"/>
        <s v="杭州市交通投资集团有限公司"/>
        <s v="杭州市城市建设发展集团有限公司"/>
        <s v="泉州市东海投资管理有限公司"/>
        <s v="紫金矿业"/>
        <s v="塞尔维亚紫金矿业"/>
        <s v="上海铁路局"/>
        <s v="沪东中华造船（集团）有限公司"/>
        <s v="江西洪屛抽水蓄能有限公司"/>
        <s v="上海城建"/>
        <s v="待定"/>
        <s v="海宁市交通运输局"/>
        <s v="申通地铁"/>
        <m/>
      </sharedItems>
    </cacheField>
    <cacheField name="设计单位" numFmtId="0">
      <sharedItems containsBlank="1" count="57">
        <m/>
        <s v="北京城建院"/>
        <s v="中国电建集团华东勘测设计研究院有限公司"/>
        <s v="中铁第四勘察设计院集团有限公司"/>
        <s v="浙江数智交院科技股份有限公司"/>
        <s v="铁二院"/>
        <s v="中国电建华东勘测设计院"/>
        <s v="中国瑞林"/>
        <s v="上海市政院"/>
        <s v="中国电力工程顾问集团华东电力设计院有限公司"/>
        <s v="浙江数智交院科技股份有限公司安吉德安高速公路有限公司"/>
        <s v="中交第二公路勘察设计研究院有限公司"/>
        <s v="中国核电工程有限公司"/>
        <s v="中国铁路设计集团有限公司"/>
        <s v="待定"/>
        <s v="项目建议书为宁波市水利水电规划设计院"/>
        <s v="招标中"/>
        <s v="电建华东院"/>
        <s v="宁波市交通规划设计院"/>
        <s v="宁波建筑设计院"/>
        <s v="湖南交规院"/>
        <s v="浙江省数智交院、铁四院"/>
        <s v="中铁二院"/>
        <s v="浙江省数智交院"/>
        <s v="浙江数智交院"/>
        <s v="中交四航院"/>
        <s v="福建省交通规划设计院"/>
        <s v="中交第一公路勘察设计研究院"/>
        <s v="上海市政设计院"/>
        <s v="福州城建设计研究院有限公司、福建省水利水电勘测设计研究院有限公司"/>
        <s v="福州地铁轨道交通设计院"/>
        <s v="铁一院"/>
        <s v="福州轨道交通设计院"/>
        <s v="福建省水利水电勘察设计院"/>
        <s v="上海隧道院"/>
        <s v="城建院"/>
        <s v="中铁上海设计院"/>
        <s v="上海隧道工程轨道交通设计院"/>
        <s v="中电建华东院"/>
        <s v="前期预可研中国铁路设计集团公司"/>
        <s v="江西省交通设计研究院有限责任公司"/>
        <s v="江西省赣南公路勘察设计院有限公司           中交公路规划设计院有限公司               安徽省交通规划设计研究总院股份有限公司"/>
        <s v="/"/>
        <s v="南昌瑀城交通设计有限公司和广西工业设计集团有限公司联合体"/>
        <s v="T1标段  ：中交第二公路勘察设计研究院有限公司、  T2标段 江西省交通设计研究院有限责任公司"/>
        <s v="深圳市城市交通规划设计研究/铁六院"/>
        <s v="长江航道勘察设计院（武汉）有限公司"/>
        <s v="中铁上海院"/>
        <s v="北京市市政工程设计研究总院有限公司"/>
        <s v="中"/>
        <s v="中水北方院"/>
        <s v="江西省港航设计院有限公司和华设设计集团股份有限公司联合体"/>
        <s v="中铁二院工程集团有限责任公司"/>
        <s v="杭州市市政工程设计研究院"/>
        <s v="紫金设计院"/>
        <s v="华东电力勘测设计院"/>
        <s v="1标上海轨道交通院，2标上海城建院，3标为铁一院"/>
      </sharedItems>
    </cacheField>
    <cacheField name="施工单位" numFmtId="0">
      <sharedItems containsBlank="1" count="35">
        <s v="浙江物产工程技术服务有限公司"/>
        <m/>
        <s v="待定"/>
        <s v="安能二局"/>
        <s v="中建三局集团有限公司"/>
        <s v="中铁十九局广州公司"/>
        <s v="中国电建集团华东勘测设计研究院有限公司"/>
        <s v="核工业井巷建设集团有限公司"/>
        <s v="广东省建筑工程集团股份有限公司;禹顺生态建设有限公司"/>
        <s v="暂定中铁建大桥局三公司"/>
        <s v="宁波建工建乐"/>
        <s v="水电五局"/>
        <s v="中铁十八局市政公司"/>
        <s v="交工金筑、交工大桥、交工宏途"/>
        <s v="中铁隆"/>
        <s v="十五局城轨公司"/>
        <s v="水电七局轨道公司"/>
        <s v="总包方：中核工业"/>
        <s v="中铁十七局第六工程有限公司"/>
        <s v="铁一院"/>
        <s v="上海隧道院"/>
        <s v="中铁和中交系统各工程局"/>
        <s v="湖北路桥（牵头人）、陕西路桥、宁夏交建、湖北交投联合体"/>
        <s v="中铁二十三局三公司"/>
        <s v="T1标段  中交路桥建设有限公司  ;T2标段  ：江西省交通工程集团有限公司、  南昌城建集团有限公司"/>
        <s v="中铁十八局集团有限公司"/>
        <s v="中铁十九局"/>
        <s v="安能一局"/>
        <s v="葛洲坝集团"/>
        <s v="中交第一、第三航务局"/>
        <s v="水电五局 、水电十四局"/>
        <s v="上海隧道股份（上海路桥公司）"/>
        <s v="浙江省杭州市"/>
        <s v="紫金建设"/>
        <s v="中铁十八局二公司"/>
      </sharedItems>
    </cacheField>
    <cacheField name="设备需求预测（产品类型-数量-预计需求时间）" numFmtId="0">
      <sharedItems containsBlank="1" count="81">
        <s v="ZTE6410-1-(2025-12-20);"/>
        <s v="土压平衡盾构机-4-(/);"/>
        <s v=""/>
        <s v="泥水平衡盾构机-1-(2027-02-01);"/>
        <s v="ZTS13200-3-(2026-12-31);"/>
        <s v="ZYS113-4-(2025-06-30);"/>
        <s v="掘进机-1-(/);"/>
        <s v="廊道皮带机-1-(/);"/>
        <s v="ZTS6410-1-(2026-12-31);"/>
        <s v="ZTT5260-2-(/);ZTE5260-2-(/);"/>
        <s v="ZTS12000-1-(/);"/>
        <s v="DG600-YS-1-(/);"/>
        <s v="ZTE9100-1-(/);"/>
        <s v="CYDJ45(D)-1-(/);"/>
        <s v="总成平台基座-40-(/);"/>
        <s v="HZS180-4-(/);"/>
        <s v="ZYS113-1-(/);"/>
        <s v="HZS180K-2-(/);"/>
        <s v="HZS180-2-(/);"/>
        <s v="ZTS11700-1-(/);"/>
        <s v="ZTT5500-1-(/);/-1-(/);"/>
        <s v="ZY112B-2-(2026-06-01);"/>
        <s v="待定-1-(/);"/>
        <s v="ZTE8600-4-(2026-07-22);"/>
        <s v="8米敞开式TBM-1-(/);"/>
        <s v="HZS1800-2-(2026-06-30);"/>
        <s v="ZTT4030-1-(2027-01-05);"/>
        <s v="180-2-(2026-06-30);"/>
        <s v="ZTE6950-2-(/);"/>
        <s v="ZTE6950-4-(/);"/>
        <s v="泥水平衡盾构机-1-(2026-12-07);"/>
        <s v="ZTS5040-1-(/);ZTS3770-1-(/);"/>
        <s v="SCC2000-1-(/);"/>
        <s v="泥水平衡盾构机-1-(2026-10-29);"/>
        <s v="开挖直径3.5米级TBM-1-(/);"/>
        <s v="ZTE6950-16-(/);"/>
        <s v="zys123-1-(/);"/>
        <s v="ZTE6950-1-(/);"/>
        <s v="ZTS9100-1-(/);"/>
        <s v="800-1-(2027-12-30);"/>
        <s v="MT141-2-(/);ZYS113-2-(/);"/>
        <s v="ZYS113-2-(/);MT141-2-(/);"/>
        <s v="ZTE6430-1-(2026-03-31);ZTE5630-2-(/);"/>
        <s v="ZTP3700-2-(/);ZTS8300-1-(/);ZTT4500-1-(/);"/>
        <s v="ZTE6410-6-(/);"/>
        <s v="ZTS12400-1-(/);"/>
        <s v="HZS120-2-(/);"/>
        <s v="土压平衡盾构机/单护盾TBM-5-(/);"/>
        <s v="3~8米-15-(2027-12-01);"/>
        <s v="ZTS8300-10-(2026-12-01);ZTS12960-4-(2026-12-01);ZTE8300-29-(2026-12-01);"/>
        <s v="ZTE4300-1-(/);"/>
        <s v="ZTE6200-1-(2026-06-30);"/>
        <s v="带式输送机输送系统-1-(/);"/>
        <s v="CYTJ45C-3-(2026-03-31);"/>
        <s v="11.3米管片外径泥水平衡盾构机-1-(/);"/>
        <s v="ZTE8800-2-(2026-10-07);"/>
        <s v="ZTT3530-1-(2027-07-22);"/>
        <s v="HZS180-20-(/);"/>
        <s v="搅拌站-1-(/);"/>
        <s v="砂石骨料生产线-1-(/);"/>
        <s v="MG14-ND-1-(/);KCD2-ND-1-(/);"/>
        <s v="搅拌站-1-(2024-12-31);"/>
        <s v="待定-1-(2024-12-31);"/>
        <s v="UDK-40-1-(/);CYTC89(J)-1-(/);"/>
        <s v="DG200-RS-1-(/);"/>
        <s v="ZTS14600/ZTS13300/ZTS10800-6-(/);"/>
        <s v="砂石骨料生产线-1-(2026-12-31);"/>
        <s v="/-0-(2025-12-31);"/>
        <s v="锚杆台车-1-(/);"/>
        <s v="搅拌站-2-(2024-12-31);"/>
        <s v="隧道装备产品-1-(/);"/>
        <s v="未定-2-(/);"/>
        <s v="ZTE9100-6-(/);"/>
        <s v="ZTS15700-1-(/);"/>
        <s v="泥水平衡盾构机-1-(/);"/>
        <s v="泥水平衡盾构机-2-(/);"/>
        <s v="泥水平衡盾构机-4-(/);"/>
        <s v="ZTT6300-1-(/);"/>
        <s v="双护盾TBM-2-(/);"/>
        <s v="ZTT3530-1-(/);智能焊接机器人-5-(/);"/>
        <m/>
      </sharedItems>
    </cacheField>
    <cacheField name="预计签约日期" numFmtId="0">
      <sharedItems containsBlank="1" count="58">
        <s v="2025-12-10"/>
        <s v="2027-10-30"/>
        <s v="2026-04-30"/>
        <s v="2026-06-30"/>
        <s v="2026-12-31"/>
        <s v="2026-03-31"/>
        <s v="2026-09-30"/>
        <s v="2025-12-31"/>
        <s v="2028-09-13"/>
        <s v="2026-05-13"/>
        <s v="2026-01-05"/>
        <s v="2026-07-08"/>
        <s v="2026-05-11"/>
        <s v="2026-09-01"/>
        <s v="2026-04-14"/>
        <s v="2026-12-04"/>
        <s v="2025-06-30"/>
        <s v="2024-08-20"/>
        <s v="2025-10-29"/>
        <s v="2027-06-30"/>
        <s v="2026-12-30"/>
        <s v="2026-07-31"/>
        <s v="2026-08-31"/>
        <s v="2026-05-31"/>
        <s v="2027-12-01"/>
        <s v="2027-03-30"/>
        <s v="2026-10-31"/>
        <s v="2027-09-01"/>
        <s v="2027-01-31"/>
        <s v="2027-12-31"/>
        <s v="2027-08-31"/>
        <s v="2026-01-31"/>
        <s v="2026-11-30"/>
        <s v="2027-03-31"/>
        <s v="2025-11-17"/>
        <s v="2027-10-14"/>
        <s v="2027-06-02"/>
        <s v="2025-06-18"/>
        <s v="2025-12-25"/>
        <s v="2025-08-20"/>
        <s v="2025-05-15"/>
        <s v="2025-09-25"/>
        <s v="2025-09-10"/>
        <s v="2027-09-30"/>
        <s v="2025-05-31"/>
        <s v="2025-11-20"/>
        <s v="2025-07-25"/>
        <s v="2024-11-30"/>
        <s v="2027-06-01"/>
        <s v="2026-02-28"/>
        <s v="2025-01-01"/>
        <s v="2023-12-20"/>
        <s v="2025-11-10"/>
        <s v="2025-10-30"/>
        <s v="2024-06-15"/>
        <s v="2023-03-16"/>
        <s v="2024-05-08"/>
        <m/>
      </sharedItems>
    </cacheField>
    <cacheField name="预计成交金额（元）" numFmtId="0">
      <sharedItems containsBlank="1" count="46">
        <s v="CNY 5,900,000.000"/>
        <s v="CNY 40,000,000.000"/>
        <s v="CNY 8,000,000.000"/>
        <s v="CNY 15,000,000.000"/>
        <s v="CNY 50,000,000.000"/>
        <s v="CNY 100,000,000.000"/>
        <s v="CNY 30,000,000.000"/>
        <s v="CNY 14,000,000.000"/>
        <s v="CNY 0.000"/>
        <s v="CNY 9,000,000.000"/>
        <s v="CNY 22,780,000.000"/>
        <s v="CNY 1,190,000.000"/>
        <s v="CNY 300,000,000.000"/>
        <s v="CNY 500.000"/>
        <s v="CNY 5,000,000.000"/>
        <s v="CNY 250,000,000.000"/>
        <s v="CNY 140,000,000.000"/>
        <s v="CNY 3,000,000.000"/>
        <s v="CNY 10,000,000.000"/>
        <s v="CNY 200,000,000.000"/>
        <s v="CNY 16,000,000.000"/>
        <s v="CNY 500,000,000.000"/>
        <s v="CNY 17,000,000.000"/>
        <s v="CNY 20,000,000.000"/>
        <s v="CNY 18,000,000.000"/>
        <s v="CNY 2,000,000.000"/>
        <s v="CNY 15,600,000.000"/>
        <s v="CNY 150,000,000.000"/>
        <s v="CNY 60,000,000.000"/>
        <s v="CNY 1,500,000.000"/>
        <s v="CNY 130,000,000.000"/>
        <s v="CNY 1,000,000.000"/>
        <s v="CNY 120,000,000.000"/>
        <s v="CNY 80,000,000.000"/>
        <s v="CNY 1.000"/>
        <s v="CNY 3,600,000.000"/>
        <s v="CNY 33,000,000.000"/>
        <s v="CNY 1,300,000.000"/>
        <s v="CNY 6,700,000.000"/>
        <s v="CNY 2,380,000.000"/>
        <s v="CNY 8,140,000.000"/>
        <s v="CNY 1,250,000.000"/>
        <s v="CNY 4,900,000.000"/>
        <s v="CNY 400,000,000.000"/>
        <s v="CNY 300,000,009.000"/>
        <m/>
      </sharedItems>
    </cacheField>
    <cacheField name="项目经理" numFmtId="0">
      <sharedItems containsBlank="1" count="14">
        <s v="唐作栋"/>
        <s v="万赛"/>
        <s v="杨志胜"/>
        <s v="沈腾飞"/>
        <s v="袁志凌"/>
        <s v="刘新峥"/>
        <s v="周斌"/>
        <s v="赵宇瑄"/>
        <s v="穆华清"/>
        <s v="陈浩"/>
        <s v="李壮壮"/>
        <s v="李汝"/>
        <s v="袁虎钢"/>
        <m/>
      </sharedItems>
    </cacheField>
    <cacheField name="项目经理2" numFmtId="0">
      <sharedItems containsBlank="1" count="10">
        <m/>
        <s v="万赛"/>
        <s v="刘新峥"/>
        <s v="沈腾飞"/>
        <s v="曾彬"/>
        <s v="穆华清"/>
        <s v="赵宇瑄"/>
        <s v="杨志胜"/>
        <s v="陈浩"/>
        <s v="袁志凌"/>
      </sharedItems>
    </cacheField>
    <cacheField name="项目详细阶段" numFmtId="0">
      <sharedItems containsBlank="1" count="6">
        <m/>
        <s v="定测及初步设计阶段"/>
        <s v="设备招标阶段"/>
        <s v="设备已中标"/>
        <s v="项目立项阶段（预可研，初测及可研，环评）"/>
        <s v="项目施工招标阶段"/>
      </sharedItems>
    </cacheField>
    <cacheField name="跟进具体情况描述" numFmtId="0">
      <sharedItems containsBlank="1" count="134" longText="1">
        <s v="已完成洽谈，合同总价590万，已签订定购函"/>
        <s v="目前业主及设计单位正在准备报批工作"/>
        <s v="施工已中标，一共九个标段，1公里以上的隧道要求上全电脑三臂凿岩台车，落实目前2标、3标、7标、9标有全电脑三臂凿岩台车需求，按照标书文件要求4个标段分别需要4台设备，合计16台；3标重新招标后，中标单位11月已公示，为浙江交工宏途，正式施工合同近期会完成签订。1月份跟踪各标段情况如下：9标劳务已经确定，设备需求第一台设备计划进展时间是2026年4月1日，目前正在和劳务老板洽谈中；2标、3标、7标目前劳务队还没有确定，预计年后才能完成招标，设备需求等劳务队确认后才能订设备。"/>
        <s v="剩余1个地下段SG-2标暂未招标，目前已有消息项目内定给中铁十八局市政公司"/>
        <s v="1.中交隧道局中标施工标，我司无可租赁设备_x000d__x000a_2.中铁十五局横琴项目设备目前闲置，正在对接进行转租或进行维修改造"/>
        <s v="铁四院中标望江门隧道建设方案研究，已对接铁四院杭州分院了解相关情况，暂定隧道管片外径12m8"/>
        <s v="3月拜访杭淳开高速杭州段建设指挥部及2、3、7、8、10、12标项目部，了解建设指挥部对大机施工设备的要求，桐庐-富阳段3月26日给各项目部宣贯设备要求，淳安段2月底已向各项目部下发设备要求通知。目前各项目部正在与劳务分包签订合同，设备均由劳务队自带。"/>
        <s v="因施工单价原因，浙江万慧詹总还未确定是否使用大机施工，需求待定。"/>
        <s v="本项目原投资主体已退出，11月3日已发布了投资主体优选公告，计划12月底前确定新的投资主体。本项目原投资主体国电投已退出，新的投资人已确定为中广核风电有限公司，项目后续进展待跟进。"/>
        <s v="本项目原投资主体已退出，11月3日已发布了投资主体优选公告，计划12月底前确定新的投资主体。新的投资人确定为江西省投资集团，已拜访江西省投资集团下属峰山抽水蓄能公司朱胜江总和王志刚总，项目预计年底前招先期标。"/>
        <s v="已对接安能二局市场部杨邑文，安能二局中标筹建期进厂交通洞兼通风安全洞工程，TBM标段暂未招标。本月无最新进展。"/>
        <s v="2025年3月，水电水利规划设计总院主持评审，预可研通过，同意1200兆瓦方案。现处于可研阶段。暂无明确推进计划。"/>
        <s v="因矿区发现了稀土储量，该项目暂时停滞，后续推进计划暂不明确。该项目重新纳入了江西省2026年预备开工项目。"/>
        <s v="中建三局中标施工标，正在对接中建三局了解设备需求情况"/>
        <s v="引水隧洞27公里，采用TBM施工，开挖直径5米。项目业主单位调整为赣州市市政公用集团，计划2026年6月份启动招标，系统内11局、18局、14局均在跟进。已对接赣州市水务集团和上海市政院，并为设计院提供了TBM和盾构机选型建议及专家。"/>
        <s v="1.中铁十四局大盾构公司已中标施工标，投标时为保证业绩分，使用海瑞克技术方案投标。_x000d__x000a_2.已拜访业主单位，业主暂未强制要求使用进口设备或投标厂商设备，国网特高压事业部拟考察国产设备厂商设备。"/>
        <s v="该项目具体由十九局广州公司实施，已拜访了十九局江西经营部贾总和项目经理张洋，计划由联合体成员方上饶市泽海建材负责销售及设备采购。"/>
        <s v="业主在2025年已上报项目财政计划并已获得批复，2026年年度投资已落实，年度任务已完成，因此对于项目招标及进度并不是很着急，项目招标时间可能延后至春节后"/>
        <s v="我司提供了方案报价，但设备无法满足现场工况要求，最终客户选择采购五新装备的设备，采购价114万。"/>
        <s v="1.戴董事长拟前往发展集团考察调研，由发展集团做本项目的专项汇报后进行下一步推进，但由于时间问题，董事长暂未前往考察_x000d__x000a_2.林东新能源还在与国家能源局就并网补贴进行洽谈，目前洽谈价格为1.6元_x000d__x000a_3.暂无最新进展"/>
        <s v="初步设计项目，暂无最新进展"/>
        <s v="项目正在中标公示中，TJ01标：浙江交工集团股份有限公司，TJ02标：中交一公局集团有限公司"/>
        <s v="已拜访数智交院，项目处于前期设计阶段"/>
        <s v="已拜访数智交院，项目处于前期设计阶段，无进展"/>
        <s v="项目已发布招标计划，计划4月底进行施工招标"/>
        <s v="3月已与核工业井巷公司进行两次技术交流，拟就非全断面连续开挖设备技术申报浙江省“尖兵”、“领雁”科研项目，目前正在进行开题报告复核，并在第二批指南中进行申报。"/>
        <s v="1月14日开始施工图审查招标，施工招标26年2季度进行"/>
        <s v="3月23日从十九华东公司了解到该项目计划6月份启动。"/>
        <s v="目前已对接西枢纽和市铁办建设管理中心一处处长，项目可研阶段，拟采用盾构施工，计划近期拜访宁波西枢纽和市铁办建设管理中心前期处处长，项目规划阶段，拟采用盾构施工，考虑16米盾构方案概率较小，拟高架或明挖。项目规划中，暂无进展"/>
        <s v="目前项目未获批，宁象宁慈线盾构设备明年全部贯通，盾构机会用到该项目继续施工。"/>
        <s v="1.11月可研挂网招标，预计中标单位浙江水院和宁波水院；_x000d__x000a_2.宁波将项目列入十五五重点启动项目，前期启动；_x000d__x000a_3、3月31日已对接8米TBM同步衬砌事宜，节后技术交流。周公宅与亭下之间新建分洪隧洞启动较快"/>
        <s v="数字交院中标设计，目前设计中，本标段天台县交通局出资30%，省交投出资70%，共计四个标段_x000d__x000a_2月24日拜访设计院，了解到：因业主资金未到位，设计暂停中。天台交通局暂无资金来源，还要同省交通沟通资金情况。业主同时开展其他资金引入的工作本标段天台县交通局出资30%，省交通出资70%。"/>
        <s v="1.10月14日拜访宁波水投工程技术部，项目可研审批中，计划元旦前招标。_x000d__x000a_2.浙江隧道已中标东西线水库联通工程，设备型号一致，且项目完成业主较认可，中标概率较大。_x000d__x000a_3.12月11日拜访宁波水投工程主管，项目可研近期批复，预计2026年2-3月招标。_x000d__x000a_4、1月20日施工招标，2月10日投标截止，目前中铁十八局、十九局业绩满足。_x000d__x000a_核实设备需求时间为 2026 年 8 月，计划 10—11月实现始发。设备拟由禹顺生态采购 4 米级 TBM，并计划租赁给广东省粤水电用于施工。3 月中旬及下旬，与禹顺生态柴总进行了两次沟通交流，目前主要竞争对手为中铁装备，安徽唐兴、华隧。3 月 28 日已向禹顺生态提交设备报价及配置参数资料。禹顺生态计划于 3 月底组织外部专家对各单位提交的参数方案进行评审，预计 4 月上旬确定设备中标单位。3月30日获悉华隧自有一台设备且带施工，粤水电不参与施工、仅收取管理费，禹顺自负盈亏。粤水电负责项目的设备招采流程（租赁）_x000d__x000a_3月底客户已告知业主租赁TBM。"/>
        <s v="目前设计阶段，已拜访中铁建大桥局宁波办事处，项目拟需求两套海工180搅拌站，铁建大桥三公司跟踪中标概率较大。目前初步设计暂未获批。因资金未到位，项目推迟到2026年下半年。暂无最新进展"/>
        <s v="2025年12月16日中标公示，1标中标单位宁波建工建乐+中铁六局；2标中标单位中铁隧道局，自有改造设备，预计需求时间2026年12月。"/>
        <s v="上海市政院中标设计。目前设计中。暂定3个标段，11月6日施工招标审查预公告，11月12日招标资格预审查，12月18日中标结果:中铁二十二局+中铁十局，宁波市政+铁四局，中交水电+中天建设，中天建设施工盾构区间，自有2台海瑞克设备。宁波市政区间长度5km，拟考虑采购一台旧机，3月23日已报价。"/>
        <s v="1.2025年6月拜访设计单位及项目专班，交流盾构机选型；_x000d__x000a_2.跟踪初步审查进展，2025年11月已完成初步审查；_x000d__x000a_3、资金来源采用专项债，目前到账3亿元，已启动前期道路项目；_x000d__x000a_4、预计2026年2季度施工招标；_x000d__x000a_5.隧道延米设计概算42万元/米；_x000d__x000a_6.目前台州市政府拟改造一桥，项目存在推迟风险，预计2026年下半年施工招标。"/>
        <s v="目前施工已中标，中标单位为中铁二十一局路桥公司，项目部正在选址；其中温州市区和瑞安市区有下穿瓯江和飞云江盾构段，长度分别为918米、737米。已与项目部进行交流洽谈，目前因市面上没有合适机型暂未确认设备来源，21局拟采用劳务专业分包，由分包队带设备，目前还在队伍洽谈中。暂无新进展。_x000d__x000a_该项目已于河北某劳务队洽谈设备租赁，由于未签订合同，项目部暂未告知公司名称。_x000d__x000a_项目已明确轨道公司分包劳务。设备拟采用安徽唐兴旧机维修改造。"/>
        <s v="已与项目业主和施工单位开展了技术交流和设备需求了解，该项目拟采用劳务专业分包，根据客户描述：由于设备昂贵，垫资成本过高，劳务队不能接受设备施工，目前项目部还在与劳务队沟通中"/>
        <s v="8月21日中标结果公示中，1标中铁十四局+浙交工地下公司；3标中交隧道；2标中铁隧道+宁波交工。中铁十四局拟采用京华号再制造。_x000d__x000a_采用7.6米主轴承。业主10月31日召开会议，要求各施工单位于11月15日确定盾构厂家，11月30日设备启动生产；中铁十四局再制造报价中；浙江交工地下近几天邀请盾构机招标。_x000d__x000a_浙江交工地下公司已于11月28日邀请招标。暂未明确中标单位。_x000d__x000a_目前我司得分最高，但暂未公开中标结果_x000d__x000a_已完成设计参数和主要零部件品牌确认_x000d__x000a_已完成第一次设计联络，并通过_x000d__x000a_已完成第二次设计联络"/>
        <s v="1、同掘进机、特装事业部拜访业主工程部刘岗、姜卫海一行进行技术交流；_x005f?2、业主反馈不会增加费用要求施工单位上智能化设备。?3、业主对科研创新项目感兴趣，尤其是针对斜井作业台车，同事业部郑松出具科研项目立项书，上报业主；?4、后续业主反馈，该设备无实际案例，出具安全考虑，未能申报成功。_x000d__x000a_5、目前已挂网招标，共分为上库、下库、输排水系统，12月8日开标。_x000d__x000a_6、目前系统内单位十八局已报名参与1、同掘进机、特装事业部拜访业主工程部刘岗、姜卫海一行进行技术交流；?2、业主反馈不会增加费用要求施工单位上智能化设备。?3、业主对科研创新项目感兴趣，尤其是针对斜井作业台车，同事业部郑松出具科研项目立项书，上报业主；?4、后续业主反馈，该设备无实际案例，出具安全考虑，未能申报成功。_x000d__x000a_5、目前已挂网招标，共分为上库、下库、输排水系统，12月8日开标。_x000d__x000a_6、目前系统内单位十八局已报名参与"/>
        <s v="1、项目25年5月25日正式开始打桩，预计26年5月份具备始发条件；_x000d__x000a_2、项目部已完成询价，询价结果如下：我司6500、武重机床5500、十一局一公司4800、广州山河4000、交工地下3390，中铁工服3700_x000d__x000a_3、11月拜访项目部，其计划使用11局四公司厦工中铁设备及租赁十五局轨道公司DZ1001（租赁价格3500元/米）。"/>
        <s v="前期标中标单位为北京城建院，目前总设正在招标，目前已延期开标，开标时间另行通知，预计推后至26年开标‘’"/>
        <s v="前期与设计院、业主沟通，设计及招标中没有要求智能化机械施工，其要求的施工设备费用需投标人包含在投标综合单价中。3月24日已开标；3标隧道两座（左2450米/右2640米，左495/右472米）中标单位为交工宏图，中标价18.2亿元；5标隧道两座（左495/右472，左1513/右1577）中标单位为交工集团，中标价22.5亿元；同事业部郑松拜访业主建设指挥部，指挥部目前对智能型设备并无太大兴趣。已拜访浙江交工宏途3标（设备由劳务队自带）、交工大桥5标（设备由劳务队自带）；目前已对接劳务队老板，队伍自有设备无设备缺口；"/>
        <s v="已与客户初步洽谈，该项目为合作中标项目，十八局施工1.5公里拟续租或回购杭州地铁10号线DL912/913；私人老板施工1.9公里区间，预计进场时间27年3月、4月份，设备来源暂未明确（需求时间27年4月、5月）。目前回购价格已初步核算1980万；"/>
        <s v="衢州段合计分为5个标段，中标单位分别为交工金筑、中交二公局、交工集团（交工大桥）、交工宏途、省建投交建；其中1标包含设隧道 6429.5m/5 座；其中1/3/4标段有长大隧道使用大机配套施工，并要求各标段单独搭建智能化平台。老板已明确年后确定设备来源"/>
        <s v="已与客户盾构施工负责人电话联系，目前项目前期为土地征迁及管线改迁工作，项目盾构人员暂未进场，已告知西南区域负责人；西南反馈事业部认定中铁隆为私企，我司私企条件苛刻。"/>
        <s v="十五局城轨公司自有6台6.7米设备目前初步计划使用自有闲置设备DZ1001/DZ1002;基本明确使用自有设备。"/>
        <s v="我司初步向水电七局初步上报的设备方案为DL912/913,由于投标时承诺使用新机，目前客户还在与业主单位沟通新机问题，客户预算3000万。客户初步反馈可能会加快进度在26年6月份进场。其自有两台装备泥水6.7米设备1288/1289正在闲置;"/>
        <s v="项目在5月7日完成设计招标工作，由浙江数智交院科技股份有限公司中标"/>
        <s v="1、2024年9月份开始跟进，建立项目台账；_x000d__x000a_2、2025年12月份，盾构机始发井确定采用竖井掘进机施工。_x000d__x000a_3、霞浦核电站一期工程排水隧道计划在2026年3月份招标。_x000d__x000a_4、与中铁15局福宁经营部对接，此项目盾构机始发井采用竖井掘进机施工将会作为招标条件，2026-2-13_x000d__x000a_5、一期排水隧洞原计划3月底招标，现推迟至6月份招标。2026-3-15_x000d__x000a_6、与中铁15局福建经营部一同拜访了业主单位（中国华能），交流了竖井掘进机施工技术。 2026-3-30"/>
        <s v="2、2024 年，将乐县自然资源局顺利完成了百祥矿业方解石矿的探矿权转采矿权工作。2025 年 7 月 7 日，_x000d__x000a_2、三明市生态环境局受理了该项目的环境影响评价文件。截至 2025 年 7 月，项目的环境影响报告书已基本完成编制工作，_x000d__x000a_3、且建设单位已同步完成该项目环境影响公众参与说明编制工作，并进行了公示。_x000d__x000a_4、我司给铁一院提供了皮带机方案、基本参数及尺寸。2025-11-13_x000d__x000a_5、与中铁14局，铁一院催化项目EPC招标，招标基本资料已准备，代理商已确认，计划在本周挂网招标公告，在12月20日前完成招标工作。2025-11-27_x000d__x000a_6、施工招标于12月1日已挂网，EPC模式，2025-12-3_x000d__x000a_7、中铁14局、铁一院联合体中标，跟进EPC合同签订进展，2025-12-29_x000d__x000a_8、与中铁14局、铁一院的拜访了业主单位方岩集团，此项目要求在2027年年底隧道贯通，隧道区间有10公里，5米宽城门洞型，采用钻爆发施工，一个支洞，2026-1-16_x000d__x000a_9、此项目施工合同暂未签订，铁一院的设计工作已启动。2026-2-13_x000d__x000a_10、拜访了中铁14局福建经营部，此项目目前处于资金筹备中，待资金基本确定后立即启动，2026-3-23"/>
        <s v="1、2024 年 7 月，福建省发展和改革委员会批复了沈海线漳州龙海至诏安段（龙海北溪头至诏安闽粤界）扩容工程可行性研究报告。_x000d__x000a_2、2025 年 3 月，福建省发展和改革委员会同意调整该项目可行性研究报告中资本金出资来源。_x000d__x000a_3、2025 年 6 月 30 日，项目施工图设计正式获得福建省交通运输厅批复，为下阶段开展路基土建施工、监理及检测招标，实现 4、2025 年 9 月份开工建设迈出坚实一步。_x000d__x000a_5、2025 年 7 月，福建省工程领域招投标在线监管平台发布了该项目路基土建工程施工招标公告。_x000d__x000a_6、2025 年 9 月，该项目获自然资源部批准先行用地 30.6536 公顷，是全省首个参建单位还未正式进场就先取得用地批复的高速公路建设项目。_x000d__x000a_7、中铁17局中标9标段，隧道区间2.3公里，为大机配套试验段。_x000d__x000a_8、业主要求采用全电脑设备，我司提供了凿岩台车、拱架台车、钻锚注一体机、湿喷台车报价。_x000d__x000a_9、中铁17局项目部回复，首选劳务队自带，次之为租赁，最后才是采购。2025-11-13_x000d__x000a_10、拜访了中铁17局6公司设备部龙部长，他们提出大机配套有回购的采购要求，咨询了特装事业部，2年后的回购残值不高于15%.，2025-11-25_x000d__x000a_11、业主要求承建方提供全电脑凿岩台车、拱架台车、钻锚注一体机；中铁17局6公司中标，此项目设备将由劳务队自带，他们将要求劳务队使用铁建重工的全电脑三臂凿岩台车。12-29_x000d__x000a_12、计划于2026年1月20日与中铁17局6公司组织特装产品技术交流会。2026-1-16_x000d__x000a_13、提供设备正式报价，先需求1台全电脑三臂凿岩台车，1台全电脑二臂凿岩台车，1台钻锚注一体机。2026-1-31_x000d__x000a_5、需求两台小三臂凿岩台车，提供技术参数表，提供劳务招标凿岩台车技术要求，2025-2-13_x000d__x000a_6、拜访中铁17局6公司设备物资部，由劳务队采购，还未最终确定劳务队，2026-3-23"/>
        <s v="1、对接中铁17局6公司设备部龙部长，他们证在招劳务标，首选劳务队自带，如他们采购，必须有回购的采购要求，咨询了特装事业部，2年后的回购残值不高于15%。12-8_x000d__x000a_2、中铁17局已明确由劳务队带设备进场施工，劳务招标计划在1月份进行。12-29_x000d__x000a_3、计划于2026年1月20日与中铁17局6公司组织特装产品技术交流会。2026-1-16_x000d__x000a_4、待劳务招标，由劳务队带设备进场施工，2026-2-13_x000d__x000a_5、与工程局在项目部做了隧道施工大机配套技术交流，需求两套。2026-3-30"/>
        <s v="1、对接设计院，拿到了项目可研资料。_x000d__x000a_2、预计在2025年7月份招水闸标。_x000d__x000a_3、对接上海市政院，根据业主要求，涉铁区间单独拎出来，则盾构段分为三个区间了，需求2台ZTE6480，1台ZTE5580，预计在10月份招盾构段标，2025-6-27_x000d__x000a_4、九龙江左干渠盾构标分两个，一个5亿多，一个4亿，预计在11月20日招标。资质设一级水利，一级市政，业绩要求：盾构长度不少于3公里。2025-10-13_x000d__x000a_5、因涉铁事宜处理耽误，盾构段招标预计推迟至2026年4月份，2026-2-13_x000d__x000a_6、此项目为专项债项目，资金情况预计在3月底能明确下来，招标预计在6月份左右进行，2026-3-30"/>
        <s v="1、拜访福州市水利投资集团有限公司总工，根据你项目进展，福建水投为一库三线中的福州线和滨海线业主单位；_x000d__x000a_2、此项目需要水利部批准，手续变繁琐了，预计在2025年年底启动招标工作。_x000d__x000a_3、2025年3月14日完成规划报批评审工作，预计在2026年年中施工招标。_x000d__x000a_4、可行性研究报告通过初审：2025年2月24日至25日。_x000d__x000a_5、2025年3月24日，福州市水利局召开了“一库三线”工程2025年第2次前期工作协调推进会议。_x000d__x000a_6、此项目已完成省水利厅的可研报批，计划9月前完成太湖流域可研报批，争取在年底前完成水利部可研报批，2025-6-23_x000d__x000a_7、与中铁18局隧道公司拜访省水电院。2025-7-22_x000d__x000a_8、拜访了省水电院，可研初稿编制中，2025-8-11_x000d__x000a_9、可研审批初稿已提交太湖流域审批，2025-8-21_x000d__x000a_10、拜访设计院，福建院，暂时无进展 2025-5-2_x000d__x000a_11、可研初稿已过省水投评审，计划下周报送太湖流域审批。2025-9-21_x000d__x000a_12、我司给设计院提供了泥水盾构机方案，我司设计负责人谢蛟，2025-10-30_x000d__x000a_13、福州段穿乌龙江盾构机有计划改顶盾施工。2025-11-27_x000d__x000a_14、项目可研被退回，要求根据水利部最新的投资要求重新提报预可研资料，项目预计推迟至2027年年中才能启动招标工作。2025-12-8_x000d__x000a_14、本周无进展，2026-3-30"/>
        <s v="1、2023年12月份国家发改委批准了福州地铁第三轮规划；_x000d__x000a_2、2024年5月7日~9日组织了福州地铁第三轮规划评审；_x000d__x000a_3、2024年8月24日，我司董事长拜访福州地铁集团董事长。_x000d__x000a_4、2024年9月13日，我司与福州地铁集团组织盾构机新技术交流会。_x000d__x000a_5、2024年9月底，施工用地审批有序已批准。_x000d__x000a_6、预计在2025年9月份招标。_x000d__x000a_7、福州地铁第3轮规划（6号线西延线、3号线、S1线）建规报批被退回来了，就在五一节后这几天。听说这次是全国性的，没有开工建设的项目都被退回来了。发改委要修编，听说今年年底能出新的规范，要待新的规范下来后再重新申报。所以福州地铁第3轮最快也要到明年年底才能启动，2025-5-23_x000d__x000a_8、福州第3轮规划报批被退回，预计2026年年初能重新提报，争取在2026年年底能批复。2025-6-14_x000d__x000a_9、项目无新进展。2025-8-21_x000d__x000a_10、项目无新进展。2025-10-21_x000d__x000a_11、福州第三轮规划因在运营的地铁上座率不够，被再次退回了，现申请取消。如后续再启动，重新申报。2025-12-23_x000d__x000a_12、本周无新进展，2026-3-30"/>
        <s v="1、拜访业主单位、设计院及中铁建福建经营部，跟进项目进展；_x000d__x000a_2、项目核准暂未批复，预计在2025年第三季度招标。_x000d__x000a_3、厦门第3轮规划（9号线2期、5号线、8号线）建规报批被退回来了，就在五一节后这几天。听说这次是全国性的，没有开工建设的项目都被退回来了。发改委要修编，听说今年年底能出新的规范，要待新的规范下来后再重新申报。所以厦门地铁第3轮最快也要到明年年底才能启动，2025-5-23_x000d__x000a_4、厦门第三轮申请被接收，9号线二期预计在2026年第二季度招标，跨海段2.7公里采用11.8米管片外径泥水盾构机施工。配合系统内单位开展土建施工承揽，重点放在跨海11.8米泥水盾构机。2025-12-29_x000d__x000a_5、暂无新进展，2026-3-30"/>
        <s v="1、目前中铁建二十局，十四局，十八局都在接触南平市政府和交投，拟引进工程投资平台公司来筹集资金。根据2025年3月赣闽专项会议决议，上浦高速福建段已成立专项项目公司，正推进工程可行性研究阶段筹备工作，计划在&quot;十五五&quot;规划期初期开工建设。2026-1-16_x000d__x000a_2、暂无新进展 2026-3-30"/>
        <s v="1、2025年5月15日在北京召开工可修编方案咨询评估，围绕交通量分析预测、技术标准拟定、建设方案设计、交通组织模式规划及财务分析等核心内容展开深度研讨，其中很明确表示，要进行探索“上客下混”通行模式，即上层高速为客车通道，而下层为客车与货车混合通道。预计2026年启动建设。2026-1-16_x000d__x000a_2、此项目列入了省重点启动项目，2026-3-30"/>
        <s v="1、2024年5月7~9号福州地铁召开第3轮规划建规报批_x000d__x000a_2、2024年10月份土地施工用地已批复。_x000d__x000a_3、第3轮规划报批被退回，预计2026年年初能重新提报，争取在2026年年底能批复 2025-6-5_x000d__x000a_4、此项目暂无进展。2025-9-8_x000d__x000a_5、无新进展，持续跟进，2026-3-13"/>
        <s v="1、项目处于前期研究阶段。拜访福建交规院了解相关情况。_x000d__x000a_2、目前设计院还在做前期设计勘察，项目可研已通过。_x000d__x000a_3、福建省交通运输厅 2025 年 4 月 30 日发布的信息，沈海联络线泉（州）梅（州）高速公路泉州段已完成 “工可” 审查，_x000d__x000a_4、泉州市正在按要求优化方案和修编 “工可”。根据泉州公布的 2025 年重点项目安排，泉梅高速预计建设周期为 2026-2029 年。_x000d__x000a_5、项目无新进展。2025-8-21_x000d__x000a_6、交通运输部出具关于 G1532 泉梅高速泉州段工程建设资金安排意见，拟安排中央交通运输领域重点项目资金 14.96 亿元，标志着该项目前期工作取得重大突破， 2025年9月8日。_x000d__x000a_7、暂无新进展，2025-11-13_x000d__x000a_8、业主回复预计在明年第二季度招标，2025-12-8_x000d__x000a_9、本周无新进展，2026-1-16_x000d__x000a_10、2026 年福建省与泉州市均将该项目列入年度拟开工重点高速，明确年内启动建设，工期约 4 年，预计 2029 年建成通车 2026-3-23"/>
        <s v="1、我司已与福建水电院完成两轮TBM技术交流，及时跟进规划进展；_x000d__x000a_2、福建与广东已解决水资源争执已解决，项目重新启动。_x000d__x000a_3、2025年3月19日，省水利厅党组成员、副厅长余德贵召开闽西南水资源配置工程前期工作推进视频会，12月项目可研报告送水利部审查、2026年底项目开工建设_x000d__x000a_4、2025年3月19日，省水利厅党组成员、副厅长余德贵召开闽西南水资源配置工程前期工作推进视频会。会议通报了分水方案、用水需求、规划环评依据等进展情况，并明确了工作目标，即围绕今年12月项目可研报告送水利部审查、2026年底项目开工建设的目标，加快工程总体布局和规模论证、规划环评及可研报告前置专题报告编审工作，尽早完成可研立项。_x000d__x000a_5、拜访福建省水电设计院，闽西南新增了漳浦-云霄输水隧道，约51公里，采用3台TBM施工。此项目争取在年底前完成省水利厅审批，在明年3月份完成太湖流域报批，在2026年年中完成水利部项可研报批。2025-6-14_x000d__x000a_6、陪同中铁19局拜访省水电设计院。_x000d__x000a_7、陪同中铁18局隧道公司拜访省水电设计院。_x000d__x000a_8、工程总体布局为 “两库两闸三线”，总投资 342 亿元。“两库” 分别是漳平浙溪大型水库、华安罗溪中型水库；“两闸” 为九龙江北溪水闸和西溪桥闸；“三线” 为棉花滩、漳州和厦泉等 3 条输水线路。其中泉厦支线，棉花滩支线隧洞会用到TBM施工，TBM隧洞约100公里。预计在2026年年中完成水利部项可研报批，在2027年年初启动施工招标工作。_x000d__x000a_业主单位：省水投集团；设计单位：省水利水电设计院。_x000d__x000a_设备需求：预计采用5～8台5至7米硬岩掘进机，3台3米硬岩掘进机。2025-8-11_x000d__x000a_9、拜访设计单位，漳州漳浦支线，6公里，有计划从钻爆法改TBM施工，开挖直径5米，2021-8-15_x000d__x000a_10、本周设计院组织了闽西南引水工程可研二次专家评审，与我司相关的为TBM隧道未提出异议，2025-9-17_x000d__x000a_11、预计采用10台5至7米硬岩掘进机，5台3米~5米硬岩掘进机，2025-10-30_x000d__x000a_12、拜访省水电设计院，可研报批被退回，资料需根据水利部最新要求重新编制，从预可研开始重走报批手续，争取在2016年年底完成科研报批。2025-12-23_x000d__x000a_13、项目规划建议书审批中，2026-3-30"/>
        <s v="2025.5.14 集团贺总、韩总、华东区域张总拜访泉州轨道交通集团陈董事长、马总经理。_x000d__x000a_2025.6.11 拜访厦门轨道合约部惠部长，确认厦门 R1 线无强制使用厦工中铁盾构机要求；厦门先期标 9 月招标，含涠洲湾大桥、大登岛明挖段、4 个盾构井，全线年底前大标段开标，以股份公司名义投标。_x000d__x000a_2025.6.16 与中铁十二局拜访漳州交发陈总工，漳州拟 3 个大标段招标；同步拜访铁二院漳州分院，获取厦漳泉 R1 线全线可研报批最终稿。_x000d__x000a_2025.6.27 拜访铁二院泉州院，泉州段年内全线动工，池店 — 东海新区盾构段预计 9 月招标。_x000d__x000a_中铁建股指成立 R1 线项目专班：_x000d__x000a_厦门：中铁十二局、十四局、中铁海峡（22 局 3 公司）_x000d__x000a_漳州：中铁建漳州公司（十二局）、十五局、二十二局、十八局_x000d__x000a_泉州：中铁建泉州公司（大桥局）、十七局、二十局、十六局、二十四局_x000d__x000a_2025.7.15 拜访中铁十五局漳州专班；7.24 中铁二十局泉州专班进驻。_x000d__x000a_泉州先期标 1 个车站预计 8 月开标，剩余土建约 150 亿 10 月招标。_x000d__x000a_初次拜访漳州铁路投资有限公司林总经理。_x000d__x000a_2025.8.6 韩总拜访泉州交发，业主不强制指定盾构机品牌。_x000d__x000a_2025.8.21 泉州先期标（池店车站）、厦门先期标（石井站 — 翔安机场站明挖区间，1.66 亿）、漳州先期标（龙海站）同步挂网。_x000d__x000a_参加漳州段盾构专题会。_x000d__x000a_2025.9.21 先期标结果：泉州中建三局、厦门中铁一局、漳州中交隧道局。_x000d__x000a_2025.11.23 月底启动初步设计评审，土建招标需施工图完成后开展，预计由年底推迟至 2026 年二季度。_x000d__x000a_2026.1.16 与铁一院对接，厦门段出岛隧道拟用泥水 / TBM 双模盾构，重新提交客户需求信息。_x000d__x000a_2026.2.13 拜访中铁建福建股指，R1 线预计 2026 年 6 月招标。近期有消息称盾构直径改回 8 米 3，2月4日组织了进出岛隧道施工专家会。_x000d__x000a_2026.3.15 厦漳泉R1线全线要求在6月份动工，预计在5月份招标。_x000d__x000a_2026.3.30 整理国内8.3米、8.6米盾构机存量。"/>
        <s v="支线1.4标，2026年12月进场，区间长度874m，56m小转弯，前期已报价，客户拟分包给上海力行，力行打包价约22000元/m，包含人工及盾构、后配套、行车吊装等设备"/>
        <s v="中交隧道局4台ZTE6830 (2027-5-1);区间长度单线1200米+1300米_x000d__x000a_上海基础4台ZTE6830 (2027-6-30);区间长度单线400（370米转弯）+780（380米转弯）+660（400米转弯）+1030（350米转弯）+1145（450米转弯）米；_x000d__x000a_中铁十四局1台6.6米土压盾构，区间长度单线1644米（一级重大）"/>
        <s v="已对接上海隧道院，线路处于设计阶段，预计2026年施工招标，此线路已纳入四期规划"/>
        <s v="与S7公路隧道平行，前期可研阶段，业主与设计院来司考察和技术交流，效果良好，后续将配合施工单位跟进项目。"/>
        <s v="拟用焊接机器人设备，已与上海城投水务、上海基础、上海机施进行技术交流"/>
        <s v="拜访上海市政院，由市政一院负责前期，已前往北京国网多次论证，预计设计招标2026年底"/>
        <s v="由于南北通道规划区间有360m小转弯，原有盾构可能涉及改造。上海隧道自有3台泥水/土压，上海基础自有1台泥水。目前南北通道浦西段基坑已中标公示，上海建工中标"/>
        <s v="中铁上海院总体设计，目前初设已初步完成，预计招标时间为2026年下半年"/>
        <s v="1、上海城建市政意向租赁单价4000元/延米，我司给出报价4500元/米，事业部建议在4350元/m能成交_x000d__x000a_2、竞争对手上海力行、辽宁三三、天津一重，客户倾向于上海力行"/>
        <s v="中铁隧道局与上海隧道院配合密切，中铁隧道局在北沿江高铁项目已建成的管片厂等配套设备可直接投入该项目使用，14局也在跟进，拜访隧道院管院长，土建预计2026年上半年招标，2026年底进场"/>
        <s v="施工单位待定，预估租赁2台9米土压盾构"/>
        <s v="上海基础4台ZTE6830 (2027-8-30);区间长度单线1700（450米转弯）+880米（375米转弯）+1070（380米转弯）+700（450米转弯）2台ZTE6830 (2027-12-30);区间长度单线1400（450米转弯）+1900米（600米转弯）_x000d__x000a_中铁十一局2台ZTE6830 (2027-4-30);初步了解使用23号线自有设备DZ360/361，18年初出厂_x000d__x000a_中铁十四局，已对接项目经理，需求4台6.6米土压盾构，区间长度单线830（300米转弯）+780+1300米（350米转弯）"/>
        <s v="已对接项目经理以及分包负责人，客户需求主动铰接5.2米土压盾构机，目前市场询价中，低价优先；已核实我司没有符合要求的设备"/>
        <s v="1、2027年4月进场_x000d__x000a_2、3月23日已报价，3485万井底交货"/>
        <s v="已经与十五局集团签订了战略采购框架协议。"/>
        <s v="福建马坑铁矿需求3台液压掘进台车，已于2026年1月21日挂网，2月27日开标。我司因发动机功率无法满足技术要求，同时福建亿钻代理华泰，经与事业部综合研判决定放弃投标。3月1日中标公示，浙江华泰375万中标。"/>
        <s v="目前该项目正在申请专项债市发改委已通过，但省发改委未批复；"/>
        <s v="拜访台州交通，了解项目进展及隧道情况，目前预可研编制中，预计地下段左右线共计6km，近五年不会开工。"/>
        <s v="中电建投资，2022年已完成项目公司成立，目前项目规划中，暂未获批，预计十五五获批。项目无最新进展。"/>
        <s v="地方三省主张时速160公里双线方案，国铁集团因客货运量预测偏低倾向120时速单线方案。2024年底国家发改委支持“单线预留双线”方案，即初期按单线建设，但桥梁、隧道等基础设施按双线标准设计，未来可升级。目前仍处方案论证阶段。"/>
        <s v="特许经营中标结果已公示，中铁系统和中交系统联合体中标，具体标段划分暂未明确，项目暂未开工建设。"/>
        <s v="项目模式为特许经营，经营期限30年。2025年9月20日中标结果公示，湖北路桥（牵头人）、陕西路桥、宁夏交建、湖北交投联合体中标，暂未组织进场。"/>
        <s v="2022年10月，葛洲坝集团与横峰县政府签署投资建设意向协议，总投资约100亿元。因前期上库坐标错误导致环境制约因素未达标，需重新调整方案。目前正在推进前期工作。"/>
        <s v="中铁二十三局和中铁五院再次中标，中标金额11亿，经了解是为了年中完成任务，项目没有启动计划。"/>
        <s v="湖北段已开工，江西段已完成征拆，正在做招标前准备工作，预计2026年2季度施工招标。"/>
        <s v="湖口至九江跨湖二通道项目还处于深化工可研究阶段，需继续完善路线方案，做好投融资模式比选论证。"/>
        <s v="已对接萍乡市矿业开发公司黄总，了解项目进展，目前还在办理相关手续，项目模式未确定，项目还处于前期准备阶段，8月份进入了用地审批程序。推进缓慢。"/>
        <s v="和安能二局科技部初步沟通，合作模式有待洽谈，已提供技术资料和施工视频。安能二局科技部正在推动内部科研课题立项工作，暂无最新进展。"/>
        <s v="该项目采取设计施工总承包的模式，12月30日挂网公示中标单位。_x000d__x000a_T1标段_x000d__x000a_中交路桥建设有限公司、_x000d__x000a_中交第二公路勘察设计研究院有限公司联合体_x000d__x000a_T2标段_x000d__x000a_江西省交通工程集团有限公司、_x000d__x000a_南昌城建集团有限公司、_x000d__x000a_江西省交通设计研究院有限责任公司联合体"/>
        <s v="通过江西股指了解到由于南丰至弋阳高速公路项目的影响,项目暂停."/>
        <s v="该项目目前暂未开工。"/>
        <s v="原规划的瑶湖隧道长度为5.5公里，重新规划后隧道长度缩短为3公里，因涉及到瑶湖岛上位规划未明确、瑶湖生态红线及建设资金的问题，市政府未下达项目近期实施的要求。"/>
        <s v="核心问题：项目模式确定、项目建设资金来源、开工时间确定。_x000d__x000a_工作思路：依靠系统内单位运作。_x000d__x000a_关键点：无。_x000d__x000a_行动计划：拜访系统内单位，了解情况。"/>
        <s v="委托江西省交规院在做项目前期。"/>
        <s v="拜访设计院得知,该项目采用桥梁,不采用隧道."/>
        <s v="2023年9月中铁十八局中标机场工程道路工程4号、5号下穿通道，中标金额3.6亿；下穿通道为明挖段和U槽段，无设备需求。"/>
        <s v="1、客户已经前往湖北大冶铁矿考察湖北天腾的装药台车设备，目前客户暂未确定采购主体。"/>
        <s v="1.根据客户提供的资料已经向客户提供了设备布置图及设备配置方案。_x000d__x000a_2.经过多次拜访中铁二十四局南昌公司设备部帅部长了解到,由于二十四局南昌公司由于资金困不会采购新设备,会租赁二手设备."/>
        <s v="目前项目处于预可研阶段，铁四院正在做施工概算比选，前期咨询工作，我司已经提供14.6m、13.3m、10.8m直径盾构机初步价格。"/>
        <s v="安全设施设计审查没通过，这里面包含了安全实施设计审查申请表，安全预评估报告等十几项必要内容，短时间不会有进展。市场行情不好，生产规模缩减或分二期投产，先投一条小的生产线，具体还要和业主沟通。11月对接十九局华东公司了解项目无最新进展。"/>
        <s v="已拜访业主单位，目前生产设备基本已完工"/>
        <s v="6月21日发布中标公示:_x000d__x000a_第一名：中铁交通投资集团有限公司（联合体牵头人）_x000d__x000a_中铁一局集团有限公司_x000d__x000a_中铁二局集团有限公司_x000d__x000a_中铁三局集团有限公司_x000d__x000a_中铁四局集团第四工程有限公司_x000d__x000a_中铁五局集团有限公司_x000d__x000a_中铁六局集团有限公司_x000d__x000a_中铁七局集团有限公司_x000d__x000a_中铁八局集团有限公司_x000d__x000a_中铁隧道局集团有限公司_x000d__x000a_中铁大桥局集团有限公司_x000d__x000a_中铁北京工程局集团有限公司_x000d__x000a_中铁工程设计咨询集团有限公司_x000d__x000a_中交投资有限公司_x000d__x000a_中交投资南京有限公司_x000d__x000a_中交一公局集团有限公司_x000d__x000a_中交第二公路工程局有限公司_x000d__x000a_中交路桥建设有限公司_x000d__x000a_中交三公局第二工程有限公司_x000d__x000a_中交第二航务工程勘察设计院有限公司联合体"/>
        <s v="6月23日施工中标公示，安能一局中标，已协同华南区域共同跟进，目前无设备需求。"/>
        <s v="2022年底项目完成签约，目前因工程范围调整，暂未启动前期工作。该项目暂无最新推进进展，短期内无法实施，保持关注。"/>
        <s v="客户暂停采购计划，需求待持续跟进。"/>
        <s v="中国建筑联合体中标特许经营，参与单位有中建三、中建四、中建五、中建八，中建基础设施公司，已经对接中建三局江西经营部总经理黄智彬，该项目由中建三牵头，预计2025年下半年进场。"/>
        <s v="2024年12月26日中交第一、第三航务局中标主体土建工程，中标金额15亿。已对接中标单位，无我司设备需求。"/>
        <s v="该项目原有施工方案为钻爆法，业主单位江西省投资集团想搞亮点，本月与水电十四局项目经理华总和华东院梅总进行了初步交流，介绍了平江抽蓄施工情况，并提供了技术方案及施工成本测算，待项目部向业主汇报后再决策。之前为客户做了斜井TBM方案，向业主汇报后因投资费用超预算，已否决了TBM方案。"/>
        <s v="该项目隧道施工由浙江正邦水电建设公司来施工，目前正在对接中，水电十二局三公司不参与隧道施工，只做面板坝等露天工程。"/>
        <s v="拟采用18.4m级管片盾构，公路+轨道交通合建方案前期论证阶段，已在上海市政院组织召开论证会，我司的汇报得到与会专家业主认可。"/>
        <s v="2025年5月29日上海市政总院组织各主要厂家咨询会，专家：同济朱合华院士、冀振龙（上海城投）"/>
        <s v="正在进行可研报告编制，原计划今年招先行标开工建设，但由于嘉善至西塘6标改为水乡旅游线衔接段，因此本项目推迟指十五五实施"/>
        <s v="上海隧道中标，暂无新机需求"/>
        <s v="项目暂未列入2025年规划项目，无最新进展"/>
        <s v="1.由于项目与艮山门动车所项目有交叉，方案还在比选中。_x000d__x000a_2.截至2025年5月，项目暂无最新进展。"/>
        <s v="项目处于可研前期规划阶段，已纳入杭州国土空间规划2021-2035实施范围"/>
        <s v="1.项目处于可研前期规划阶段，已纳入杭州国土空间规划2021-2035实施范围_x000d__x000a_2.截至2025年5月，项目暂无最新进展。"/>
        <s v="1.项目已纳入杭州市国土空间规划2021-2035，并已于近日上报国家审批通过_x000d__x000a_2.截至2025年5月，项目暂无最新进展。"/>
        <s v="拜访设计院，经沟通，此项目不计划采用盾构机施工"/>
        <s v="收到中标通知书_x000d__x000a_客户建议合同起草推迟两周后在进行，等待陈景河董事长去安徽推动矿权办理事宜_x000d__x000a_矿权办理受阻，签订合约实际待定_x000d__x000a_2023年9-30更新矿权未办理，在帮助项目执行层处理事宜强化关系；备战铁矿托紫金设计院设计院帮关注进度；多宝山装备进度理想；剩余1200米；装备多宝山施工完毕后，设备替换我司中标设备的隐患未排除"/>
        <s v="和中土集团副总经理、欧洲事业部执行总经理一行7人拜访紫金建设部；对河道改造项目，建设部建议继续和塞紫铜对接，让塞紫铜拿一个完整方案，集团再审核或授权；此次交流增加塞紫金TIMOK下部矿体从上往下施工方案，准备本周和紫金海南公司交流_x000d__x000a_中秋节前拜访紫金工程技术公司；获悉项目加速，模式为业主采购设备，工程准备发包。情况反馈给海外曹建峰。最新情况为目前紫金矿业集团今年建设资金压缩，今年启动概率不大。"/>
        <s v="由于浙江对项目资金投入意见未统一，项目推迟，先上沪乍杭项目，预计2026年项目启动"/>
        <s v="与沪东中华造船厂生产部多次技术交流，汇报我司焊接机器人设备"/>
        <s v="1、主体工程由中铁十八局二公司和十五局五公司中标，其中十五局五公司负责排水廊道和主厂房施工，其中排水廊道长度为3459米。_x000d__x000a_2、 6月20日智能制造研究设计院王霄腾院长与华北区域指挥部赵瑞带队前往十八局二公司与公司董事长进行了关于高压钢管建厂及隧道高压钢管安装采用机器人焊接的可行性方案进行了技术交流。_x000d__x000a_3、智能制造研究设计院方案修改后已经重新报价，5300元/吨。_x000d__x000a_4、集团领导白广州总已经在预约中铁十八局二公司董事长准备就该项目探讨深度合作的可行性。"/>
        <s v="中标单位上海机施，上海基础，中铁四局，上海路桥，中建八局，上海隧道，宏润建设，腾达建设，暂无设备缺口。"/>
        <s v="上海基础已中标，准备改造其自有泥水盾构DZ536"/>
        <s v="项目已获省发改委批准，但开工时间未定"/>
        <s v="初步设计为浙江数智交院，目前项目处于前期阶段，由于嘉兴市与杭州钱塘区就建设出资问题未达成一致，导致项目推进缓慢"/>
        <s v="跟进中标单位设备缺口情况，目前没有明确盾构需求。"/>
        <m/>
      </sharedItems>
    </cacheField>
    <cacheField name="下一步工作计划" numFmtId="0">
      <sharedItems containsBlank="1" count="129">
        <s v="2026年4月完成合同签订"/>
        <s v="持续跟进项目进展情况"/>
        <s v="完成与2标、3标等各标段项目部及施工单位技术交流，劳务老板对接，设备需求时间确认等工作。"/>
        <s v="1.与十八局了解相关情况_x000d__x000a_2.配合系统内单位进行地下段投标"/>
        <s v="跟进中交隧道局，了解设备需求情况"/>
        <s v="1.持续跟进铁四院，了解项目进展_x000d__x000a_2.4月拜访杭州铁路建设枢纽指挥部，进行大直径盾构技术交流"/>
        <s v="1.从建设指挥部切入，在3km以上长大隧道，推行全电脑三臂凿岩台车_x000d__x000a_2.与各项目部及分包老板进行设备采购洽谈"/>
        <s v="配合经销商继续保持跟进。"/>
        <s v="计划对接中广核风电公司项目负责人。"/>
        <s v="拜访江西省投资集团下属峰山抽蓄公司领导，跟进项目推进计划，开展相关技术交流。"/>
        <s v="近期计划拜访永新抽蓄公司范庆龙总，交流钻爆法及盾构机施工。"/>
        <s v="1、对接华东院，了解项目概况及关键信息。                                           2、对接股份赣南中心，了解系统内单位跟进情况。"/>
        <s v="计划近期拜访中国瑞林门总，了解项目最新进展，适时开展技术交流。"/>
        <s v="跟进了解是否有可用设备"/>
        <s v="1、协同18局隧道公司对接业主单位赣州市水务集团；                                  2、拜访上海市政院，交流TBM施工。_x000d__x000a_3、参加业主和设计院组织的设备选型专家评审会。"/>
        <s v="1.与十四局进行对接洽谈，了解十四局拟使用设备情况_x000d__x000a_2.邀请业主前往我司进行考察"/>
        <s v="计划近期前往现场拜访项目经理张洋，让其引荐合作方泽海建材，交流设备需求。"/>
        <s v="4月30日前拜访中铁十八局、十六局杭州经营部了解项目跟进情况及后续计划安排"/>
        <s v="无下一步计划。"/>
        <s v="股份公司决策存在阻力，发展集团还在争取获得股份公司批准_x000d__x000a_跟进了解相关进展"/>
        <s v="4月30日前，前往数智交院进行交流，整体对初步设计项目进行了解"/>
        <s v="跟进中标项目单位，了解设备需求情况。"/>
        <s v="4月30日前，拜访数智交院项目设计，了解项目进展"/>
        <s v="4月15日前拜访业主及各施工单位了解项目情况及后续建设计划"/>
        <s v="核工业井巷公司拟在起其建项目中寻找一个项目，试用我司EBM设备，考察设备实用性及可靠性。"/>
        <s v="拜访业主单位，了解后续招标计划"/>
        <s v="持续跟进，了解设备具体需求时间。"/>
        <s v="拜访业主单位及前期设计单位，梳理项目最新进展。"/>
        <s v="跟进项目工可获批情况，预计2027年获批！"/>
        <s v="1.同宁波水院交流8米TBM掘进衬砌同步技术，竖井布置情况等；_x000d__x000a_2.拜访浙江省水院设计负责人；_x000d__x000a_3.邀请宁波水利局到我司或大盾构项目考察。"/>
        <s v="1.计划4月10日前拜访天台交通局，了解项目进展，标段划分，推荐大机配套"/>
        <s v="1、了解租赁招标流程，启动时间等；_x000d__x000a_2、梳理TBM资源，价格等，再决策是否参与投标"/>
        <s v="跟进并配合系统等潜在中标单位投标。"/>
        <s v="1.了解宁波建工建乐设备需求时间，设备要求；2.了解盾构分包模式。"/>
        <s v="1.跟踪宁波市政向领导汇报情况，后续再组织设备考察及交流；5月15日前完成_x000d__x000a_2、了解宁波建工建乐和中铁六局分工情况，4月30日前完成。"/>
        <s v="1.了解代建单位招标时间、招标条件设置、业主资金到位情况等；_x000d__x000a_2.配合十四局接待业主到海太项目考察。"/>
        <s v="了解拟租设备及租赁合同价格"/>
        <s v="跟进除尘台车需求，了解需求时间及设备考虑情况_x000d__x000a_继续跟进除尘台车需求_x000d__x000a_跟进是否有除尘台车需求_x000d__x000a_核实是否还有除尘台车采购需求"/>
        <s v="完成合同签订及三方协议签订"/>
        <s v="1、拜访业主单位针对竖井掘进机再进行技术交流汇报；竖井已明确租用水电十二局松阳抽蓄旧设备_x000d__x000a_2、跟进斜井作业平台"/>
        <s v="1、对接华中区域郭统佳，了解十一局四公司设备情况是否满足业主的招标条件。_x000d__x000a_2、十五局1001预计需求改造刀盘及盾尾，对接华中区域车成，跟进十五局的设备维修需求。"/>
        <s v="拜访业主单位灌输高端品牌理念，提前对接供应链公司争取提前嫁接。"/>
        <s v="甬金衢上高速7-9标，招标文件预公示，其中7标长隧道1座（1034米）要求1台全电脑2臂及以上凿岩台车；8标长隧道1座（1331米）要求1台全电脑2臂及以上凿岩台车；9标无隧道。4月7日开标"/>
        <s v="继续对接十八局市政公司，明确其公司具体的批复情况，是否在市面上租赁设备。"/>
        <s v="逐个拜访队伍老板，对接老板的实际设备需求；完成合同签订"/>
        <s v="继续跟进中铁隆盾构负责人王小波，了解其设备需求；"/>
        <s v="跟进其具体进场时间，明确其是否需要架立调试。"/>
        <s v="1、继续对接项目经理夏莹，了解其与绍兴地铁的谈判情况，是否允许其使用准新机。"/>
        <s v="拜访业主单位 及设计院了解项目对大机配套的要求；"/>
        <s v="1、配合系统内工程局完成项目承揽，中铁14局、15局、18局、19局跟进较为积极。"/>
        <s v="对接项目进展，跟进开标结果"/>
        <s v="跟进中铁17局6公司设备需求情况。"/>
        <s v="跟进项目设备需求进展。"/>
        <s v="1、对接业主，跟进项目进展；_x000d__x000a_2、配合系统内单位跟进。"/>
        <s v="持续跟进。"/>
        <s v="1、对接福轨院，了解项目设计进展；_x000d__x000a_2、对接福州地铁集团，跟进项目施工招标进展；_x000d__x000a_3、对接福州地铁实业，落实盾构机转租、转售。"/>
        <s v="与业主单位、设计院紧密联系"/>
        <s v="暂缓跟进，保持关注项目进展。"/>
        <s v="项目推进缓慢，暂缓跟进。"/>
        <s v="继续跟踪"/>
        <s v="拜访福建省水利水电设计院，跟进项目进展，预计2025年12月可研报批。"/>
        <s v="配合铁建股指承揽项目"/>
        <s v="与上海城建进一步测算施工成本，推动城建自己施工"/>
        <s v="1、其他标段4月13日前与项目对接，了解设备筹备情况_x000d__x000a_2、上海基础4月3日前出具DZ176-178维修改造方案及报价_x000d__x000a_3、上海基础4月10日前与王凯进行商务交流"/>
        <s v="定期与上海隧道院沟通，跟进项目最新情况"/>
        <s v="1、4月3日拜访上海城建院跟进最新进展"/>
        <s v="1、4月10日前约见上海城投水务，交流如何推动焊接机器人应用"/>
        <s v="1、4月10日前拜访上海市政院了解最新进展；"/>
        <s v="1、4月30日前拜访业主了解最新进展；"/>
        <s v="1、4月25日前拜访业主、设计院跟进施工招标动态变化；_x000d__x000a_2、4月底前梳理同规格设备市场动向。"/>
        <s v="1、在设备确定前持续跟进城建市政与各单位洽谈情况，如有机会及时采取策略"/>
        <s v="1、4月10日前与上海隧道院跟进项目招标情况；_x000d__x000a_2、4月30日前与业主建立联系_x000d__x000a_3、4月30日前与十四局大盾构公司对接联系，共同推进项目落地"/>
        <s v="跟进施工标段招标时间"/>
        <s v="1、所有标段4月20日前与项目对接，了解设备筹备情况_x000d__x000a_2、上海基础标段4月3日前出具DZ176-178维修改造方案及报价_x000d__x000a_3、上海基础4月10日前与王凯进行商务交流"/>
        <s v="1、4月3日前拜访项目经理，跟进客户询价情况，争取做维修改造"/>
        <s v="1、4月3日前拜访上海路桥公用建设公司副总张涛，跟进各家报价情况（中交、装备、海瑞克）_x000d__x000a_2、根据了解的报价情况拜访上海路桥集团领导"/>
        <s v="完成战略采购框架协议的合同归档。"/>
        <s v="继续开展与马坑铁矿的高层对接，处理中深孔设备后续事宜。"/>
        <s v="跟进项目资金到位情况，了解项目重新启动的时间"/>
        <s v="跟进项目工可获批进展。"/>
        <s v="跟踪项目获批进展。"/>
        <s v="对接设计院和业主单位，了解项目前期筹备情况。"/>
        <s v="目前标段暂未划分，未组织进场，下一步计划对接施工单位，摸排设备需求情况。没有系统内单位中标，不做重点跟进。"/>
        <s v="待项目组织进场后，对接项目部，跟进拱架、湿喷等设备需求。"/>
        <s v="对接葛洲坝集团江西经营部，跟进项目启动进展。"/>
        <s v="保持与二十三局江西经营部的对接，关注项目启动情况。"/>
        <s v="重点对接江西股指和系统内个单位，跟进招标进展。"/>
        <s v="继续对接江西股指和中交一院，掌握项目最新进展。"/>
        <s v="项目无实质性进展，继续保持跟进。"/>
        <s v="无最新进展，保持与二局科技部的交流对接。"/>
        <s v="联系中标单位了解项目进场情况。"/>
        <s v="持续关注项目后续进展"/>
        <s v="持续关注项目后续进展，对接设计院"/>
        <s v="拜访中铁上海院,跟进项目后续进展."/>
        <s v="搅拌站设备内部调配,暂无设备需求."/>
        <s v="1、继续对接吴刚书记了解项目进展情况。"/>
        <s v="1、继续对接中铁二十四局南昌公司对该项目设备的采购模式."/>
        <s v="1、10月份落实与铁四院关于长大隧道盾构海中对接技术交流；_x000a_2、落实业主单位地址，后续对接；_x000a_3、流程通知事业部、研究院，确认项目技术人员。"/>
        <s v="1、跟进十九局华东公司该项目手续报批，合作方等进展情况；_x000a_2、协同江西经营部落实项目现场进行情况，了解项目年开采量变更情况。"/>
        <s v="跟进十九局华东公司项目部，了解配件需求"/>
        <s v="通过拜访中铁五局江西经营部张志总,了解到该项目因为是EPC项目,目前各标段暂未划完成,预计2025年底进场."/>
        <s v="对接安能一局项目部，保持联系。"/>
        <s v="保持与葛洲坝江西经营部和中水北方院的联系，掌握实时进展。"/>
        <s v="需求时间不确定，保持联系。"/>
        <s v="跟进中标单位进场情况。"/>
        <s v="继续关注后续工程招标情况，暂无最新招标信息。"/>
        <s v="计划近期拜访峰山抽蓄公司副指挥朱总，重点交流四臂凿岩台车的应用。"/>
        <s v="保持项目跟进，按照四步法进行：_x000d__x000a_1、核心问题：了解该项目的具体情况，确认与我司相关的设备需求；_x000d__x000a_2、工作思路：保持与公司高层领导的对接与联系，让客户了解我司设备的基本情况，产品的优势，时刻把控好项目进展情况；_x000d__x000a_3、关键点：项目实施的各环节时间节点，设备需求时间，采购决策方及决策人，同时让客户知道我司产品的优势；4、行动计划：近期前往公司拜访，同时项目部成立后去项目部拜访推介我司产品。"/>
        <s v="11月3日上海城投总工兼公投董事长来我司关于大盾构参观交流"/>
        <s v="持续与业主和设计院保持密切沟通。"/>
        <s v="项目于“十五五”规划中实施，近期无进展。"/>
        <s v="上海隧道中标，跟进需求中"/>
        <s v="跟进业主单位及铁四院，了解项目情况"/>
        <s v="拜访杭州交投，了解项目最新进展"/>
        <s v="拜访数智交院，了解项目最新进展"/>
        <s v="跟进了解项目规划情况"/>
        <s v="跟进中铁大桥勘测设计院，了解相关情况。"/>
        <s v="建议取消跟进"/>
        <s v="跟踪矿权办理进度"/>
        <s v="跟进工程准备发包和业主买TBM设备情况"/>
        <s v="跟进中"/>
        <s v="客户扩建厂房需要公开招标5套移动式焊接机器人"/>
        <s v="与公司智能院及华北区域该项目责任人积极对接了解公司与18局2公司沟通结果和项目招标时间."/>
        <s v="跟进中标单位需求情况"/>
        <s v="与上海基础保持密切沟通，准备改造设备技术交流等事宜"/>
        <s v="继跟踪后续项目进展情况。"/>
        <s v="资金情况暂未落实，未纳入杭州及嘉兴市2024年计划开工项目"/>
        <s v="跟进施工单位，寻找设备缺口单位。"/>
        <m/>
      </sharedItems>
    </cacheField>
    <cacheField name="项目阶段" numFmtId="0">
      <sharedItems containsBlank="1" count="13">
        <s v="合同评审"/>
        <s v="定测及初步设计阶段"/>
        <s v="项目施工中标公示"/>
        <s v="施工图设计阶段"/>
        <s v="商务交流"/>
        <s v="项目立项阶段（预可研，初测及可研，环评）"/>
        <s v="项目施工招标阶段"/>
        <s v="设备未中标"/>
        <s v="设计联络"/>
        <s v="可行性研究报告获批"/>
        <s v="设备招标阶段"/>
        <s v="设备已中标"/>
        <m/>
      </sharedItems>
    </cacheField>
    <cacheField name="已完成工作与成效" numFmtId="0">
      <sharedItems containsBlank="1" count="131" longText="1">
        <s v="已完成洽谈，合同总价590万，已签订定购函"/>
        <s v="1、核心问题：目前项目项目还未获批；_x000d__x000a_2、工作思路：等项目获批后，与设计院及业主、施工单位开展拜访、技术交流等工作；_x000d__x000a_3、关键点：跟踪项目审批、招标等时间节点，确定设备需求型号；_x000d__x000a_4、行动计划：时刻保持与客户的联系，配合各施工单位投标工作。"/>
        <s v="9月份已完成与浙高建领导的拜访及交流，同时义龙庆汪副指挥长一同参会，计划国庆节后浙高建领导会组织去我司考察；12月份邀请指挥部及各大机施工项目经理到我司考察交流。"/>
        <s v="剩余1个地下段SG-2标暂未招标，目前已有消息项目内定给中铁十八局市政公司"/>
        <s v="1.中交隧道局中标施工标，我司无可租赁设备_x000d__x000a_2.中铁十五局横琴项目设备目前闲置，正在对接进行转租或进行维修改造"/>
        <s v="铁四院中标望江门隧道建设方案研究，已对接铁四院杭州分院了解相关情况，暂定隧道管片外径12m8"/>
        <s v="3月拜访杭淳开高速杭州段建设指挥部及2、3、7、8、10、12标项目部，了解建设指挥部对大机施工设备的要求，桐庐-富阳段3月26日给各项目部宣贯设备要求，淳安段2月底已向各项目部下发设备要求通知。目前各项目部正在与劳务分包签订合同，设备均由劳务队自带。"/>
        <s v="因施工单价原因，浙江万慧詹总还未确定是否使用大机施工，需求待定。"/>
        <s v="本项目原投资主体已退出，11月3日已发布了投资主体优选公告，计划12月底前确定新的投资主体。本项目原投资主体国电投已退出，新的投资人已确定为中广核风电有限公司，项目后续进展待跟进。"/>
        <s v="已拜访江西省投资集团下属峰山抽水蓄能公司朱胜江总和王志刚总，项目预计年底前招先期标。"/>
        <s v="已对接安能二局市场部杨邑文，安能二局中标筹建期进厂交通洞兼通风安全洞工程，TBM标段暂未招标。本月无最新进展。"/>
        <s v="已通过铁建赣南经营中心了解项目进展，属于中远期项目，保持关注。"/>
        <s v="前期拜访了中国瑞林矿山事业部门总，因矿区发现了稀土储量，该项目暂时停滞，后续推进计划暂不明确。现该项目重新纳入了江西省2026年预备开工项目。"/>
        <s v="中建三局中标施工标，正在对接中建三局了解设备需求情况"/>
        <s v="已对接赣州市水务集团和上海市政院，并为设计院提供了TBM和盾构机选型建议及专家。"/>
        <s v="1.中铁十四局大盾构公司已中标施工标，投标时为保证业绩分，使用海瑞克技术方案投标。_x000d__x000a_2.已拜访业主单位，业主暂未强制要求使用进口设备或投标厂商设备，国网特高压事业部拟考察国产设备厂商设备。"/>
        <s v="该项目具体由十九局广州公司实施，已拜访了十九局江西经营部贾总和项目经理张洋，计划由联合体成员方上饶市泽海建材负责销售及设备采购。"/>
        <s v="业主在2025年已上报项目财政计划并已获得批复，2026年年度投资已落实，年度任务已完成，因此对于项目招标及进度并不是很着急，项目招标时间可能延后至春节后"/>
        <s v="供销公司已完成供应商准入的审查，我司已进入合格供应商名录。同时提供了设备技术方案及报价。"/>
        <s v="1.已完成股份公司专家评审会"/>
        <s v="初步设计项目，已拜访数智交院了解项目情况"/>
        <s v="项目正在中标公示中，TJ01标：浙江交工集团股份有限公司，TJ02标：中交一公局集团有限公司"/>
        <s v="已拜访数智交院，项目处于前期设计阶段"/>
        <s v="1.已拜访数智交院，项目处于前期设计阶段，无进展"/>
        <s v="1.8月27日设计招标已开标，_x000d__x000a_2.8月29日已公示入围单位。_x000d__x000a_3.9月24日，中交第二公路勘察设计研究院有限公司中标项目设计_x000d__x000a_4.3月31日，项目已发布招标计划，计划4月底进行施工招标"/>
        <s v="3月已与核工业井巷公司进行两次技术交流，拟就非全断面连续开挖设备技术申报浙江省“尖兵”、“领雁”科研项目，目前正在进行开题报告复核，并在第二批指南中进行申报。"/>
        <s v="1月14日开始施工图审查招标，施工招标26年2季度进行"/>
        <s v="1、核心问题：目前还未正式明确所需大机配套设备；_x000d__x000a_2、工作思路：已经要求客户到我司考察大机配套设备及技术交流；_x000d__x000a_3、关键点：项目设计还有部分为完成，项目启动资金也还未到位；_x000d__x000a_4、行动计划：时刻保持与公司及项目部的对接工作，配合该项目做好大机配套方案。"/>
        <s v="核心问题：1、采用多大直径盾构机施工方案还未明确；2、最终业主单位还未明确_x000d__x000a_行动计划：拜访西枢纽管理中心前期规划处领导，了解项目情况，组织方案交流事宜。"/>
        <s v="核心问题：隧道施工潜在中标单位中铁工一/二/三/四/隧道局,铁建重工十四/十九局，系统为争取单位：中铁隆/宁波建工/龙元建设。_x000d__x000a_工作思路：配合系统内单位投标，充分利用供应链公司介入设备租赁_x000d__x000a_关键点：设备租赁价格8000-9000元/米，价格较低_x000d__x000a_行动计划：跟踪项目进展，了解区间划分情况。预计2025年启动先行标招标。"/>
        <s v="核心问题：项目建议书阶段，投资200亿元，是否最终获批_x000d__x000a_工作思路：告知系统内单位，共同跟进，配合项目建议书单位编制项目建议书_x000d__x000a_关键点：是否采用大盾构/TBM施工方案_x000d__x000a_行动计划：跟踪项目进展，配合浙江省水院设计院做前期项目建议书。目前项目建议书暂未批复。"/>
        <s v="核心问题：1、业主单位是否要求机械化施工；2、拨付机械化施工补贴_x000d__x000a_工作思路：引导业主单位推广机械化施工_x000d__x000a_关键点：业主是否愿意出资使用机械化设备。_x000d__x000a_行动计划：1、筹划拜访业主单位、设计单位，引导机械化施工。"/>
        <s v="1.10月14日拜访宁波水投工程技术部，项目可研审批中，计划元旦前招标。_x000d__x000a_2.浙江隧道已中标东西线水库联通工程，设备型号一致，且项目完成业主较认可，中标概率较大。_x000d__x000a_3.12月11日拜访宁波水投工程主管，项目可研近期批复，预计2026年2-3月招标。_x000d__x000a_4、1月20日施工招标，2月10日投标截止，目前中铁十八局、十九局业绩满足。_x000d__x000a_5.2月11日广东省建筑工程集团股份有限公司;禹顺生态建设有限公司施工中标。6.目前禹顺、金华井巷、粤水电（刘畅）及其他两家民企目前均说需要采购新机，已让研究院欧佳君在做方案，下周一给出配置方案，目前统一TBM口头报价4000万元，最终以事业部给出价格为准。"/>
        <s v="核心问题：因桥墩在海中施工，混凝土要求较高，业主采购新设备_x000d__x000a_工作思路：配合系统内单位投标_x000d__x000a_关键点：系统内单位中标概率较大，铁建大桥局三公司项目经理业主较认可_x000d__x000a_行动计划：配合大桥局项目投标，提前沟通搅拌站需求。初步设计暂未获批，资金仍未到位。"/>
        <s v="拜访中铁隧道局及宁波建工建乐，了解设备需求情"/>
        <s v="已拜访业主单位及部分潜在中标设计单位"/>
        <s v="核心问题：1.设计阶段、施工方暂未明确；2、盾构机区间约2km，大概率设备租赁。3.中铁隧道局正在施工解放路过江隧道，如投标，有较大价格优势。_x000d__x000a_工作思路：配合系统内单位共同跟进项目进展，拜访业主，核实业主对设备新旧等要求。_x000d__x000a_关键点：设备市场存有量较大，业主暂定设备新制，是否会被变更。_x000d__x000a_行动计划：拜访业主单位，配合系统内单位跟踪项目进展。"/>
        <s v="已与项目部总工、设备部长对接，并邀请业主、设计和项目部到公司考察。由于隧道短，客户拟采用安徽唐兴旧机维修改造。"/>
        <s v="核心问题：业主交代必须使用进口凿岩台车，设备基本由劳务队自带，劳务队更多考虑价格偏低厂家，我司设备没有价格和明显技术优势_x000d__x000a_工作思路：跟进好各标段劳务队设备需求及意向情况，联同研究院与其进行交流，凸显我司产品特征优势，紧密对接好部分有我司产品采购意向的单位和劳务队；_x000d__x000a_关键点：该项目智能化设备应用程度高，部分标段目前仍未确定采购进口凿岩台车，我司需紧密动态对接和跟进；                           行动计划：联合研究院逐项对接项目部和劳务队，摸排劳务队设备持有及需求情况。"/>
        <s v="核心问题：1.系统内单位是否能中标该项目；2.盾构机生产周期比较紧_x000d__x000a_工作思路：项目持续跟进，配合铁建单位中标。策划高层互动。_x000d__x000a_关键点：代建单位同中铁装备在杭州有盾构公司，双方合作中，代建单位对设备选择有较大影响。铁建单位中标情况。_x000d__x000a_行动计划：跟进建设单位，参与前期设备选型，拜访代建单位，提前关系介入，组织考察交流，策划高层互动。配合系统内单位及股份公司争取铁建系统单位中标。"/>
        <s v="核心问题：业主不会强制要求施工单位采用机械化施工；3.53米TBM目前我司没有租赁设备。_x000d__x000a_工作思路：全力跟进业主方，邀请其到我司参观考察TBM设备，全力推进斜井作业平台的科研合作事宜。_x000d__x000a_关键点:主体标施工中标单位，是否认可我司产品，是否自有该型号设备。_x000d__x000a_行动计划：协作业主工程部报批科研合作项目，节后再次拜访业主单位，详谈具体的合作模式、"/>
        <s v="核心问题：目前绍兴市场不限盾构机品牌，设备租入价格基本在4000元/米以下，我司目前报价略高，十一局有类似型号设备，且自己具备维修改造能力。_x000d__x000a_工作思路：同十一局城轨公司及项目部积极交流方案，汇报实际情况，协同华中区域协调事业部，尽量给出合理报价；与目前市面上的租赁单位尽量达成一致，避免恶性竞争。_x000d__x000a_关键点：抓住十一局为系统内单位的点，明确其是否使用自有设备_x000d__x000a_行动计划：拜访项目部汇报技术方案，前期做好技术配合，提前与事业部沟通，汇报绍兴市场的盾构机租赁价格。"/>
        <s v="核心问题：业主方对设备要求宽泛，不限制品牌，导致市场价格过低_x000d__x000a_工作思路：引导业主单位，注重项目建设品质，对设备设置门槛；与业主单位探讨是否可以复刻宁波地铁模式，使多方获利；_x000d__x000a_关键点：绍兴地铁多次选用辽宁三三等品牌设备，要打破其价格至上的思维。_x000d__x000a_行动计划：有节奏的拜访业主单位，向其灌输隧道施工设备的重要性，尽量在后续项目中提高对设备的要求；介绍宁波地铁经营模式，给业主单位提供新思路；"/>
        <s v="核心问题：业主目前未强制要求智能化配置，且3标交工宏途及5标交工大桥已明确将设备分包至私人老板；_x000d__x000a_工作思路：全力跟进甬金衢上衢州段建设指挥部，对接隧道大机配套的具体要求，全力推荐机械化智能化配套施工。_x000d__x000a_关键点：跟进重心放在建设指挥部及施工队伍身上，争取完成突破。_x000d__x000a_行动计划：继续跟进业主建设指挥部，争取做智能化陪同施工方案交流，明确该项目机械化配套的增加的具体费用，全力跟进各分包队伍老板，说明后续浙江省重点公路项目均要使用智能型设备的利害，早买早摊销成本。"/>
        <s v="核心问题：绍兴设备租赁价格过低，均在4000元/米以下，业主对设备品牌无要求。十八局一公司有4台厦工中铁设备，可以满足该项目使用。_x000d__x000a_工作思路：拜访业主单位工程部，针对4号线有难点项目说明利害，让业主严格把控设备质量，同时拜访客户单位，协助华北区域，在今年尽快完成合同续签。_x000d__x000a_关键点：说服业主，严格把控设备品牌，不能让施工单位为了低价，不顾工程质量。与十八局市政公司做好沟通，已优惠价格完成912/913两台设备的合同续签。_x000d__x000a_行动计划：尽快拜访业主工程部；协同华北区域全力争取今年完成合同签订。"/>
        <s v="1、项目施工招标前，邀请事业部拜访业主指挥部进行技术交流，加深业主对我司品牌的了解度，在招标文件中推介品牌加入我司；_x000d__x000a_2、施工单位进场后，组织业主各标段总工及事业部在业主指挥部进行大机配套技术交流；_x000d__x000a_3、组织公司领导拜访指挥部指挥长并邀请其到我司考察；_x000d__x000a_4、11月份走访各个标段项目部及队伍老板，了解其真实想法并反馈至领导及指挥部；_x000d__x000a_5、12月1日业主组织三个大机标段分公司副总及我司领导到指挥部进行交流_x000d__x000a_6/12月24日带业主及大机标段到川藏铁路项目考察"/>
        <s v="已电话联系盾构施工负责人，目前该项目其公司负责盾构的人员还未进场，预计进场时间为今年年底，该项目设备需求时间为27年4月份。"/>
        <s v="已拜访项目经理，了解该项目初步计划27年2-3月份设备进场。"/>
        <s v="拜访水电七局项目经理，了解项目与业主的谈判情况，配合西南区域一同跟进。"/>
        <s v="拜访浙江省数智交院，该项目目前正在初步设计阶段，还未明确是否有要求部分隧道采用大机施工;;"/>
        <s v="1、我设计院对接盾构机选型、始发井采用竖井掘进机施工方案。"/>
        <s v="1、024 年，将乐县自然资源局顺利完成了百祥矿业方解石矿的探矿权转采矿权工作。_x000d__x000a_2025 年 7 月 7 日，三明市生态环境局受理了该项目的环境影响评价文件。截至 2025 年 7 月，项目的环境影响报告书已基本完成编制工作，且建设单位已同步完成该项目环境影响公众参与说明编制工作，并进行了公示。"/>
        <s v="9标为机械化施工试验标段。"/>
        <s v="1、开标日期由10月30日推迟至11月7日，系统内中铁12局、大桥局、14局、16局、17局、22局跟进较为积极。_x000d__x000a_2、计划11月7日开标，分8个标，A7标有机械化施工要求。A7 标段的大坪隧道进口端作为隧道全机械施工试验工点，经费500万。_x000d__x000a_3、中铁17局6公司中标A7标，有隧道施工设备需求，招标公式中，2025-11-13_x000d__x000a_4、拜访了中铁17局6公司设备部龙部长，他们提出大机配套有回购的采购要求，咨询了特装事业部，2年后的回购残值不高于15%.，2025-11-25"/>
        <s v="核心问题：系统内单位能否中标；_x000d__x000a_工作思路：积极跟进项目进展，业主计划在6月份招标，协助系统内单位承揽项目；_x000d__x000a_关键点：1台6.2米管片外径盾构机，此型号盾构机闲置设备偏多，我司租赁方案是否具备竞争优势；5.3米管片外径盾构机是否具备价格优势。_x000d__x000a_行动计划：积极跟进项目进展，落实开标时间，配合系统内单位投标。"/>
        <s v="核心问题：中铁建是否能拿到福州段盾构机穿江标段，中铁装备有两台8.6米泥水盾构机在福州存放（福州滨海快线退下来的，在闽侯乾达重工存放），工程标什么时候开；莆田段TBM方案是否能落地。_x000d__x000a_工作思路：积极跟进落实项目进展，与系统内单位分享配合项目进展信息，配合各单位跟进，预计2026年第二季度开标。_x000d__x000a_关键点：8.6米泥水盾构机，我司无相关设备，中铁装备、中交天和有设备，可否使用土压改造。_x000d__x000a_行动计划：拜访设计院、业主单位，跟进项目进展，积极配合系统内单位，协助项目承揽。"/>
        <s v="核心问题：是否能销售、租赁盾构机，采用什么模式。_x000d__x000a_工作思路：积极对接福州地铁实业公司，推进盾构机转销、转租。_x000d__x000a_关键点：与福州地铁实业合作，推进盾构机转销、转租模式，策划新机需求。_x000d__x000a_行动计划：拜访福州地铁公司相关部门和福轨院，跟进项目进展情况。"/>
        <s v="核心问题：系统内单位能否中标_x000d__x000a_工作思路：积极跟进项目进展，业主计划在2025年8月份招标，协助系统内单位承揽项目。_x000d__x000a_关键点：1台11.8米管片外径泥水盾构，第三轮规划的5号线跨海段是否会选用此型号盾构机，此项目中标单位盾构机是新购还是改造。_x000d__x000a_行动计划：积极跟进项目进展，落实开标时间，配合系统内单位投标。"/>
        <s v="目前中铁建二十局，十四局，十八局都在接触南平市政府和交投，拟引进工程投资平台公司来筹集资金。"/>
        <s v="已初步对接设计单位了解项目实时进展。"/>
        <s v="核心问题：项目模式确定、开工时间确定。_x000d__x000a_工作思路：依靠系统内单位运作，关注招标中标情况。_x000d__x000a_关键点：摸清中标后的各单位搅拌站需求和劳务情况。_x000d__x000a_行动计划：拜访系统内单位和福建省高速指挥部，了解情况。2025年下半年预计施工招标，搅拌站需求"/>
        <s v="核心问题：_x000d__x000a_什么时候能重新启动，采用多少台TBM及钻爆法施工设备；_x000d__x000a_工作思路：_x000d__x000a_积极对接福建省水利水电设计院，跟进项目进展，配合系统内单位承揽项目；_x000d__x000a_关键点：_x000d__x000a_项目是否能重新启动，采用TBM施工及钻爆法施工工程量，_x000d__x000a_行动计划：_x000d__x000a_积极落实项目进展，配合设计院完成项目隧道设计工作。"/>
        <s v="核心问题：泉州段什么时候开标，采用什么模式销售、租赁盾构机。_x000d__x000a_工作思路：积极对接泉州轨道交通集团，探索盾构机转销、转租模式。_x000d__x000a_关键点：说服泉州轨道交通集团采纳盾构机转销、转租模式，签订合作协议。_x000d__x000a_行动计划：尽快促成双方高层拜访。"/>
        <s v="支线1.4标，2026年12月进场，区间长度874m，56m小转弯，前期已报价，客户拟分包给上海力行，力行打包价约22000元/m，包含人工及盾构、后配套、行车吊装等设备"/>
        <s v="中交隧道局4台ZTE6830 (2027-5-1);区间长度单线1200米+1300米_x000d__x000a_上海基础4台ZTE6830 (2027-6-30);区间长度单线400（370米转弯）+780（380米转弯）+660（400米转弯）+1030（350米转弯）+1145（450米转弯）米；_x000d__x000a_中铁十四局1台6.6米土压盾构，区间长度单线1644米（一级重大）"/>
        <s v="已对接上海隧道院，线路处于设计阶段，预计2026年施工招标，此线路已纳入四期规划"/>
        <s v="与S7公路隧道平行，前期可研阶段，业主与设计院来司考察和技术交流，效果良好，后续将配合施工单位跟进项目。"/>
        <s v="拟用焊接机器人设备，已与上海城投水务、上海基础、上海机施进行技术交流"/>
        <s v="拜访上海市政院，由市政一院负责前期，已前往北京国网多次论证，预计设计招标2026年底"/>
        <s v="由于南北通道规划区间有360m小转弯，原有盾构可能涉及改造。上海隧道自有3台泥水/土压，上海基础自有1台泥水。目前南北通道浦西段基坑已中标公示，上海建工中标"/>
        <s v="中铁上海院总体设计，目前初设已初步完成，预计招标时间为2026年下半年"/>
        <s v="1、上海城建市政意向租赁单价4000元/延米，我司给出报价4500元/米，事业部建议在4350元/m能成交_x000d__x000a_2、竞争对手上海力行、辽宁三三、天津一重，客户倾向于上海力行"/>
        <s v="中铁隧道局与上海隧道院配合密切，中铁隧道局在北沿江高铁项目已建成的管片厂等配套设备可直接投入该项目使用，14局也在跟进"/>
        <s v="施工单位待定，预估租赁2台9米土压盾构"/>
        <s v="上海基础4台ZTE6830 (2027-8-30);区间长度单线1700（450米转弯）+880米（375米转弯）+1070（380米转弯）+700（450米转弯）2台ZTE6830 (2027-12-30);区间长度单线1400（450米转弯）+1900米（600米转弯）_x000d__x000a_中铁十一局2台ZTE6830 (2027-4-30);初步了解使用23号线自有设备DZ360/361，18年初出厂_x000d__x000a_中铁十四局，已对接项目经理，需求4台6.6米土压盾构，区间长度单线830（300米转弯）+780+1300米（350米转弯）"/>
        <s v="1、4月3日前拜访项目经理，跟进客户询价情况，争取做维修改造"/>
        <s v="1、4月3日前拜访上海路桥公用建设公司副总张涛，跟进各家报价情况（中交、装备、海瑞克）_x000d__x000a_2、根据了解的报价情况拜访上海路桥集团领导"/>
        <s v="已经与十五局集团签订了战略采购框架协议。"/>
        <s v="已对接马坑铁矿生产部和采购部。"/>
        <s v="1、核心问题：项目原计划同绍兴地铁2号线一同招标，但由于上虞区资金紧张，目前省发改委还未批复。_x000d__x000a_2、工作思路：重点配合系统内单位投标，了解各家自有设备情况。_x000d__x000a_3、关键点：施工标中标单位；中标单位是否有自有设备_x000d__x000a_4、行动计划：拜访业主单位，让其对我司产品有初步了解，跟进其实际施工招标进展时间；对接设计院盾构区间负责人郑浩龙，提供设备的设计参数，配合其做招标文件，多与系统内单位进行沟通对接交换信息跟进进展。"/>
        <s v="核心问题：1、地下段较短，约6km；2、资金较紧张、3、铁四院在工可阶段。_x000d__x000a_工作思路：跟踪项目获批情况_x000d__x000a_关键点：1、因台州市资金紧张，关注S2线施工资金是否按期支付；2、项目获批时间_x000d__x000a_行动计划：跟踪工可最新进展。"/>
        <s v="持续对接电建华东院设计负责人王东峰，目前暂未明确项目获批时间。"/>
        <s v="地方三省主张时速160公里双线方案，国铁集团因客货运量预测偏低倾向120时速单线方案。2024年底国家发改委支持“单线预留双线”方案，即初期按单线建设，但桥梁、隧道等基础设施按双线标准设计，未来可升级。目前仍处方案论证阶段。"/>
        <s v="特许经营中标结果已公示，中铁系统和中交系统联合体中标，具体标段划分暂未明确。"/>
        <s v="前期对接了系统内各单位，因铁建无法投资，系统内单位没有参与。"/>
        <s v="已经与设计单位建立联系。"/>
        <s v="已对接二十三局江西经营部，短期内没有启动计划。"/>
        <s v="前期对接了江西股指及18局、11局等单位。"/>
        <s v="湖口至九江跨湖二通道项目还处于深化工可研究阶段，需继续完善路线方案，做好投融资模式比选论证。"/>
        <s v="已对接对接萍乡市矿业开发公司，并引荐系统内19局和14局跟进。"/>
        <s v="已对接安能二局科技发展部，提供了产品技术方案及施工视频。"/>
        <s v="核心问题：项目有无隧道施工设备要求。_x000d__x000a_工作思路：拜访中标单位，了解项目有无搅拌站需求。_x000d__x000a_关键点：项目有无隧道设备需求._x000d__x000a_行动计划：拜访系中标单位及设计院，了解设备需求情况。"/>
        <s v="核心问题：项目模式确定、项目建设资金来源、开工时间确定。_x000d__x000a_工作思路：依靠系统内单位运作。_x000d__x000a_关键点：无。_x000d__x000a_行动计划：拜访系统内单位，了解情况。"/>
        <s v="原规划的瑶湖隧道长度为5.5公里，重新规划后隧道长度缩短为3公里，因涉及到瑶湖岛上位规划未明确、瑶湖生态红线及建设资金的问题，市政府未下达项目近期实施的要求。"/>
        <s v="拜访江西交通设计院,跟进项目进展情况，"/>
        <s v="拜访长江航道勘察设计院,跟进项目进展."/>
        <s v="核心问题：项目是否采用隧道或者架桥._x000d__x000a_工作思路：依靠系统内单位运作。_x000d__x000a_关键点：无。_x000d__x000a_行动计划：拜访系统内单位了解情况。"/>
        <s v="2023年9月中铁十八局中标第一批次工程机场工程道路工程4号、5号下穿通道，中标金额3.6亿；其他工程目前处于设计阶段"/>
        <s v="客户已经前往湖北大冶铁矿考察湖北天腾的装药台车设备，目前客户暂未确定采购主体。"/>
        <s v="1.根据客户提供的资料已经向客户提供了设备布置图及设备配置方案。_x000d__x000a_2.经过多次拜访中铁二十四局南昌公司设备部帅部长了解到,由于二十四局南昌公司由于资金困不会采购新设备,会租赁二手设备."/>
        <s v="和铁四院已完成初步项目对接，预计项目整体需求6到8台大盾构；配合铁四院对接徐公岛项目两个专题项目成本测算。"/>
        <s v="进展情况：前期已与客户开展了技术交流并提供初步技术方案及报价，项目现场暂无最新进展，需十九局华东公司确定最终设备模式。_x000d__x000a_行动计划：本周联系了项目部领导，因建设用地等手续还没有全部办下来，目前处于停工状态，之前属于未批先建。"/>
        <s v="已拜访项目业主，了解项目整体情况。"/>
        <s v="已经知道中标结果及各标段单位进场时间."/>
        <s v="前期已对接三峡建工指挥部，主要为钻爆法设备需求，重点交流了锚杆台车和除尘台车的应用。"/>
        <s v="已对接葛洲坝惊喜经营部和中水北方院江西经营部，该项目暂无实质性进展。"/>
        <s v="已通过福建欣同昌对接海鑫矿业物资设备部于胜部长，并提供了技术方案及报价。需求时间待定。"/>
        <s v="核心问题：铁建昆仑投已确定放弃投资该项目，项目特许经营已重新挂网招标，12月6日已公示，中标单位为中建集团。_x000d__x000a_工作思路：关注项目特许经营中标单位并及时对接。_x000d__x000a_关键点：与中标单位建立联系，摸清设备需求情况。_x000d__x000a_行动计划：前期已对接江西股指和系统内各中标单位，因铁建已放弃该项目，下一步计划重点跟进中标结果，对接中标单位设备需求。"/>
        <s v="主体土建工程无我司设备需求。"/>
        <s v="该项目原有施工方案为钻爆法，业主单位江西省投资集团想搞亮点，本月与水电十四局项目经理华总和华东院梅总进行了初步交流，介绍了平江抽蓄施工情况，并提供了技术方案及施工成本测算，待项目部向业主汇报后再决策。"/>
        <s v="水电十二局与浙江正邦水电建设公司联合体中标，隧道施工为地方民营企业，无设备需求。"/>
        <s v="拟采用18.4m级管片盾构，公路+轨道交通合建方案前期论证阶段，已在上海市政院组织召开论证会，我司的汇报得到与会专家业主认可。"/>
        <s v="持续跟进。"/>
        <s v="1.中铁二院中标工可研报告编制及初步设计，设备选型及路线方案还未确定_x000d__x000a_2.目前项目进展缓慢，原定2025年开工，目前已确定延后至2026年"/>
        <s v="上海隧道中标，跟进需求中"/>
        <s v="1.核心问题：地方政府财政紧张，项目推进缓慢_x000d__x000a_2.工作思路：跟进项目信息，及时了解项目进展_x000d__x000a_3.关键点：_x000d__x000a_4.行动计划：跟进业主单位、铁四院等单位，了解项目进展"/>
        <s v="拜访设计院，了解项目进展"/>
        <s v="项目处于可研前期规划阶段，已纳入杭州国土空间规划2021-2035实施范围"/>
        <s v="中铁大桥勘测设计院中标亚太路西延工程（高尔夫路-时代大道）可行性研究报告编制和方案研究。"/>
        <s v="拜访设计院，经沟通，此项目不计划采用盾构机施工"/>
        <s v="2023年9-30更新矿权未办理，在帮助项目执行层处理事宜强化关系；备战铁矿托紫金设计院设计院帮关注进度；多宝山装备进度理想；剩余1200米；装备多宝山施工完毕后，设备替换我司中标设备的隐患未排除"/>
        <s v="中秋节前拜访紫金工程技术公司；获悉项目加速，模式为业主采购设备，工程准备发包。可能工程包要在今年定下来。情况反馈给海外曹建峰。"/>
        <s v="核心问题：13.6米泥水盾构上海市场有闲置旧机_x000d__x000a_工作思路：了解参与投标的施工单位，配合施工投标，_x000d__x000a_关键点：各中标单位的自有设备情况，确定业务模式_x000d__x000a_行动计划：跟进设计院跟进项目进展，跟进潜在中标单位"/>
        <s v="与沪东中华造船厂生产部多次技术交流，汇报我司焊接机器人设备"/>
        <s v="1、主体工程由中铁十八局二公司和十五局五公司中标，其中十五局五公司负责排水廊道和主厂房施工，其中排水廊道长度为3459米。_x000d__x000a_2、 6月20日智能制造研究设计院王霄腾院长与华北区域指挥部赵瑞带队前往十八局二公司与公司董事长进行了关于高压钢管建厂及隧道高压钢管安装采用机器人焊接的可行性方案进行了技术交流。_x000d__x000a_3、智能制造研究设计院方案修改后已经重新报价，5300元/吨。_x000d__x000a_4、集团领导白广州总已经在预约中铁十八局二公司董事长准备就该项目探讨深度合作的可行性。"/>
        <s v="已对接中标单位上海机施，上海基础，中铁四局，上海路桥，中建八局，上海隧道，宏润建设，腾达建设"/>
        <s v="已初步进行沟通，待其项目正式开工"/>
        <s v="1、核心问题：目前项目施工还未开始招标，开工时间也为明确；_x000d__x000a_2、工作思路：对接好设计院等中标后各施工单位及业主方；_x000d__x000a_3、关键点：确定项目启动时间及设备需求时间，然后再确认设备选型方案；_x000d__x000a_4、行动计划：时刻保持与客户的联系，配合客户前期投标等工作。"/>
        <s v="初步设计为浙江数智交院，目前项目处于前期阶段，由于嘉兴市与杭州钱塘区就建设出资问题未达成一致，导致项目推进缓慢"/>
        <s v="已获得所有中标单位信息"/>
        <m/>
      </sharedItems>
    </cacheField>
    <cacheField name="信息等级" numFmtId="0">
      <sharedItems containsBlank="1" count="4">
        <s v="一般信息（Ⅲ级）"/>
        <s v="重点信息（Ⅱ级）"/>
        <s v="重大信息（Ⅰ级）"/>
        <m/>
      </sharedItems>
    </cacheField>
    <cacheField name="所有人" numFmtId="0">
      <sharedItems containsBlank="1" count="14">
        <s v="唐作栋"/>
        <s v="万赛"/>
        <s v="杨志胜"/>
        <s v="沈腾飞"/>
        <s v="袁志凌"/>
        <s v="刘新峥"/>
        <s v="周斌"/>
        <s v="陆顺"/>
        <s v="赵宇瑄"/>
        <s v="穆华清"/>
        <s v="陈浩"/>
        <s v="陈玉鹏"/>
        <s v="叶诚亮"/>
        <m/>
      </sharedItems>
    </cacheField>
    <cacheField name="取消跟进原因" numFmtId="0">
      <sharedItems containsString="0" containsBlank="1" containsNonDate="0" count="1">
        <m/>
      </sharedItems>
    </cacheField>
    <cacheField name="取消跟进说明" numFmtId="0">
      <sharedItems containsBlank="1" count="2">
        <s v=""/>
        <m/>
      </sharedItems>
    </cacheField>
    <cacheField name="创建人" numFmtId="0">
      <sharedItems containsBlank="1" count="20">
        <s v="唐作栋"/>
        <s v="接口专用帐号"/>
        <s v="万赛"/>
        <s v="郭亚楠"/>
        <s v="杨志胜"/>
        <s v="沈腾飞"/>
        <s v="余广"/>
        <s v="袁志凌"/>
        <s v="刘新峥"/>
        <s v="周斌"/>
        <s v="陆顺"/>
        <s v="赵宇瑄"/>
        <s v="丁艳林"/>
        <s v="陈浩"/>
        <s v="陈玉鹏"/>
        <s v="穆华清"/>
        <s v="叶诚亮"/>
        <s v="李汝"/>
        <s v="刘柯"/>
        <m/>
      </sharedItems>
    </cacheField>
    <cacheField name="目前状态" numFmtId="0">
      <sharedItems containsBlank="1" count="2">
        <s v="跟进中"/>
        <m/>
      </sharedItems>
    </cacheField>
    <cacheField name="最后修改人" numFmtId="0">
      <sharedItems containsBlank="1" count="13">
        <s v="唐作栋"/>
        <s v="万赛"/>
        <s v="杨志胜"/>
        <s v="沈腾飞"/>
        <s v="袁志凌"/>
        <s v="刘新峥"/>
        <s v="周斌"/>
        <s v="赵宇瑄"/>
        <s v="陈浩"/>
        <s v="穆华清"/>
        <m/>
        <s v="熊黎" u="1"/>
        <s v="接口专用帐号" u="1"/>
      </sharedItems>
    </cacheField>
  </cacheFields>
</pivotCacheDefinition>
</file>

<file path=xl/pivotCache/pivotCacheRecords1.xml><?xml version="1.0" encoding="utf-8"?>
<pivotCacheRecords xmlns="http://schemas.openxmlformats.org/spreadsheetml/2006/main" xmlns:r="http://schemas.openxmlformats.org/officeDocument/2006/relationships" count="135">
  <r>
    <x v="0"/>
    <x v="0"/>
    <x v="0"/>
    <x v="0"/>
    <x v="0"/>
    <x v="0"/>
    <x v="0"/>
    <x v="0"/>
    <x v="0"/>
    <x v="0"/>
    <x v="0"/>
    <x v="0"/>
    <x v="0"/>
    <x v="0"/>
    <x v="0"/>
    <x v="0"/>
    <x v="0"/>
    <x v="0"/>
    <x v="0"/>
    <x v="0"/>
    <x v="0"/>
    <x v="0"/>
    <x v="0"/>
    <x v="0"/>
    <x v="0"/>
    <x v="0"/>
    <x v="0"/>
    <x v="0"/>
    <x v="0"/>
    <x v="0"/>
    <x v="0"/>
    <x v="0"/>
  </r>
  <r>
    <x v="1"/>
    <x v="1"/>
    <x v="1"/>
    <x v="1"/>
    <x v="1"/>
    <x v="1"/>
    <x v="0"/>
    <x v="0"/>
    <x v="0"/>
    <x v="1"/>
    <x v="0"/>
    <x v="1"/>
    <x v="1"/>
    <x v="1"/>
    <x v="1"/>
    <x v="1"/>
    <x v="1"/>
    <x v="1"/>
    <x v="1"/>
    <x v="1"/>
    <x v="1"/>
    <x v="1"/>
    <x v="1"/>
    <x v="1"/>
    <x v="1"/>
    <x v="1"/>
    <x v="0"/>
    <x v="0"/>
    <x v="0"/>
    <x v="1"/>
    <x v="0"/>
    <x v="1"/>
  </r>
  <r>
    <x v="2"/>
    <x v="2"/>
    <x v="2"/>
    <x v="2"/>
    <x v="2"/>
    <x v="2"/>
    <x v="1"/>
    <x v="1"/>
    <x v="0"/>
    <x v="2"/>
    <x v="0"/>
    <x v="2"/>
    <x v="2"/>
    <x v="0"/>
    <x v="1"/>
    <x v="2"/>
    <x v="2"/>
    <x v="2"/>
    <x v="1"/>
    <x v="0"/>
    <x v="2"/>
    <x v="2"/>
    <x v="2"/>
    <x v="2"/>
    <x v="2"/>
    <x v="1"/>
    <x v="1"/>
    <x v="0"/>
    <x v="0"/>
    <x v="2"/>
    <x v="0"/>
    <x v="1"/>
  </r>
  <r>
    <x v="2"/>
    <x v="3"/>
    <x v="3"/>
    <x v="3"/>
    <x v="3"/>
    <x v="3"/>
    <x v="2"/>
    <x v="2"/>
    <x v="0"/>
    <x v="2"/>
    <x v="0"/>
    <x v="3"/>
    <x v="3"/>
    <x v="0"/>
    <x v="1"/>
    <x v="1"/>
    <x v="3"/>
    <x v="3"/>
    <x v="0"/>
    <x v="0"/>
    <x v="0"/>
    <x v="3"/>
    <x v="3"/>
    <x v="3"/>
    <x v="3"/>
    <x v="1"/>
    <x v="0"/>
    <x v="0"/>
    <x v="0"/>
    <x v="0"/>
    <x v="0"/>
    <x v="0"/>
  </r>
  <r>
    <x v="2"/>
    <x v="4"/>
    <x v="4"/>
    <x v="4"/>
    <x v="4"/>
    <x v="4"/>
    <x v="3"/>
    <x v="2"/>
    <x v="0"/>
    <x v="3"/>
    <x v="0"/>
    <x v="4"/>
    <x v="4"/>
    <x v="2"/>
    <x v="1"/>
    <x v="3"/>
    <x v="4"/>
    <x v="4"/>
    <x v="0"/>
    <x v="2"/>
    <x v="1"/>
    <x v="4"/>
    <x v="4"/>
    <x v="2"/>
    <x v="4"/>
    <x v="1"/>
    <x v="0"/>
    <x v="0"/>
    <x v="0"/>
    <x v="1"/>
    <x v="0"/>
    <x v="0"/>
  </r>
  <r>
    <x v="2"/>
    <x v="5"/>
    <x v="5"/>
    <x v="5"/>
    <x v="5"/>
    <x v="5"/>
    <x v="4"/>
    <x v="0"/>
    <x v="0"/>
    <x v="2"/>
    <x v="0"/>
    <x v="5"/>
    <x v="5"/>
    <x v="3"/>
    <x v="1"/>
    <x v="4"/>
    <x v="4"/>
    <x v="5"/>
    <x v="0"/>
    <x v="0"/>
    <x v="0"/>
    <x v="5"/>
    <x v="5"/>
    <x v="1"/>
    <x v="5"/>
    <x v="1"/>
    <x v="0"/>
    <x v="0"/>
    <x v="0"/>
    <x v="0"/>
    <x v="0"/>
    <x v="0"/>
  </r>
  <r>
    <x v="2"/>
    <x v="6"/>
    <x v="6"/>
    <x v="6"/>
    <x v="6"/>
    <x v="6"/>
    <x v="1"/>
    <x v="1"/>
    <x v="0"/>
    <x v="2"/>
    <x v="0"/>
    <x v="6"/>
    <x v="6"/>
    <x v="4"/>
    <x v="1"/>
    <x v="5"/>
    <x v="5"/>
    <x v="6"/>
    <x v="0"/>
    <x v="2"/>
    <x v="0"/>
    <x v="6"/>
    <x v="6"/>
    <x v="3"/>
    <x v="6"/>
    <x v="1"/>
    <x v="0"/>
    <x v="0"/>
    <x v="0"/>
    <x v="0"/>
    <x v="0"/>
    <x v="0"/>
  </r>
  <r>
    <x v="3"/>
    <x v="4"/>
    <x v="7"/>
    <x v="7"/>
    <x v="7"/>
    <x v="7"/>
    <x v="5"/>
    <x v="1"/>
    <x v="0"/>
    <x v="3"/>
    <x v="1"/>
    <x v="7"/>
    <x v="7"/>
    <x v="5"/>
    <x v="2"/>
    <x v="2"/>
    <x v="3"/>
    <x v="7"/>
    <x v="2"/>
    <x v="0"/>
    <x v="1"/>
    <x v="7"/>
    <x v="7"/>
    <x v="4"/>
    <x v="7"/>
    <x v="1"/>
    <x v="2"/>
    <x v="0"/>
    <x v="0"/>
    <x v="1"/>
    <x v="0"/>
    <x v="2"/>
  </r>
  <r>
    <x v="3"/>
    <x v="7"/>
    <x v="8"/>
    <x v="8"/>
    <x v="8"/>
    <x v="8"/>
    <x v="6"/>
    <x v="0"/>
    <x v="0"/>
    <x v="2"/>
    <x v="2"/>
    <x v="8"/>
    <x v="8"/>
    <x v="6"/>
    <x v="2"/>
    <x v="6"/>
    <x v="6"/>
    <x v="8"/>
    <x v="2"/>
    <x v="0"/>
    <x v="0"/>
    <x v="8"/>
    <x v="8"/>
    <x v="1"/>
    <x v="8"/>
    <x v="0"/>
    <x v="2"/>
    <x v="0"/>
    <x v="0"/>
    <x v="3"/>
    <x v="0"/>
    <x v="2"/>
  </r>
  <r>
    <x v="3"/>
    <x v="8"/>
    <x v="9"/>
    <x v="9"/>
    <x v="9"/>
    <x v="9"/>
    <x v="6"/>
    <x v="1"/>
    <x v="0"/>
    <x v="2"/>
    <x v="2"/>
    <x v="9"/>
    <x v="9"/>
    <x v="6"/>
    <x v="2"/>
    <x v="2"/>
    <x v="6"/>
    <x v="8"/>
    <x v="2"/>
    <x v="0"/>
    <x v="0"/>
    <x v="9"/>
    <x v="9"/>
    <x v="1"/>
    <x v="9"/>
    <x v="0"/>
    <x v="2"/>
    <x v="0"/>
    <x v="0"/>
    <x v="3"/>
    <x v="0"/>
    <x v="2"/>
  </r>
  <r>
    <x v="3"/>
    <x v="9"/>
    <x v="10"/>
    <x v="10"/>
    <x v="10"/>
    <x v="10"/>
    <x v="6"/>
    <x v="0"/>
    <x v="0"/>
    <x v="2"/>
    <x v="2"/>
    <x v="10"/>
    <x v="10"/>
    <x v="6"/>
    <x v="3"/>
    <x v="2"/>
    <x v="3"/>
    <x v="8"/>
    <x v="2"/>
    <x v="0"/>
    <x v="0"/>
    <x v="10"/>
    <x v="10"/>
    <x v="1"/>
    <x v="10"/>
    <x v="0"/>
    <x v="2"/>
    <x v="0"/>
    <x v="0"/>
    <x v="3"/>
    <x v="0"/>
    <x v="2"/>
  </r>
  <r>
    <x v="3"/>
    <x v="10"/>
    <x v="11"/>
    <x v="11"/>
    <x v="11"/>
    <x v="7"/>
    <x v="6"/>
    <x v="1"/>
    <x v="0"/>
    <x v="2"/>
    <x v="2"/>
    <x v="10"/>
    <x v="11"/>
    <x v="2"/>
    <x v="2"/>
    <x v="2"/>
    <x v="4"/>
    <x v="8"/>
    <x v="2"/>
    <x v="0"/>
    <x v="0"/>
    <x v="11"/>
    <x v="11"/>
    <x v="5"/>
    <x v="11"/>
    <x v="0"/>
    <x v="2"/>
    <x v="0"/>
    <x v="0"/>
    <x v="3"/>
    <x v="0"/>
    <x v="2"/>
  </r>
  <r>
    <x v="3"/>
    <x v="11"/>
    <x v="12"/>
    <x v="12"/>
    <x v="12"/>
    <x v="7"/>
    <x v="7"/>
    <x v="3"/>
    <x v="0"/>
    <x v="2"/>
    <x v="2"/>
    <x v="11"/>
    <x v="12"/>
    <x v="7"/>
    <x v="2"/>
    <x v="7"/>
    <x v="4"/>
    <x v="8"/>
    <x v="2"/>
    <x v="0"/>
    <x v="0"/>
    <x v="12"/>
    <x v="12"/>
    <x v="5"/>
    <x v="12"/>
    <x v="0"/>
    <x v="2"/>
    <x v="0"/>
    <x v="0"/>
    <x v="3"/>
    <x v="0"/>
    <x v="2"/>
  </r>
  <r>
    <x v="3"/>
    <x v="12"/>
    <x v="13"/>
    <x v="13"/>
    <x v="13"/>
    <x v="11"/>
    <x v="8"/>
    <x v="0"/>
    <x v="0"/>
    <x v="2"/>
    <x v="0"/>
    <x v="12"/>
    <x v="13"/>
    <x v="2"/>
    <x v="4"/>
    <x v="8"/>
    <x v="4"/>
    <x v="9"/>
    <x v="0"/>
    <x v="0"/>
    <x v="0"/>
    <x v="13"/>
    <x v="13"/>
    <x v="2"/>
    <x v="13"/>
    <x v="0"/>
    <x v="0"/>
    <x v="0"/>
    <x v="0"/>
    <x v="0"/>
    <x v="0"/>
    <x v="0"/>
  </r>
  <r>
    <x v="3"/>
    <x v="13"/>
    <x v="14"/>
    <x v="14"/>
    <x v="14"/>
    <x v="12"/>
    <x v="8"/>
    <x v="0"/>
    <x v="0"/>
    <x v="2"/>
    <x v="2"/>
    <x v="13"/>
    <x v="14"/>
    <x v="8"/>
    <x v="1"/>
    <x v="9"/>
    <x v="6"/>
    <x v="5"/>
    <x v="2"/>
    <x v="0"/>
    <x v="0"/>
    <x v="14"/>
    <x v="14"/>
    <x v="5"/>
    <x v="14"/>
    <x v="1"/>
    <x v="2"/>
    <x v="0"/>
    <x v="0"/>
    <x v="4"/>
    <x v="0"/>
    <x v="2"/>
  </r>
  <r>
    <x v="3"/>
    <x v="14"/>
    <x v="15"/>
    <x v="15"/>
    <x v="15"/>
    <x v="13"/>
    <x v="9"/>
    <x v="0"/>
    <x v="0"/>
    <x v="2"/>
    <x v="0"/>
    <x v="5"/>
    <x v="15"/>
    <x v="9"/>
    <x v="1"/>
    <x v="10"/>
    <x v="4"/>
    <x v="5"/>
    <x v="0"/>
    <x v="0"/>
    <x v="0"/>
    <x v="15"/>
    <x v="15"/>
    <x v="2"/>
    <x v="15"/>
    <x v="1"/>
    <x v="0"/>
    <x v="0"/>
    <x v="0"/>
    <x v="0"/>
    <x v="0"/>
    <x v="0"/>
  </r>
  <r>
    <x v="3"/>
    <x v="15"/>
    <x v="16"/>
    <x v="16"/>
    <x v="16"/>
    <x v="14"/>
    <x v="7"/>
    <x v="3"/>
    <x v="0"/>
    <x v="2"/>
    <x v="2"/>
    <x v="14"/>
    <x v="16"/>
    <x v="0"/>
    <x v="5"/>
    <x v="11"/>
    <x v="6"/>
    <x v="6"/>
    <x v="2"/>
    <x v="0"/>
    <x v="0"/>
    <x v="16"/>
    <x v="16"/>
    <x v="4"/>
    <x v="16"/>
    <x v="0"/>
    <x v="2"/>
    <x v="0"/>
    <x v="0"/>
    <x v="4"/>
    <x v="0"/>
    <x v="2"/>
  </r>
  <r>
    <x v="3"/>
    <x v="16"/>
    <x v="17"/>
    <x v="17"/>
    <x v="17"/>
    <x v="15"/>
    <x v="8"/>
    <x v="0"/>
    <x v="0"/>
    <x v="2"/>
    <x v="0"/>
    <x v="15"/>
    <x v="17"/>
    <x v="2"/>
    <x v="6"/>
    <x v="12"/>
    <x v="4"/>
    <x v="10"/>
    <x v="0"/>
    <x v="0"/>
    <x v="0"/>
    <x v="17"/>
    <x v="17"/>
    <x v="6"/>
    <x v="17"/>
    <x v="0"/>
    <x v="0"/>
    <x v="0"/>
    <x v="0"/>
    <x v="0"/>
    <x v="0"/>
    <x v="0"/>
  </r>
  <r>
    <x v="3"/>
    <x v="17"/>
    <x v="18"/>
    <x v="18"/>
    <x v="18"/>
    <x v="14"/>
    <x v="7"/>
    <x v="1"/>
    <x v="0"/>
    <x v="2"/>
    <x v="2"/>
    <x v="16"/>
    <x v="18"/>
    <x v="0"/>
    <x v="1"/>
    <x v="13"/>
    <x v="7"/>
    <x v="11"/>
    <x v="2"/>
    <x v="0"/>
    <x v="0"/>
    <x v="18"/>
    <x v="18"/>
    <x v="7"/>
    <x v="18"/>
    <x v="0"/>
    <x v="2"/>
    <x v="0"/>
    <x v="0"/>
    <x v="4"/>
    <x v="0"/>
    <x v="2"/>
  </r>
  <r>
    <x v="3"/>
    <x v="18"/>
    <x v="19"/>
    <x v="19"/>
    <x v="19"/>
    <x v="16"/>
    <x v="6"/>
    <x v="1"/>
    <x v="0"/>
    <x v="2"/>
    <x v="0"/>
    <x v="17"/>
    <x v="19"/>
    <x v="3"/>
    <x v="1"/>
    <x v="14"/>
    <x v="3"/>
    <x v="12"/>
    <x v="0"/>
    <x v="0"/>
    <x v="0"/>
    <x v="19"/>
    <x v="19"/>
    <x v="5"/>
    <x v="19"/>
    <x v="1"/>
    <x v="0"/>
    <x v="0"/>
    <x v="0"/>
    <x v="0"/>
    <x v="0"/>
    <x v="0"/>
  </r>
  <r>
    <x v="3"/>
    <x v="19"/>
    <x v="20"/>
    <x v="20"/>
    <x v="20"/>
    <x v="17"/>
    <x v="1"/>
    <x v="1"/>
    <x v="0"/>
    <x v="2"/>
    <x v="0"/>
    <x v="11"/>
    <x v="20"/>
    <x v="0"/>
    <x v="1"/>
    <x v="15"/>
    <x v="4"/>
    <x v="2"/>
    <x v="0"/>
    <x v="0"/>
    <x v="0"/>
    <x v="20"/>
    <x v="20"/>
    <x v="5"/>
    <x v="20"/>
    <x v="0"/>
    <x v="0"/>
    <x v="0"/>
    <x v="0"/>
    <x v="0"/>
    <x v="0"/>
    <x v="0"/>
  </r>
  <r>
    <x v="3"/>
    <x v="20"/>
    <x v="21"/>
    <x v="21"/>
    <x v="21"/>
    <x v="18"/>
    <x v="1"/>
    <x v="1"/>
    <x v="0"/>
    <x v="2"/>
    <x v="0"/>
    <x v="10"/>
    <x v="21"/>
    <x v="10"/>
    <x v="1"/>
    <x v="16"/>
    <x v="4"/>
    <x v="2"/>
    <x v="0"/>
    <x v="0"/>
    <x v="0"/>
    <x v="21"/>
    <x v="21"/>
    <x v="2"/>
    <x v="21"/>
    <x v="0"/>
    <x v="0"/>
    <x v="0"/>
    <x v="0"/>
    <x v="0"/>
    <x v="0"/>
    <x v="0"/>
  </r>
  <r>
    <x v="3"/>
    <x v="21"/>
    <x v="22"/>
    <x v="22"/>
    <x v="22"/>
    <x v="7"/>
    <x v="1"/>
    <x v="1"/>
    <x v="0"/>
    <x v="2"/>
    <x v="0"/>
    <x v="18"/>
    <x v="20"/>
    <x v="0"/>
    <x v="1"/>
    <x v="17"/>
    <x v="4"/>
    <x v="13"/>
    <x v="0"/>
    <x v="0"/>
    <x v="0"/>
    <x v="22"/>
    <x v="22"/>
    <x v="5"/>
    <x v="22"/>
    <x v="0"/>
    <x v="0"/>
    <x v="0"/>
    <x v="0"/>
    <x v="0"/>
    <x v="0"/>
    <x v="0"/>
  </r>
  <r>
    <x v="3"/>
    <x v="22"/>
    <x v="23"/>
    <x v="23"/>
    <x v="23"/>
    <x v="7"/>
    <x v="1"/>
    <x v="1"/>
    <x v="0"/>
    <x v="2"/>
    <x v="0"/>
    <x v="19"/>
    <x v="20"/>
    <x v="4"/>
    <x v="1"/>
    <x v="18"/>
    <x v="4"/>
    <x v="14"/>
    <x v="0"/>
    <x v="0"/>
    <x v="0"/>
    <x v="23"/>
    <x v="22"/>
    <x v="5"/>
    <x v="23"/>
    <x v="0"/>
    <x v="0"/>
    <x v="0"/>
    <x v="0"/>
    <x v="0"/>
    <x v="0"/>
    <x v="0"/>
  </r>
  <r>
    <x v="3"/>
    <x v="23"/>
    <x v="24"/>
    <x v="24"/>
    <x v="24"/>
    <x v="19"/>
    <x v="10"/>
    <x v="0"/>
    <x v="0"/>
    <x v="2"/>
    <x v="0"/>
    <x v="17"/>
    <x v="4"/>
    <x v="11"/>
    <x v="1"/>
    <x v="19"/>
    <x v="4"/>
    <x v="5"/>
    <x v="0"/>
    <x v="0"/>
    <x v="0"/>
    <x v="24"/>
    <x v="23"/>
    <x v="6"/>
    <x v="24"/>
    <x v="0"/>
    <x v="0"/>
    <x v="0"/>
    <x v="0"/>
    <x v="0"/>
    <x v="0"/>
    <x v="0"/>
  </r>
  <r>
    <x v="3"/>
    <x v="24"/>
    <x v="25"/>
    <x v="25"/>
    <x v="25"/>
    <x v="20"/>
    <x v="11"/>
    <x v="0"/>
    <x v="0"/>
    <x v="2"/>
    <x v="3"/>
    <x v="20"/>
    <x v="22"/>
    <x v="12"/>
    <x v="7"/>
    <x v="20"/>
    <x v="3"/>
    <x v="6"/>
    <x v="0"/>
    <x v="0"/>
    <x v="0"/>
    <x v="25"/>
    <x v="24"/>
    <x v="4"/>
    <x v="25"/>
    <x v="0"/>
    <x v="0"/>
    <x v="0"/>
    <x v="0"/>
    <x v="0"/>
    <x v="0"/>
    <x v="0"/>
  </r>
  <r>
    <x v="3"/>
    <x v="25"/>
    <x v="26"/>
    <x v="26"/>
    <x v="26"/>
    <x v="21"/>
    <x v="4"/>
    <x v="1"/>
    <x v="0"/>
    <x v="2"/>
    <x v="0"/>
    <x v="21"/>
    <x v="5"/>
    <x v="13"/>
    <x v="1"/>
    <x v="17"/>
    <x v="3"/>
    <x v="14"/>
    <x v="0"/>
    <x v="0"/>
    <x v="0"/>
    <x v="26"/>
    <x v="25"/>
    <x v="6"/>
    <x v="26"/>
    <x v="0"/>
    <x v="0"/>
    <x v="0"/>
    <x v="0"/>
    <x v="0"/>
    <x v="0"/>
    <x v="0"/>
  </r>
  <r>
    <x v="3"/>
    <x v="26"/>
    <x v="27"/>
    <x v="27"/>
    <x v="27"/>
    <x v="22"/>
    <x v="1"/>
    <x v="1"/>
    <x v="0"/>
    <x v="4"/>
    <x v="4"/>
    <x v="22"/>
    <x v="23"/>
    <x v="0"/>
    <x v="1"/>
    <x v="21"/>
    <x v="3"/>
    <x v="14"/>
    <x v="1"/>
    <x v="0"/>
    <x v="0"/>
    <x v="27"/>
    <x v="26"/>
    <x v="2"/>
    <x v="27"/>
    <x v="1"/>
    <x v="1"/>
    <x v="0"/>
    <x v="0"/>
    <x v="2"/>
    <x v="0"/>
    <x v="1"/>
  </r>
  <r>
    <x v="3"/>
    <x v="27"/>
    <x v="28"/>
    <x v="28"/>
    <x v="28"/>
    <x v="23"/>
    <x v="1"/>
    <x v="0"/>
    <x v="0"/>
    <x v="2"/>
    <x v="0"/>
    <x v="23"/>
    <x v="24"/>
    <x v="14"/>
    <x v="2"/>
    <x v="22"/>
    <x v="8"/>
    <x v="15"/>
    <x v="3"/>
    <x v="0"/>
    <x v="0"/>
    <x v="28"/>
    <x v="27"/>
    <x v="5"/>
    <x v="28"/>
    <x v="2"/>
    <x v="3"/>
    <x v="0"/>
    <x v="0"/>
    <x v="5"/>
    <x v="0"/>
    <x v="3"/>
  </r>
  <r>
    <x v="3"/>
    <x v="28"/>
    <x v="29"/>
    <x v="29"/>
    <x v="29"/>
    <x v="24"/>
    <x v="2"/>
    <x v="2"/>
    <x v="0"/>
    <x v="2"/>
    <x v="0"/>
    <x v="24"/>
    <x v="25"/>
    <x v="0"/>
    <x v="1"/>
    <x v="23"/>
    <x v="9"/>
    <x v="6"/>
    <x v="3"/>
    <x v="1"/>
    <x v="0"/>
    <x v="29"/>
    <x v="28"/>
    <x v="5"/>
    <x v="29"/>
    <x v="0"/>
    <x v="3"/>
    <x v="0"/>
    <x v="0"/>
    <x v="6"/>
    <x v="0"/>
    <x v="3"/>
  </r>
  <r>
    <x v="3"/>
    <x v="29"/>
    <x v="30"/>
    <x v="30"/>
    <x v="30"/>
    <x v="25"/>
    <x v="6"/>
    <x v="0"/>
    <x v="0"/>
    <x v="2"/>
    <x v="0"/>
    <x v="11"/>
    <x v="26"/>
    <x v="15"/>
    <x v="2"/>
    <x v="24"/>
    <x v="10"/>
    <x v="16"/>
    <x v="3"/>
    <x v="0"/>
    <x v="0"/>
    <x v="30"/>
    <x v="29"/>
    <x v="5"/>
    <x v="30"/>
    <x v="1"/>
    <x v="3"/>
    <x v="0"/>
    <x v="0"/>
    <x v="5"/>
    <x v="0"/>
    <x v="3"/>
  </r>
  <r>
    <x v="3"/>
    <x v="30"/>
    <x v="31"/>
    <x v="31"/>
    <x v="31"/>
    <x v="26"/>
    <x v="1"/>
    <x v="1"/>
    <x v="0"/>
    <x v="2"/>
    <x v="0"/>
    <x v="25"/>
    <x v="27"/>
    <x v="16"/>
    <x v="2"/>
    <x v="25"/>
    <x v="11"/>
    <x v="17"/>
    <x v="3"/>
    <x v="0"/>
    <x v="0"/>
    <x v="31"/>
    <x v="30"/>
    <x v="3"/>
    <x v="31"/>
    <x v="0"/>
    <x v="3"/>
    <x v="0"/>
    <x v="0"/>
    <x v="5"/>
    <x v="0"/>
    <x v="3"/>
  </r>
  <r>
    <x v="3"/>
    <x v="31"/>
    <x v="32"/>
    <x v="32"/>
    <x v="32"/>
    <x v="27"/>
    <x v="6"/>
    <x v="0"/>
    <x v="0"/>
    <x v="2"/>
    <x v="0"/>
    <x v="26"/>
    <x v="28"/>
    <x v="17"/>
    <x v="8"/>
    <x v="26"/>
    <x v="12"/>
    <x v="6"/>
    <x v="3"/>
    <x v="0"/>
    <x v="0"/>
    <x v="32"/>
    <x v="31"/>
    <x v="6"/>
    <x v="32"/>
    <x v="0"/>
    <x v="3"/>
    <x v="0"/>
    <x v="0"/>
    <x v="5"/>
    <x v="0"/>
    <x v="3"/>
  </r>
  <r>
    <x v="3"/>
    <x v="32"/>
    <x v="33"/>
    <x v="33"/>
    <x v="33"/>
    <x v="28"/>
    <x v="1"/>
    <x v="1"/>
    <x v="0"/>
    <x v="2"/>
    <x v="0"/>
    <x v="16"/>
    <x v="29"/>
    <x v="18"/>
    <x v="9"/>
    <x v="27"/>
    <x v="13"/>
    <x v="17"/>
    <x v="3"/>
    <x v="1"/>
    <x v="0"/>
    <x v="33"/>
    <x v="32"/>
    <x v="6"/>
    <x v="33"/>
    <x v="0"/>
    <x v="3"/>
    <x v="0"/>
    <x v="0"/>
    <x v="5"/>
    <x v="0"/>
    <x v="3"/>
  </r>
  <r>
    <x v="3"/>
    <x v="33"/>
    <x v="34"/>
    <x v="34"/>
    <x v="34"/>
    <x v="29"/>
    <x v="8"/>
    <x v="0"/>
    <x v="0"/>
    <x v="2"/>
    <x v="0"/>
    <x v="27"/>
    <x v="30"/>
    <x v="19"/>
    <x v="10"/>
    <x v="28"/>
    <x v="9"/>
    <x v="18"/>
    <x v="3"/>
    <x v="0"/>
    <x v="0"/>
    <x v="34"/>
    <x v="33"/>
    <x v="8"/>
    <x v="34"/>
    <x v="0"/>
    <x v="3"/>
    <x v="0"/>
    <x v="0"/>
    <x v="5"/>
    <x v="0"/>
    <x v="3"/>
  </r>
  <r>
    <x v="3"/>
    <x v="34"/>
    <x v="35"/>
    <x v="35"/>
    <x v="35"/>
    <x v="30"/>
    <x v="8"/>
    <x v="0"/>
    <x v="0"/>
    <x v="2"/>
    <x v="0"/>
    <x v="28"/>
    <x v="30"/>
    <x v="8"/>
    <x v="2"/>
    <x v="29"/>
    <x v="14"/>
    <x v="18"/>
    <x v="3"/>
    <x v="0"/>
    <x v="0"/>
    <x v="35"/>
    <x v="34"/>
    <x v="8"/>
    <x v="35"/>
    <x v="0"/>
    <x v="3"/>
    <x v="0"/>
    <x v="0"/>
    <x v="5"/>
    <x v="0"/>
    <x v="3"/>
  </r>
  <r>
    <x v="3"/>
    <x v="35"/>
    <x v="36"/>
    <x v="36"/>
    <x v="36"/>
    <x v="31"/>
    <x v="10"/>
    <x v="0"/>
    <x v="0"/>
    <x v="2"/>
    <x v="0"/>
    <x v="29"/>
    <x v="31"/>
    <x v="20"/>
    <x v="2"/>
    <x v="30"/>
    <x v="15"/>
    <x v="19"/>
    <x v="3"/>
    <x v="0"/>
    <x v="0"/>
    <x v="36"/>
    <x v="35"/>
    <x v="3"/>
    <x v="36"/>
    <x v="1"/>
    <x v="3"/>
    <x v="0"/>
    <x v="0"/>
    <x v="5"/>
    <x v="0"/>
    <x v="3"/>
  </r>
  <r>
    <x v="3"/>
    <x v="36"/>
    <x v="37"/>
    <x v="37"/>
    <x v="37"/>
    <x v="32"/>
    <x v="11"/>
    <x v="0"/>
    <x v="0"/>
    <x v="2"/>
    <x v="0"/>
    <x v="16"/>
    <x v="32"/>
    <x v="0"/>
    <x v="1"/>
    <x v="31"/>
    <x v="16"/>
    <x v="2"/>
    <x v="4"/>
    <x v="0"/>
    <x v="0"/>
    <x v="37"/>
    <x v="36"/>
    <x v="8"/>
    <x v="37"/>
    <x v="0"/>
    <x v="4"/>
    <x v="0"/>
    <x v="0"/>
    <x v="7"/>
    <x v="0"/>
    <x v="4"/>
  </r>
  <r>
    <x v="3"/>
    <x v="37"/>
    <x v="38"/>
    <x v="38"/>
    <x v="38"/>
    <x v="33"/>
    <x v="1"/>
    <x v="1"/>
    <x v="0"/>
    <x v="2"/>
    <x v="0"/>
    <x v="8"/>
    <x v="33"/>
    <x v="0"/>
    <x v="1"/>
    <x v="32"/>
    <x v="17"/>
    <x v="20"/>
    <x v="4"/>
    <x v="0"/>
    <x v="0"/>
    <x v="38"/>
    <x v="37"/>
    <x v="2"/>
    <x v="38"/>
    <x v="1"/>
    <x v="4"/>
    <x v="0"/>
    <x v="0"/>
    <x v="7"/>
    <x v="0"/>
    <x v="4"/>
  </r>
  <r>
    <x v="3"/>
    <x v="38"/>
    <x v="39"/>
    <x v="39"/>
    <x v="39"/>
    <x v="34"/>
    <x v="1"/>
    <x v="0"/>
    <x v="0"/>
    <x v="2"/>
    <x v="0"/>
    <x v="30"/>
    <x v="34"/>
    <x v="21"/>
    <x v="2"/>
    <x v="33"/>
    <x v="18"/>
    <x v="21"/>
    <x v="4"/>
    <x v="3"/>
    <x v="3"/>
    <x v="39"/>
    <x v="38"/>
    <x v="2"/>
    <x v="39"/>
    <x v="1"/>
    <x v="3"/>
    <x v="0"/>
    <x v="0"/>
    <x v="5"/>
    <x v="0"/>
    <x v="4"/>
  </r>
  <r>
    <x v="3"/>
    <x v="39"/>
    <x v="40"/>
    <x v="40"/>
    <x v="40"/>
    <x v="35"/>
    <x v="6"/>
    <x v="0"/>
    <x v="0"/>
    <x v="5"/>
    <x v="0"/>
    <x v="31"/>
    <x v="35"/>
    <x v="2"/>
    <x v="11"/>
    <x v="34"/>
    <x v="3"/>
    <x v="6"/>
    <x v="5"/>
    <x v="0"/>
    <x v="0"/>
    <x v="40"/>
    <x v="39"/>
    <x v="4"/>
    <x v="40"/>
    <x v="1"/>
    <x v="5"/>
    <x v="0"/>
    <x v="0"/>
    <x v="8"/>
    <x v="0"/>
    <x v="5"/>
  </r>
  <r>
    <x v="3"/>
    <x v="40"/>
    <x v="41"/>
    <x v="41"/>
    <x v="41"/>
    <x v="36"/>
    <x v="0"/>
    <x v="0"/>
    <x v="0"/>
    <x v="2"/>
    <x v="0"/>
    <x v="32"/>
    <x v="36"/>
    <x v="22"/>
    <x v="1"/>
    <x v="28"/>
    <x v="5"/>
    <x v="22"/>
    <x v="5"/>
    <x v="0"/>
    <x v="0"/>
    <x v="41"/>
    <x v="40"/>
    <x v="4"/>
    <x v="41"/>
    <x v="0"/>
    <x v="5"/>
    <x v="0"/>
    <x v="0"/>
    <x v="8"/>
    <x v="0"/>
    <x v="5"/>
  </r>
  <r>
    <x v="3"/>
    <x v="41"/>
    <x v="42"/>
    <x v="42"/>
    <x v="42"/>
    <x v="37"/>
    <x v="0"/>
    <x v="0"/>
    <x v="0"/>
    <x v="2"/>
    <x v="0"/>
    <x v="33"/>
    <x v="36"/>
    <x v="0"/>
    <x v="1"/>
    <x v="35"/>
    <x v="19"/>
    <x v="23"/>
    <x v="5"/>
    <x v="0"/>
    <x v="0"/>
    <x v="42"/>
    <x v="41"/>
    <x v="3"/>
    <x v="42"/>
    <x v="1"/>
    <x v="5"/>
    <x v="0"/>
    <x v="0"/>
    <x v="8"/>
    <x v="0"/>
    <x v="5"/>
  </r>
  <r>
    <x v="3"/>
    <x v="42"/>
    <x v="43"/>
    <x v="43"/>
    <x v="43"/>
    <x v="38"/>
    <x v="1"/>
    <x v="1"/>
    <x v="0"/>
    <x v="2"/>
    <x v="0"/>
    <x v="34"/>
    <x v="6"/>
    <x v="23"/>
    <x v="1"/>
    <x v="16"/>
    <x v="4"/>
    <x v="14"/>
    <x v="5"/>
    <x v="0"/>
    <x v="0"/>
    <x v="43"/>
    <x v="42"/>
    <x v="8"/>
    <x v="43"/>
    <x v="1"/>
    <x v="5"/>
    <x v="0"/>
    <x v="0"/>
    <x v="8"/>
    <x v="0"/>
    <x v="5"/>
  </r>
  <r>
    <x v="3"/>
    <x v="43"/>
    <x v="44"/>
    <x v="44"/>
    <x v="44"/>
    <x v="39"/>
    <x v="0"/>
    <x v="0"/>
    <x v="0"/>
    <x v="2"/>
    <x v="0"/>
    <x v="35"/>
    <x v="37"/>
    <x v="0"/>
    <x v="12"/>
    <x v="28"/>
    <x v="3"/>
    <x v="3"/>
    <x v="5"/>
    <x v="0"/>
    <x v="0"/>
    <x v="44"/>
    <x v="43"/>
    <x v="4"/>
    <x v="44"/>
    <x v="1"/>
    <x v="5"/>
    <x v="0"/>
    <x v="0"/>
    <x v="8"/>
    <x v="0"/>
    <x v="5"/>
  </r>
  <r>
    <x v="3"/>
    <x v="44"/>
    <x v="45"/>
    <x v="45"/>
    <x v="45"/>
    <x v="40"/>
    <x v="1"/>
    <x v="1"/>
    <x v="0"/>
    <x v="2"/>
    <x v="0"/>
    <x v="36"/>
    <x v="38"/>
    <x v="24"/>
    <x v="13"/>
    <x v="36"/>
    <x v="7"/>
    <x v="2"/>
    <x v="5"/>
    <x v="0"/>
    <x v="0"/>
    <x v="45"/>
    <x v="44"/>
    <x v="4"/>
    <x v="45"/>
    <x v="1"/>
    <x v="5"/>
    <x v="0"/>
    <x v="0"/>
    <x v="8"/>
    <x v="0"/>
    <x v="5"/>
  </r>
  <r>
    <x v="3"/>
    <x v="45"/>
    <x v="46"/>
    <x v="46"/>
    <x v="46"/>
    <x v="41"/>
    <x v="0"/>
    <x v="0"/>
    <x v="0"/>
    <x v="2"/>
    <x v="0"/>
    <x v="37"/>
    <x v="39"/>
    <x v="0"/>
    <x v="14"/>
    <x v="28"/>
    <x v="3"/>
    <x v="24"/>
    <x v="5"/>
    <x v="0"/>
    <x v="0"/>
    <x v="46"/>
    <x v="45"/>
    <x v="8"/>
    <x v="46"/>
    <x v="0"/>
    <x v="5"/>
    <x v="0"/>
    <x v="0"/>
    <x v="8"/>
    <x v="0"/>
    <x v="5"/>
  </r>
  <r>
    <x v="3"/>
    <x v="46"/>
    <x v="47"/>
    <x v="47"/>
    <x v="47"/>
    <x v="42"/>
    <x v="0"/>
    <x v="0"/>
    <x v="0"/>
    <x v="4"/>
    <x v="0"/>
    <x v="38"/>
    <x v="40"/>
    <x v="0"/>
    <x v="15"/>
    <x v="37"/>
    <x v="3"/>
    <x v="25"/>
    <x v="5"/>
    <x v="0"/>
    <x v="0"/>
    <x v="47"/>
    <x v="46"/>
    <x v="8"/>
    <x v="47"/>
    <x v="0"/>
    <x v="5"/>
    <x v="0"/>
    <x v="0"/>
    <x v="8"/>
    <x v="0"/>
    <x v="5"/>
  </r>
  <r>
    <x v="3"/>
    <x v="47"/>
    <x v="48"/>
    <x v="48"/>
    <x v="48"/>
    <x v="43"/>
    <x v="0"/>
    <x v="0"/>
    <x v="0"/>
    <x v="5"/>
    <x v="0"/>
    <x v="39"/>
    <x v="40"/>
    <x v="0"/>
    <x v="16"/>
    <x v="28"/>
    <x v="3"/>
    <x v="26"/>
    <x v="5"/>
    <x v="4"/>
    <x v="0"/>
    <x v="48"/>
    <x v="47"/>
    <x v="4"/>
    <x v="48"/>
    <x v="1"/>
    <x v="5"/>
    <x v="0"/>
    <x v="0"/>
    <x v="8"/>
    <x v="0"/>
    <x v="5"/>
  </r>
  <r>
    <x v="3"/>
    <x v="48"/>
    <x v="49"/>
    <x v="49"/>
    <x v="49"/>
    <x v="44"/>
    <x v="1"/>
    <x v="1"/>
    <x v="0"/>
    <x v="2"/>
    <x v="0"/>
    <x v="40"/>
    <x v="41"/>
    <x v="23"/>
    <x v="1"/>
    <x v="36"/>
    <x v="20"/>
    <x v="2"/>
    <x v="5"/>
    <x v="0"/>
    <x v="0"/>
    <x v="49"/>
    <x v="48"/>
    <x v="1"/>
    <x v="49"/>
    <x v="1"/>
    <x v="5"/>
    <x v="0"/>
    <x v="0"/>
    <x v="8"/>
    <x v="0"/>
    <x v="5"/>
  </r>
  <r>
    <x v="4"/>
    <x v="49"/>
    <x v="50"/>
    <x v="50"/>
    <x v="50"/>
    <x v="45"/>
    <x v="9"/>
    <x v="0"/>
    <x v="0"/>
    <x v="2"/>
    <x v="1"/>
    <x v="41"/>
    <x v="42"/>
    <x v="25"/>
    <x v="17"/>
    <x v="38"/>
    <x v="21"/>
    <x v="27"/>
    <x v="6"/>
    <x v="0"/>
    <x v="0"/>
    <x v="50"/>
    <x v="49"/>
    <x v="3"/>
    <x v="50"/>
    <x v="0"/>
    <x v="6"/>
    <x v="0"/>
    <x v="0"/>
    <x v="9"/>
    <x v="0"/>
    <x v="6"/>
  </r>
  <r>
    <x v="4"/>
    <x v="50"/>
    <x v="51"/>
    <x v="51"/>
    <x v="51"/>
    <x v="46"/>
    <x v="7"/>
    <x v="3"/>
    <x v="0"/>
    <x v="2"/>
    <x v="1"/>
    <x v="42"/>
    <x v="43"/>
    <x v="0"/>
    <x v="1"/>
    <x v="39"/>
    <x v="22"/>
    <x v="28"/>
    <x v="6"/>
    <x v="0"/>
    <x v="0"/>
    <x v="51"/>
    <x v="50"/>
    <x v="8"/>
    <x v="51"/>
    <x v="0"/>
    <x v="6"/>
    <x v="0"/>
    <x v="0"/>
    <x v="9"/>
    <x v="0"/>
    <x v="6"/>
  </r>
  <r>
    <x v="4"/>
    <x v="51"/>
    <x v="52"/>
    <x v="52"/>
    <x v="52"/>
    <x v="47"/>
    <x v="1"/>
    <x v="1"/>
    <x v="0"/>
    <x v="2"/>
    <x v="1"/>
    <x v="43"/>
    <x v="44"/>
    <x v="26"/>
    <x v="18"/>
    <x v="40"/>
    <x v="23"/>
    <x v="4"/>
    <x v="6"/>
    <x v="0"/>
    <x v="0"/>
    <x v="52"/>
    <x v="51"/>
    <x v="8"/>
    <x v="52"/>
    <x v="0"/>
    <x v="6"/>
    <x v="0"/>
    <x v="0"/>
    <x v="9"/>
    <x v="0"/>
    <x v="6"/>
  </r>
  <r>
    <x v="4"/>
    <x v="52"/>
    <x v="53"/>
    <x v="53"/>
    <x v="53"/>
    <x v="48"/>
    <x v="1"/>
    <x v="1"/>
    <x v="0"/>
    <x v="2"/>
    <x v="1"/>
    <x v="44"/>
    <x v="45"/>
    <x v="27"/>
    <x v="1"/>
    <x v="41"/>
    <x v="21"/>
    <x v="4"/>
    <x v="6"/>
    <x v="0"/>
    <x v="0"/>
    <x v="53"/>
    <x v="52"/>
    <x v="8"/>
    <x v="53"/>
    <x v="0"/>
    <x v="6"/>
    <x v="0"/>
    <x v="0"/>
    <x v="9"/>
    <x v="0"/>
    <x v="6"/>
  </r>
  <r>
    <x v="4"/>
    <x v="53"/>
    <x v="54"/>
    <x v="54"/>
    <x v="54"/>
    <x v="49"/>
    <x v="6"/>
    <x v="0"/>
    <x v="0"/>
    <x v="2"/>
    <x v="1"/>
    <x v="45"/>
    <x v="46"/>
    <x v="28"/>
    <x v="1"/>
    <x v="42"/>
    <x v="22"/>
    <x v="18"/>
    <x v="6"/>
    <x v="0"/>
    <x v="0"/>
    <x v="54"/>
    <x v="53"/>
    <x v="3"/>
    <x v="54"/>
    <x v="0"/>
    <x v="6"/>
    <x v="0"/>
    <x v="0"/>
    <x v="9"/>
    <x v="0"/>
    <x v="6"/>
  </r>
  <r>
    <x v="4"/>
    <x v="54"/>
    <x v="55"/>
    <x v="55"/>
    <x v="55"/>
    <x v="50"/>
    <x v="6"/>
    <x v="0"/>
    <x v="0"/>
    <x v="2"/>
    <x v="1"/>
    <x v="46"/>
    <x v="47"/>
    <x v="29"/>
    <x v="2"/>
    <x v="43"/>
    <x v="24"/>
    <x v="18"/>
    <x v="6"/>
    <x v="0"/>
    <x v="0"/>
    <x v="55"/>
    <x v="54"/>
    <x v="5"/>
    <x v="55"/>
    <x v="1"/>
    <x v="6"/>
    <x v="0"/>
    <x v="0"/>
    <x v="9"/>
    <x v="0"/>
    <x v="6"/>
  </r>
  <r>
    <x v="4"/>
    <x v="55"/>
    <x v="56"/>
    <x v="56"/>
    <x v="56"/>
    <x v="51"/>
    <x v="0"/>
    <x v="0"/>
    <x v="0"/>
    <x v="2"/>
    <x v="1"/>
    <x v="47"/>
    <x v="48"/>
    <x v="30"/>
    <x v="2"/>
    <x v="44"/>
    <x v="25"/>
    <x v="6"/>
    <x v="6"/>
    <x v="0"/>
    <x v="0"/>
    <x v="56"/>
    <x v="55"/>
    <x v="9"/>
    <x v="56"/>
    <x v="1"/>
    <x v="6"/>
    <x v="0"/>
    <x v="0"/>
    <x v="9"/>
    <x v="0"/>
    <x v="6"/>
  </r>
  <r>
    <x v="4"/>
    <x v="56"/>
    <x v="57"/>
    <x v="57"/>
    <x v="57"/>
    <x v="52"/>
    <x v="0"/>
    <x v="0"/>
    <x v="0"/>
    <x v="2"/>
    <x v="1"/>
    <x v="48"/>
    <x v="49"/>
    <x v="31"/>
    <x v="19"/>
    <x v="45"/>
    <x v="26"/>
    <x v="5"/>
    <x v="6"/>
    <x v="0"/>
    <x v="0"/>
    <x v="57"/>
    <x v="56"/>
    <x v="5"/>
    <x v="57"/>
    <x v="1"/>
    <x v="6"/>
    <x v="0"/>
    <x v="0"/>
    <x v="9"/>
    <x v="0"/>
    <x v="6"/>
  </r>
  <r>
    <x v="4"/>
    <x v="57"/>
    <x v="58"/>
    <x v="58"/>
    <x v="58"/>
    <x v="53"/>
    <x v="1"/>
    <x v="1"/>
    <x v="0"/>
    <x v="2"/>
    <x v="1"/>
    <x v="49"/>
    <x v="50"/>
    <x v="26"/>
    <x v="1"/>
    <x v="46"/>
    <x v="22"/>
    <x v="29"/>
    <x v="6"/>
    <x v="0"/>
    <x v="0"/>
    <x v="58"/>
    <x v="57"/>
    <x v="9"/>
    <x v="58"/>
    <x v="1"/>
    <x v="7"/>
    <x v="0"/>
    <x v="0"/>
    <x v="10"/>
    <x v="0"/>
    <x v="6"/>
  </r>
  <r>
    <x v="4"/>
    <x v="58"/>
    <x v="59"/>
    <x v="59"/>
    <x v="59"/>
    <x v="54"/>
    <x v="1"/>
    <x v="1"/>
    <x v="0"/>
    <x v="2"/>
    <x v="1"/>
    <x v="50"/>
    <x v="51"/>
    <x v="26"/>
    <x v="1"/>
    <x v="46"/>
    <x v="26"/>
    <x v="17"/>
    <x v="6"/>
    <x v="0"/>
    <x v="0"/>
    <x v="59"/>
    <x v="58"/>
    <x v="1"/>
    <x v="59"/>
    <x v="1"/>
    <x v="7"/>
    <x v="0"/>
    <x v="0"/>
    <x v="10"/>
    <x v="0"/>
    <x v="6"/>
  </r>
  <r>
    <x v="4"/>
    <x v="59"/>
    <x v="60"/>
    <x v="60"/>
    <x v="60"/>
    <x v="55"/>
    <x v="0"/>
    <x v="0"/>
    <x v="0"/>
    <x v="2"/>
    <x v="1"/>
    <x v="51"/>
    <x v="48"/>
    <x v="32"/>
    <x v="1"/>
    <x v="47"/>
    <x v="4"/>
    <x v="23"/>
    <x v="6"/>
    <x v="0"/>
    <x v="0"/>
    <x v="60"/>
    <x v="54"/>
    <x v="5"/>
    <x v="56"/>
    <x v="1"/>
    <x v="6"/>
    <x v="0"/>
    <x v="0"/>
    <x v="9"/>
    <x v="0"/>
    <x v="6"/>
  </r>
  <r>
    <x v="4"/>
    <x v="60"/>
    <x v="61"/>
    <x v="61"/>
    <x v="61"/>
    <x v="56"/>
    <x v="1"/>
    <x v="4"/>
    <x v="0"/>
    <x v="3"/>
    <x v="1"/>
    <x v="52"/>
    <x v="52"/>
    <x v="14"/>
    <x v="2"/>
    <x v="2"/>
    <x v="22"/>
    <x v="5"/>
    <x v="6"/>
    <x v="0"/>
    <x v="4"/>
    <x v="61"/>
    <x v="59"/>
    <x v="1"/>
    <x v="60"/>
    <x v="1"/>
    <x v="7"/>
    <x v="0"/>
    <x v="0"/>
    <x v="1"/>
    <x v="0"/>
    <x v="6"/>
  </r>
  <r>
    <x v="4"/>
    <x v="61"/>
    <x v="62"/>
    <x v="62"/>
    <x v="62"/>
    <x v="57"/>
    <x v="12"/>
    <x v="2"/>
    <x v="0"/>
    <x v="2"/>
    <x v="1"/>
    <x v="53"/>
    <x v="53"/>
    <x v="33"/>
    <x v="2"/>
    <x v="48"/>
    <x v="27"/>
    <x v="27"/>
    <x v="6"/>
    <x v="0"/>
    <x v="0"/>
    <x v="62"/>
    <x v="60"/>
    <x v="5"/>
    <x v="61"/>
    <x v="1"/>
    <x v="6"/>
    <x v="0"/>
    <x v="0"/>
    <x v="9"/>
    <x v="0"/>
    <x v="6"/>
  </r>
  <r>
    <x v="4"/>
    <x v="62"/>
    <x v="63"/>
    <x v="63"/>
    <x v="63"/>
    <x v="58"/>
    <x v="13"/>
    <x v="0"/>
    <x v="0"/>
    <x v="3"/>
    <x v="1"/>
    <x v="54"/>
    <x v="54"/>
    <x v="5"/>
    <x v="2"/>
    <x v="49"/>
    <x v="13"/>
    <x v="19"/>
    <x v="6"/>
    <x v="0"/>
    <x v="1"/>
    <x v="63"/>
    <x v="61"/>
    <x v="3"/>
    <x v="62"/>
    <x v="2"/>
    <x v="6"/>
    <x v="0"/>
    <x v="0"/>
    <x v="1"/>
    <x v="0"/>
    <x v="6"/>
  </r>
  <r>
    <x v="4"/>
    <x v="63"/>
    <x v="64"/>
    <x v="64"/>
    <x v="64"/>
    <x v="59"/>
    <x v="6"/>
    <x v="0"/>
    <x v="0"/>
    <x v="2"/>
    <x v="5"/>
    <x v="55"/>
    <x v="55"/>
    <x v="0"/>
    <x v="1"/>
    <x v="50"/>
    <x v="7"/>
    <x v="23"/>
    <x v="7"/>
    <x v="5"/>
    <x v="0"/>
    <x v="64"/>
    <x v="62"/>
    <x v="2"/>
    <x v="63"/>
    <x v="0"/>
    <x v="8"/>
    <x v="0"/>
    <x v="0"/>
    <x v="11"/>
    <x v="0"/>
    <x v="7"/>
  </r>
  <r>
    <x v="4"/>
    <x v="64"/>
    <x v="65"/>
    <x v="65"/>
    <x v="65"/>
    <x v="7"/>
    <x v="0"/>
    <x v="0"/>
    <x v="0"/>
    <x v="2"/>
    <x v="5"/>
    <x v="56"/>
    <x v="56"/>
    <x v="0"/>
    <x v="1"/>
    <x v="2"/>
    <x v="28"/>
    <x v="14"/>
    <x v="7"/>
    <x v="0"/>
    <x v="0"/>
    <x v="65"/>
    <x v="63"/>
    <x v="2"/>
    <x v="64"/>
    <x v="0"/>
    <x v="8"/>
    <x v="0"/>
    <x v="0"/>
    <x v="11"/>
    <x v="0"/>
    <x v="7"/>
  </r>
  <r>
    <x v="5"/>
    <x v="65"/>
    <x v="66"/>
    <x v="66"/>
    <x v="66"/>
    <x v="60"/>
    <x v="0"/>
    <x v="0"/>
    <x v="0"/>
    <x v="2"/>
    <x v="5"/>
    <x v="8"/>
    <x v="56"/>
    <x v="34"/>
    <x v="20"/>
    <x v="2"/>
    <x v="29"/>
    <x v="30"/>
    <x v="7"/>
    <x v="0"/>
    <x v="0"/>
    <x v="66"/>
    <x v="64"/>
    <x v="3"/>
    <x v="65"/>
    <x v="0"/>
    <x v="8"/>
    <x v="0"/>
    <x v="0"/>
    <x v="11"/>
    <x v="0"/>
    <x v="7"/>
  </r>
  <r>
    <x v="5"/>
    <x v="66"/>
    <x v="67"/>
    <x v="67"/>
    <x v="67"/>
    <x v="61"/>
    <x v="11"/>
    <x v="0"/>
    <x v="0"/>
    <x v="2"/>
    <x v="5"/>
    <x v="11"/>
    <x v="57"/>
    <x v="35"/>
    <x v="1"/>
    <x v="2"/>
    <x v="30"/>
    <x v="4"/>
    <x v="7"/>
    <x v="0"/>
    <x v="0"/>
    <x v="67"/>
    <x v="65"/>
    <x v="1"/>
    <x v="66"/>
    <x v="0"/>
    <x v="8"/>
    <x v="0"/>
    <x v="0"/>
    <x v="11"/>
    <x v="0"/>
    <x v="7"/>
  </r>
  <r>
    <x v="5"/>
    <x v="67"/>
    <x v="68"/>
    <x v="68"/>
    <x v="68"/>
    <x v="7"/>
    <x v="6"/>
    <x v="5"/>
    <x v="0"/>
    <x v="2"/>
    <x v="5"/>
    <x v="57"/>
    <x v="55"/>
    <x v="0"/>
    <x v="1"/>
    <x v="2"/>
    <x v="31"/>
    <x v="31"/>
    <x v="7"/>
    <x v="0"/>
    <x v="0"/>
    <x v="68"/>
    <x v="66"/>
    <x v="4"/>
    <x v="67"/>
    <x v="0"/>
    <x v="8"/>
    <x v="0"/>
    <x v="0"/>
    <x v="11"/>
    <x v="0"/>
    <x v="7"/>
  </r>
  <r>
    <x v="5"/>
    <x v="68"/>
    <x v="69"/>
    <x v="69"/>
    <x v="69"/>
    <x v="62"/>
    <x v="9"/>
    <x v="0"/>
    <x v="0"/>
    <x v="2"/>
    <x v="5"/>
    <x v="16"/>
    <x v="58"/>
    <x v="0"/>
    <x v="1"/>
    <x v="2"/>
    <x v="19"/>
    <x v="32"/>
    <x v="7"/>
    <x v="0"/>
    <x v="0"/>
    <x v="69"/>
    <x v="67"/>
    <x v="5"/>
    <x v="68"/>
    <x v="0"/>
    <x v="8"/>
    <x v="0"/>
    <x v="0"/>
    <x v="11"/>
    <x v="0"/>
    <x v="7"/>
  </r>
  <r>
    <x v="5"/>
    <x v="69"/>
    <x v="70"/>
    <x v="70"/>
    <x v="70"/>
    <x v="63"/>
    <x v="14"/>
    <x v="2"/>
    <x v="0"/>
    <x v="2"/>
    <x v="5"/>
    <x v="58"/>
    <x v="59"/>
    <x v="8"/>
    <x v="1"/>
    <x v="2"/>
    <x v="26"/>
    <x v="5"/>
    <x v="8"/>
    <x v="6"/>
    <x v="0"/>
    <x v="70"/>
    <x v="68"/>
    <x v="1"/>
    <x v="69"/>
    <x v="1"/>
    <x v="9"/>
    <x v="0"/>
    <x v="0"/>
    <x v="12"/>
    <x v="0"/>
    <x v="7"/>
  </r>
  <r>
    <x v="5"/>
    <x v="70"/>
    <x v="71"/>
    <x v="71"/>
    <x v="71"/>
    <x v="64"/>
    <x v="2"/>
    <x v="2"/>
    <x v="0"/>
    <x v="2"/>
    <x v="5"/>
    <x v="59"/>
    <x v="60"/>
    <x v="36"/>
    <x v="1"/>
    <x v="2"/>
    <x v="26"/>
    <x v="3"/>
    <x v="8"/>
    <x v="6"/>
    <x v="0"/>
    <x v="71"/>
    <x v="69"/>
    <x v="3"/>
    <x v="70"/>
    <x v="0"/>
    <x v="8"/>
    <x v="0"/>
    <x v="0"/>
    <x v="11"/>
    <x v="0"/>
    <x v="7"/>
  </r>
  <r>
    <x v="5"/>
    <x v="71"/>
    <x v="72"/>
    <x v="72"/>
    <x v="72"/>
    <x v="65"/>
    <x v="6"/>
    <x v="0"/>
    <x v="0"/>
    <x v="2"/>
    <x v="5"/>
    <x v="60"/>
    <x v="61"/>
    <x v="0"/>
    <x v="1"/>
    <x v="2"/>
    <x v="21"/>
    <x v="23"/>
    <x v="7"/>
    <x v="0"/>
    <x v="0"/>
    <x v="72"/>
    <x v="70"/>
    <x v="10"/>
    <x v="71"/>
    <x v="0"/>
    <x v="8"/>
    <x v="0"/>
    <x v="0"/>
    <x v="11"/>
    <x v="0"/>
    <x v="7"/>
  </r>
  <r>
    <x v="5"/>
    <x v="72"/>
    <x v="73"/>
    <x v="73"/>
    <x v="73"/>
    <x v="66"/>
    <x v="9"/>
    <x v="0"/>
    <x v="0"/>
    <x v="2"/>
    <x v="5"/>
    <x v="11"/>
    <x v="62"/>
    <x v="35"/>
    <x v="1"/>
    <x v="2"/>
    <x v="32"/>
    <x v="33"/>
    <x v="7"/>
    <x v="0"/>
    <x v="0"/>
    <x v="73"/>
    <x v="71"/>
    <x v="1"/>
    <x v="72"/>
    <x v="0"/>
    <x v="8"/>
    <x v="0"/>
    <x v="0"/>
    <x v="11"/>
    <x v="0"/>
    <x v="7"/>
  </r>
  <r>
    <x v="5"/>
    <x v="73"/>
    <x v="74"/>
    <x v="74"/>
    <x v="74"/>
    <x v="67"/>
    <x v="10"/>
    <x v="0"/>
    <x v="0"/>
    <x v="2"/>
    <x v="5"/>
    <x v="61"/>
    <x v="63"/>
    <x v="0"/>
    <x v="1"/>
    <x v="2"/>
    <x v="33"/>
    <x v="3"/>
    <x v="7"/>
    <x v="0"/>
    <x v="0"/>
    <x v="74"/>
    <x v="72"/>
    <x v="6"/>
    <x v="73"/>
    <x v="0"/>
    <x v="8"/>
    <x v="0"/>
    <x v="0"/>
    <x v="11"/>
    <x v="0"/>
    <x v="7"/>
  </r>
  <r>
    <x v="5"/>
    <x v="74"/>
    <x v="75"/>
    <x v="75"/>
    <x v="75"/>
    <x v="68"/>
    <x v="2"/>
    <x v="2"/>
    <x v="0"/>
    <x v="2"/>
    <x v="5"/>
    <x v="62"/>
    <x v="64"/>
    <x v="37"/>
    <x v="1"/>
    <x v="2"/>
    <x v="28"/>
    <x v="18"/>
    <x v="8"/>
    <x v="6"/>
    <x v="0"/>
    <x v="75"/>
    <x v="73"/>
    <x v="2"/>
    <x v="74"/>
    <x v="0"/>
    <x v="8"/>
    <x v="0"/>
    <x v="0"/>
    <x v="11"/>
    <x v="0"/>
    <x v="7"/>
  </r>
  <r>
    <x v="5"/>
    <x v="75"/>
    <x v="76"/>
    <x v="76"/>
    <x v="76"/>
    <x v="69"/>
    <x v="6"/>
    <x v="0"/>
    <x v="0"/>
    <x v="2"/>
    <x v="5"/>
    <x v="63"/>
    <x v="61"/>
    <x v="0"/>
    <x v="1"/>
    <x v="2"/>
    <x v="5"/>
    <x v="23"/>
    <x v="7"/>
    <x v="0"/>
    <x v="0"/>
    <x v="76"/>
    <x v="74"/>
    <x v="4"/>
    <x v="75"/>
    <x v="0"/>
    <x v="8"/>
    <x v="0"/>
    <x v="0"/>
    <x v="11"/>
    <x v="0"/>
    <x v="7"/>
  </r>
  <r>
    <x v="5"/>
    <x v="76"/>
    <x v="77"/>
    <x v="77"/>
    <x v="77"/>
    <x v="70"/>
    <x v="10"/>
    <x v="0"/>
    <x v="0"/>
    <x v="2"/>
    <x v="5"/>
    <x v="60"/>
    <x v="55"/>
    <x v="0"/>
    <x v="1"/>
    <x v="51"/>
    <x v="7"/>
    <x v="23"/>
    <x v="7"/>
    <x v="0"/>
    <x v="0"/>
    <x v="77"/>
    <x v="75"/>
    <x v="8"/>
    <x v="76"/>
    <x v="0"/>
    <x v="8"/>
    <x v="0"/>
    <x v="0"/>
    <x v="11"/>
    <x v="0"/>
    <x v="7"/>
  </r>
  <r>
    <x v="6"/>
    <x v="77"/>
    <x v="78"/>
    <x v="78"/>
    <x v="78"/>
    <x v="16"/>
    <x v="15"/>
    <x v="3"/>
    <x v="0"/>
    <x v="2"/>
    <x v="2"/>
    <x v="64"/>
    <x v="65"/>
    <x v="0"/>
    <x v="1"/>
    <x v="52"/>
    <x v="34"/>
    <x v="34"/>
    <x v="9"/>
    <x v="0"/>
    <x v="3"/>
    <x v="78"/>
    <x v="76"/>
    <x v="11"/>
    <x v="77"/>
    <x v="0"/>
    <x v="10"/>
    <x v="0"/>
    <x v="0"/>
    <x v="13"/>
    <x v="0"/>
    <x v="8"/>
  </r>
  <r>
    <x v="7"/>
    <x v="78"/>
    <x v="79"/>
    <x v="79"/>
    <x v="79"/>
    <x v="7"/>
    <x v="7"/>
    <x v="1"/>
    <x v="0"/>
    <x v="2"/>
    <x v="1"/>
    <x v="61"/>
    <x v="66"/>
    <x v="0"/>
    <x v="1"/>
    <x v="53"/>
    <x v="5"/>
    <x v="35"/>
    <x v="2"/>
    <x v="0"/>
    <x v="2"/>
    <x v="79"/>
    <x v="77"/>
    <x v="7"/>
    <x v="78"/>
    <x v="1"/>
    <x v="2"/>
    <x v="0"/>
    <x v="0"/>
    <x v="4"/>
    <x v="0"/>
    <x v="2"/>
  </r>
  <r>
    <x v="8"/>
    <x v="79"/>
    <x v="80"/>
    <x v="80"/>
    <x v="80"/>
    <x v="71"/>
    <x v="10"/>
    <x v="0"/>
    <x v="0"/>
    <x v="2"/>
    <x v="0"/>
    <x v="65"/>
    <x v="67"/>
    <x v="2"/>
    <x v="1"/>
    <x v="54"/>
    <x v="4"/>
    <x v="18"/>
    <x v="5"/>
    <x v="0"/>
    <x v="0"/>
    <x v="80"/>
    <x v="78"/>
    <x v="3"/>
    <x v="79"/>
    <x v="0"/>
    <x v="5"/>
    <x v="0"/>
    <x v="0"/>
    <x v="8"/>
    <x v="0"/>
    <x v="5"/>
  </r>
  <r>
    <x v="8"/>
    <x v="80"/>
    <x v="81"/>
    <x v="81"/>
    <x v="81"/>
    <x v="72"/>
    <x v="13"/>
    <x v="0"/>
    <x v="0"/>
    <x v="2"/>
    <x v="0"/>
    <x v="36"/>
    <x v="68"/>
    <x v="0"/>
    <x v="1"/>
    <x v="55"/>
    <x v="35"/>
    <x v="23"/>
    <x v="3"/>
    <x v="0"/>
    <x v="0"/>
    <x v="81"/>
    <x v="79"/>
    <x v="5"/>
    <x v="80"/>
    <x v="0"/>
    <x v="3"/>
    <x v="0"/>
    <x v="0"/>
    <x v="5"/>
    <x v="0"/>
    <x v="3"/>
  </r>
  <r>
    <x v="8"/>
    <x v="81"/>
    <x v="82"/>
    <x v="82"/>
    <x v="82"/>
    <x v="73"/>
    <x v="6"/>
    <x v="0"/>
    <x v="0"/>
    <x v="2"/>
    <x v="0"/>
    <x v="10"/>
    <x v="69"/>
    <x v="38"/>
    <x v="2"/>
    <x v="56"/>
    <x v="36"/>
    <x v="36"/>
    <x v="3"/>
    <x v="0"/>
    <x v="0"/>
    <x v="82"/>
    <x v="80"/>
    <x v="5"/>
    <x v="81"/>
    <x v="0"/>
    <x v="3"/>
    <x v="0"/>
    <x v="0"/>
    <x v="5"/>
    <x v="0"/>
    <x v="3"/>
  </r>
  <r>
    <x v="9"/>
    <x v="82"/>
    <x v="83"/>
    <x v="83"/>
    <x v="83"/>
    <x v="74"/>
    <x v="4"/>
    <x v="1"/>
    <x v="0"/>
    <x v="2"/>
    <x v="1"/>
    <x v="66"/>
    <x v="7"/>
    <x v="39"/>
    <x v="1"/>
    <x v="57"/>
    <x v="4"/>
    <x v="18"/>
    <x v="2"/>
    <x v="0"/>
    <x v="0"/>
    <x v="83"/>
    <x v="81"/>
    <x v="5"/>
    <x v="82"/>
    <x v="1"/>
    <x v="7"/>
    <x v="0"/>
    <x v="0"/>
    <x v="10"/>
    <x v="0"/>
    <x v="2"/>
  </r>
  <r>
    <x v="9"/>
    <x v="83"/>
    <x v="84"/>
    <x v="84"/>
    <x v="84"/>
    <x v="75"/>
    <x v="1"/>
    <x v="1"/>
    <x v="0"/>
    <x v="2"/>
    <x v="2"/>
    <x v="67"/>
    <x v="70"/>
    <x v="40"/>
    <x v="21"/>
    <x v="58"/>
    <x v="3"/>
    <x v="8"/>
    <x v="2"/>
    <x v="0"/>
    <x v="0"/>
    <x v="84"/>
    <x v="82"/>
    <x v="4"/>
    <x v="83"/>
    <x v="0"/>
    <x v="2"/>
    <x v="0"/>
    <x v="0"/>
    <x v="3"/>
    <x v="0"/>
    <x v="2"/>
  </r>
  <r>
    <x v="9"/>
    <x v="84"/>
    <x v="85"/>
    <x v="85"/>
    <x v="85"/>
    <x v="76"/>
    <x v="1"/>
    <x v="1"/>
    <x v="0"/>
    <x v="2"/>
    <x v="2"/>
    <x v="68"/>
    <x v="71"/>
    <x v="41"/>
    <x v="22"/>
    <x v="58"/>
    <x v="3"/>
    <x v="8"/>
    <x v="2"/>
    <x v="0"/>
    <x v="0"/>
    <x v="85"/>
    <x v="83"/>
    <x v="4"/>
    <x v="84"/>
    <x v="0"/>
    <x v="2"/>
    <x v="0"/>
    <x v="0"/>
    <x v="3"/>
    <x v="0"/>
    <x v="2"/>
  </r>
  <r>
    <x v="9"/>
    <x v="85"/>
    <x v="86"/>
    <x v="86"/>
    <x v="86"/>
    <x v="77"/>
    <x v="6"/>
    <x v="1"/>
    <x v="0"/>
    <x v="2"/>
    <x v="2"/>
    <x v="5"/>
    <x v="72"/>
    <x v="0"/>
    <x v="1"/>
    <x v="2"/>
    <x v="4"/>
    <x v="8"/>
    <x v="9"/>
    <x v="0"/>
    <x v="0"/>
    <x v="86"/>
    <x v="84"/>
    <x v="3"/>
    <x v="85"/>
    <x v="0"/>
    <x v="2"/>
    <x v="0"/>
    <x v="0"/>
    <x v="3"/>
    <x v="0"/>
    <x v="2"/>
  </r>
  <r>
    <x v="9"/>
    <x v="86"/>
    <x v="87"/>
    <x v="87"/>
    <x v="87"/>
    <x v="16"/>
    <x v="7"/>
    <x v="3"/>
    <x v="0"/>
    <x v="2"/>
    <x v="2"/>
    <x v="69"/>
    <x v="73"/>
    <x v="42"/>
    <x v="23"/>
    <x v="59"/>
    <x v="4"/>
    <x v="8"/>
    <x v="2"/>
    <x v="0"/>
    <x v="0"/>
    <x v="87"/>
    <x v="85"/>
    <x v="4"/>
    <x v="86"/>
    <x v="0"/>
    <x v="2"/>
    <x v="0"/>
    <x v="0"/>
    <x v="3"/>
    <x v="0"/>
    <x v="2"/>
  </r>
  <r>
    <x v="9"/>
    <x v="87"/>
    <x v="88"/>
    <x v="88"/>
    <x v="88"/>
    <x v="16"/>
    <x v="1"/>
    <x v="1"/>
    <x v="0"/>
    <x v="2"/>
    <x v="2"/>
    <x v="70"/>
    <x v="74"/>
    <x v="11"/>
    <x v="2"/>
    <x v="58"/>
    <x v="3"/>
    <x v="37"/>
    <x v="2"/>
    <x v="0"/>
    <x v="0"/>
    <x v="88"/>
    <x v="86"/>
    <x v="3"/>
    <x v="87"/>
    <x v="0"/>
    <x v="2"/>
    <x v="0"/>
    <x v="0"/>
    <x v="3"/>
    <x v="0"/>
    <x v="2"/>
  </r>
  <r>
    <x v="9"/>
    <x v="88"/>
    <x v="89"/>
    <x v="89"/>
    <x v="89"/>
    <x v="7"/>
    <x v="1"/>
    <x v="1"/>
    <x v="0"/>
    <x v="2"/>
    <x v="2"/>
    <x v="71"/>
    <x v="75"/>
    <x v="27"/>
    <x v="2"/>
    <x v="58"/>
    <x v="6"/>
    <x v="8"/>
    <x v="2"/>
    <x v="0"/>
    <x v="0"/>
    <x v="89"/>
    <x v="87"/>
    <x v="5"/>
    <x v="88"/>
    <x v="0"/>
    <x v="2"/>
    <x v="0"/>
    <x v="0"/>
    <x v="3"/>
    <x v="0"/>
    <x v="2"/>
  </r>
  <r>
    <x v="9"/>
    <x v="89"/>
    <x v="90"/>
    <x v="90"/>
    <x v="90"/>
    <x v="7"/>
    <x v="7"/>
    <x v="3"/>
    <x v="0"/>
    <x v="2"/>
    <x v="2"/>
    <x v="72"/>
    <x v="76"/>
    <x v="43"/>
    <x v="2"/>
    <x v="59"/>
    <x v="6"/>
    <x v="8"/>
    <x v="2"/>
    <x v="0"/>
    <x v="0"/>
    <x v="90"/>
    <x v="88"/>
    <x v="1"/>
    <x v="89"/>
    <x v="0"/>
    <x v="2"/>
    <x v="0"/>
    <x v="0"/>
    <x v="3"/>
    <x v="0"/>
    <x v="2"/>
  </r>
  <r>
    <x v="9"/>
    <x v="90"/>
    <x v="91"/>
    <x v="91"/>
    <x v="91"/>
    <x v="14"/>
    <x v="6"/>
    <x v="1"/>
    <x v="0"/>
    <x v="2"/>
    <x v="2"/>
    <x v="67"/>
    <x v="77"/>
    <x v="0"/>
    <x v="1"/>
    <x v="60"/>
    <x v="6"/>
    <x v="38"/>
    <x v="2"/>
    <x v="0"/>
    <x v="0"/>
    <x v="91"/>
    <x v="89"/>
    <x v="4"/>
    <x v="90"/>
    <x v="0"/>
    <x v="2"/>
    <x v="0"/>
    <x v="0"/>
    <x v="4"/>
    <x v="0"/>
    <x v="2"/>
  </r>
  <r>
    <x v="9"/>
    <x v="91"/>
    <x v="92"/>
    <x v="92"/>
    <x v="92"/>
    <x v="16"/>
    <x v="1"/>
    <x v="1"/>
    <x v="0"/>
    <x v="2"/>
    <x v="2"/>
    <x v="73"/>
    <x v="70"/>
    <x v="44"/>
    <x v="24"/>
    <x v="61"/>
    <x v="37"/>
    <x v="8"/>
    <x v="9"/>
    <x v="0"/>
    <x v="0"/>
    <x v="92"/>
    <x v="90"/>
    <x v="8"/>
    <x v="91"/>
    <x v="0"/>
    <x v="2"/>
    <x v="0"/>
    <x v="0"/>
    <x v="3"/>
    <x v="0"/>
    <x v="8"/>
  </r>
  <r>
    <x v="9"/>
    <x v="92"/>
    <x v="93"/>
    <x v="93"/>
    <x v="93"/>
    <x v="16"/>
    <x v="1"/>
    <x v="6"/>
    <x v="0"/>
    <x v="2"/>
    <x v="2"/>
    <x v="67"/>
    <x v="70"/>
    <x v="40"/>
    <x v="2"/>
    <x v="61"/>
    <x v="38"/>
    <x v="8"/>
    <x v="9"/>
    <x v="0"/>
    <x v="0"/>
    <x v="93"/>
    <x v="91"/>
    <x v="3"/>
    <x v="92"/>
    <x v="0"/>
    <x v="2"/>
    <x v="0"/>
    <x v="0"/>
    <x v="3"/>
    <x v="0"/>
    <x v="8"/>
  </r>
  <r>
    <x v="9"/>
    <x v="93"/>
    <x v="94"/>
    <x v="94"/>
    <x v="94"/>
    <x v="16"/>
    <x v="1"/>
    <x v="1"/>
    <x v="0"/>
    <x v="2"/>
    <x v="2"/>
    <x v="74"/>
    <x v="75"/>
    <x v="40"/>
    <x v="2"/>
    <x v="2"/>
    <x v="39"/>
    <x v="8"/>
    <x v="9"/>
    <x v="0"/>
    <x v="0"/>
    <x v="94"/>
    <x v="91"/>
    <x v="4"/>
    <x v="92"/>
    <x v="0"/>
    <x v="2"/>
    <x v="0"/>
    <x v="0"/>
    <x v="3"/>
    <x v="0"/>
    <x v="8"/>
  </r>
  <r>
    <x v="9"/>
    <x v="94"/>
    <x v="95"/>
    <x v="95"/>
    <x v="95"/>
    <x v="78"/>
    <x v="8"/>
    <x v="1"/>
    <x v="0"/>
    <x v="2"/>
    <x v="2"/>
    <x v="75"/>
    <x v="78"/>
    <x v="45"/>
    <x v="2"/>
    <x v="2"/>
    <x v="7"/>
    <x v="8"/>
    <x v="9"/>
    <x v="0"/>
    <x v="0"/>
    <x v="95"/>
    <x v="91"/>
    <x v="3"/>
    <x v="93"/>
    <x v="0"/>
    <x v="2"/>
    <x v="0"/>
    <x v="0"/>
    <x v="3"/>
    <x v="0"/>
    <x v="8"/>
  </r>
  <r>
    <x v="9"/>
    <x v="95"/>
    <x v="96"/>
    <x v="96"/>
    <x v="96"/>
    <x v="16"/>
    <x v="1"/>
    <x v="1"/>
    <x v="0"/>
    <x v="2"/>
    <x v="2"/>
    <x v="30"/>
    <x v="70"/>
    <x v="40"/>
    <x v="1"/>
    <x v="61"/>
    <x v="39"/>
    <x v="8"/>
    <x v="9"/>
    <x v="0"/>
    <x v="0"/>
    <x v="96"/>
    <x v="92"/>
    <x v="1"/>
    <x v="94"/>
    <x v="0"/>
    <x v="2"/>
    <x v="0"/>
    <x v="0"/>
    <x v="3"/>
    <x v="0"/>
    <x v="8"/>
  </r>
  <r>
    <x v="9"/>
    <x v="96"/>
    <x v="97"/>
    <x v="97"/>
    <x v="97"/>
    <x v="16"/>
    <x v="1"/>
    <x v="1"/>
    <x v="0"/>
    <x v="2"/>
    <x v="2"/>
    <x v="76"/>
    <x v="79"/>
    <x v="46"/>
    <x v="2"/>
    <x v="2"/>
    <x v="7"/>
    <x v="8"/>
    <x v="9"/>
    <x v="0"/>
    <x v="0"/>
    <x v="97"/>
    <x v="91"/>
    <x v="3"/>
    <x v="95"/>
    <x v="0"/>
    <x v="2"/>
    <x v="0"/>
    <x v="0"/>
    <x v="3"/>
    <x v="0"/>
    <x v="8"/>
  </r>
  <r>
    <x v="9"/>
    <x v="97"/>
    <x v="98"/>
    <x v="98"/>
    <x v="98"/>
    <x v="79"/>
    <x v="1"/>
    <x v="6"/>
    <x v="0"/>
    <x v="2"/>
    <x v="2"/>
    <x v="77"/>
    <x v="79"/>
    <x v="47"/>
    <x v="2"/>
    <x v="2"/>
    <x v="7"/>
    <x v="8"/>
    <x v="9"/>
    <x v="0"/>
    <x v="0"/>
    <x v="98"/>
    <x v="93"/>
    <x v="3"/>
    <x v="96"/>
    <x v="0"/>
    <x v="2"/>
    <x v="0"/>
    <x v="0"/>
    <x v="3"/>
    <x v="0"/>
    <x v="8"/>
  </r>
  <r>
    <x v="9"/>
    <x v="98"/>
    <x v="99"/>
    <x v="99"/>
    <x v="99"/>
    <x v="7"/>
    <x v="10"/>
    <x v="1"/>
    <x v="0"/>
    <x v="2"/>
    <x v="2"/>
    <x v="78"/>
    <x v="80"/>
    <x v="48"/>
    <x v="25"/>
    <x v="62"/>
    <x v="40"/>
    <x v="8"/>
    <x v="9"/>
    <x v="0"/>
    <x v="0"/>
    <x v="99"/>
    <x v="94"/>
    <x v="8"/>
    <x v="97"/>
    <x v="0"/>
    <x v="2"/>
    <x v="0"/>
    <x v="0"/>
    <x v="3"/>
    <x v="0"/>
    <x v="8"/>
  </r>
  <r>
    <x v="9"/>
    <x v="99"/>
    <x v="100"/>
    <x v="100"/>
    <x v="100"/>
    <x v="80"/>
    <x v="16"/>
    <x v="1"/>
    <x v="0"/>
    <x v="2"/>
    <x v="2"/>
    <x v="79"/>
    <x v="81"/>
    <x v="0"/>
    <x v="1"/>
    <x v="63"/>
    <x v="41"/>
    <x v="39"/>
    <x v="9"/>
    <x v="0"/>
    <x v="0"/>
    <x v="100"/>
    <x v="95"/>
    <x v="4"/>
    <x v="98"/>
    <x v="0"/>
    <x v="10"/>
    <x v="0"/>
    <x v="0"/>
    <x v="13"/>
    <x v="0"/>
    <x v="8"/>
  </r>
  <r>
    <x v="9"/>
    <x v="100"/>
    <x v="101"/>
    <x v="101"/>
    <x v="101"/>
    <x v="81"/>
    <x v="1"/>
    <x v="3"/>
    <x v="0"/>
    <x v="4"/>
    <x v="6"/>
    <x v="80"/>
    <x v="82"/>
    <x v="49"/>
    <x v="1"/>
    <x v="64"/>
    <x v="42"/>
    <x v="40"/>
    <x v="9"/>
    <x v="0"/>
    <x v="0"/>
    <x v="101"/>
    <x v="96"/>
    <x v="10"/>
    <x v="99"/>
    <x v="0"/>
    <x v="10"/>
    <x v="0"/>
    <x v="0"/>
    <x v="13"/>
    <x v="0"/>
    <x v="8"/>
  </r>
  <r>
    <x v="10"/>
    <x v="101"/>
    <x v="102"/>
    <x v="102"/>
    <x v="102"/>
    <x v="82"/>
    <x v="9"/>
    <x v="0"/>
    <x v="0"/>
    <x v="2"/>
    <x v="0"/>
    <x v="81"/>
    <x v="83"/>
    <x v="0"/>
    <x v="1"/>
    <x v="65"/>
    <x v="43"/>
    <x v="19"/>
    <x v="1"/>
    <x v="0"/>
    <x v="0"/>
    <x v="102"/>
    <x v="97"/>
    <x v="5"/>
    <x v="100"/>
    <x v="2"/>
    <x v="1"/>
    <x v="0"/>
    <x v="0"/>
    <x v="2"/>
    <x v="0"/>
    <x v="1"/>
  </r>
  <r>
    <x v="11"/>
    <x v="102"/>
    <x v="103"/>
    <x v="103"/>
    <x v="103"/>
    <x v="16"/>
    <x v="7"/>
    <x v="3"/>
    <x v="0"/>
    <x v="2"/>
    <x v="2"/>
    <x v="82"/>
    <x v="84"/>
    <x v="42"/>
    <x v="26"/>
    <x v="66"/>
    <x v="5"/>
    <x v="23"/>
    <x v="1"/>
    <x v="7"/>
    <x v="0"/>
    <x v="103"/>
    <x v="98"/>
    <x v="4"/>
    <x v="101"/>
    <x v="0"/>
    <x v="2"/>
    <x v="0"/>
    <x v="0"/>
    <x v="3"/>
    <x v="0"/>
    <x v="1"/>
  </r>
  <r>
    <x v="12"/>
    <x v="103"/>
    <x v="104"/>
    <x v="104"/>
    <x v="104"/>
    <x v="83"/>
    <x v="15"/>
    <x v="3"/>
    <x v="0"/>
    <x v="6"/>
    <x v="7"/>
    <x v="83"/>
    <x v="85"/>
    <x v="0"/>
    <x v="1"/>
    <x v="67"/>
    <x v="44"/>
    <x v="31"/>
    <x v="10"/>
    <x v="0"/>
    <x v="0"/>
    <x v="104"/>
    <x v="99"/>
    <x v="2"/>
    <x v="102"/>
    <x v="0"/>
    <x v="11"/>
    <x v="0"/>
    <x v="0"/>
    <x v="14"/>
    <x v="0"/>
    <x v="2"/>
  </r>
  <r>
    <x v="13"/>
    <x v="104"/>
    <x v="105"/>
    <x v="105"/>
    <x v="105"/>
    <x v="16"/>
    <x v="1"/>
    <x v="1"/>
    <x v="0"/>
    <x v="2"/>
    <x v="2"/>
    <x v="84"/>
    <x v="70"/>
    <x v="40"/>
    <x v="2"/>
    <x v="61"/>
    <x v="45"/>
    <x v="8"/>
    <x v="9"/>
    <x v="0"/>
    <x v="0"/>
    <x v="105"/>
    <x v="100"/>
    <x v="4"/>
    <x v="103"/>
    <x v="0"/>
    <x v="2"/>
    <x v="0"/>
    <x v="0"/>
    <x v="3"/>
    <x v="0"/>
    <x v="8"/>
  </r>
  <r>
    <x v="14"/>
    <x v="105"/>
    <x v="106"/>
    <x v="106"/>
    <x v="106"/>
    <x v="16"/>
    <x v="6"/>
    <x v="1"/>
    <x v="0"/>
    <x v="2"/>
    <x v="2"/>
    <x v="10"/>
    <x v="86"/>
    <x v="6"/>
    <x v="27"/>
    <x v="68"/>
    <x v="2"/>
    <x v="8"/>
    <x v="2"/>
    <x v="0"/>
    <x v="0"/>
    <x v="106"/>
    <x v="101"/>
    <x v="4"/>
    <x v="104"/>
    <x v="0"/>
    <x v="2"/>
    <x v="0"/>
    <x v="0"/>
    <x v="3"/>
    <x v="0"/>
    <x v="2"/>
  </r>
  <r>
    <x v="14"/>
    <x v="106"/>
    <x v="107"/>
    <x v="107"/>
    <x v="107"/>
    <x v="16"/>
    <x v="6"/>
    <x v="1"/>
    <x v="0"/>
    <x v="2"/>
    <x v="2"/>
    <x v="5"/>
    <x v="87"/>
    <x v="50"/>
    <x v="28"/>
    <x v="2"/>
    <x v="4"/>
    <x v="8"/>
    <x v="2"/>
    <x v="0"/>
    <x v="0"/>
    <x v="107"/>
    <x v="102"/>
    <x v="5"/>
    <x v="105"/>
    <x v="0"/>
    <x v="2"/>
    <x v="0"/>
    <x v="0"/>
    <x v="3"/>
    <x v="0"/>
    <x v="2"/>
  </r>
  <r>
    <x v="14"/>
    <x v="107"/>
    <x v="108"/>
    <x v="108"/>
    <x v="108"/>
    <x v="14"/>
    <x v="7"/>
    <x v="1"/>
    <x v="0"/>
    <x v="2"/>
    <x v="2"/>
    <x v="0"/>
    <x v="88"/>
    <x v="0"/>
    <x v="1"/>
    <x v="13"/>
    <x v="3"/>
    <x v="41"/>
    <x v="2"/>
    <x v="0"/>
    <x v="0"/>
    <x v="108"/>
    <x v="103"/>
    <x v="4"/>
    <x v="106"/>
    <x v="0"/>
    <x v="2"/>
    <x v="0"/>
    <x v="0"/>
    <x v="4"/>
    <x v="0"/>
    <x v="2"/>
  </r>
  <r>
    <x v="15"/>
    <x v="108"/>
    <x v="109"/>
    <x v="109"/>
    <x v="109"/>
    <x v="84"/>
    <x v="1"/>
    <x v="1"/>
    <x v="0"/>
    <x v="2"/>
    <x v="2"/>
    <x v="85"/>
    <x v="75"/>
    <x v="40"/>
    <x v="2"/>
    <x v="69"/>
    <x v="46"/>
    <x v="42"/>
    <x v="9"/>
    <x v="7"/>
    <x v="0"/>
    <x v="109"/>
    <x v="104"/>
    <x v="4"/>
    <x v="107"/>
    <x v="0"/>
    <x v="2"/>
    <x v="0"/>
    <x v="0"/>
    <x v="3"/>
    <x v="0"/>
    <x v="2"/>
  </r>
  <r>
    <x v="15"/>
    <x v="109"/>
    <x v="110"/>
    <x v="110"/>
    <x v="110"/>
    <x v="16"/>
    <x v="6"/>
    <x v="1"/>
    <x v="0"/>
    <x v="2"/>
    <x v="2"/>
    <x v="86"/>
    <x v="89"/>
    <x v="51"/>
    <x v="29"/>
    <x v="22"/>
    <x v="7"/>
    <x v="8"/>
    <x v="2"/>
    <x v="8"/>
    <x v="0"/>
    <x v="110"/>
    <x v="105"/>
    <x v="4"/>
    <x v="108"/>
    <x v="0"/>
    <x v="2"/>
    <x v="0"/>
    <x v="0"/>
    <x v="3"/>
    <x v="0"/>
    <x v="2"/>
  </r>
  <r>
    <x v="15"/>
    <x v="110"/>
    <x v="111"/>
    <x v="111"/>
    <x v="111"/>
    <x v="85"/>
    <x v="6"/>
    <x v="1"/>
    <x v="0"/>
    <x v="5"/>
    <x v="2"/>
    <x v="87"/>
    <x v="9"/>
    <x v="6"/>
    <x v="30"/>
    <x v="22"/>
    <x v="7"/>
    <x v="8"/>
    <x v="9"/>
    <x v="7"/>
    <x v="0"/>
    <x v="111"/>
    <x v="106"/>
    <x v="4"/>
    <x v="109"/>
    <x v="0"/>
    <x v="2"/>
    <x v="0"/>
    <x v="0"/>
    <x v="3"/>
    <x v="0"/>
    <x v="2"/>
  </r>
  <r>
    <x v="15"/>
    <x v="111"/>
    <x v="112"/>
    <x v="112"/>
    <x v="112"/>
    <x v="86"/>
    <x v="6"/>
    <x v="1"/>
    <x v="0"/>
    <x v="2"/>
    <x v="0"/>
    <x v="16"/>
    <x v="90"/>
    <x v="0"/>
    <x v="1"/>
    <x v="70"/>
    <x v="47"/>
    <x v="17"/>
    <x v="1"/>
    <x v="0"/>
    <x v="0"/>
    <x v="112"/>
    <x v="107"/>
    <x v="9"/>
    <x v="110"/>
    <x v="1"/>
    <x v="1"/>
    <x v="0"/>
    <x v="0"/>
    <x v="2"/>
    <x v="0"/>
    <x v="1"/>
  </r>
  <r>
    <x v="15"/>
    <x v="112"/>
    <x v="113"/>
    <x v="113"/>
    <x v="113"/>
    <x v="87"/>
    <x v="1"/>
    <x v="0"/>
    <x v="0"/>
    <x v="2"/>
    <x v="5"/>
    <x v="88"/>
    <x v="91"/>
    <x v="8"/>
    <x v="1"/>
    <x v="2"/>
    <x v="29"/>
    <x v="12"/>
    <x v="7"/>
    <x v="0"/>
    <x v="0"/>
    <x v="113"/>
    <x v="108"/>
    <x v="1"/>
    <x v="111"/>
    <x v="0"/>
    <x v="8"/>
    <x v="0"/>
    <x v="0"/>
    <x v="11"/>
    <x v="0"/>
    <x v="7"/>
  </r>
  <r>
    <x v="15"/>
    <x v="113"/>
    <x v="114"/>
    <x v="114"/>
    <x v="114"/>
    <x v="88"/>
    <x v="1"/>
    <x v="0"/>
    <x v="0"/>
    <x v="2"/>
    <x v="5"/>
    <x v="49"/>
    <x v="92"/>
    <x v="0"/>
    <x v="1"/>
    <x v="71"/>
    <x v="48"/>
    <x v="43"/>
    <x v="8"/>
    <x v="0"/>
    <x v="0"/>
    <x v="114"/>
    <x v="109"/>
    <x v="5"/>
    <x v="112"/>
    <x v="1"/>
    <x v="9"/>
    <x v="0"/>
    <x v="0"/>
    <x v="15"/>
    <x v="0"/>
    <x v="9"/>
  </r>
  <r>
    <x v="15"/>
    <x v="114"/>
    <x v="115"/>
    <x v="115"/>
    <x v="115"/>
    <x v="89"/>
    <x v="13"/>
    <x v="0"/>
    <x v="0"/>
    <x v="2"/>
    <x v="0"/>
    <x v="8"/>
    <x v="93"/>
    <x v="52"/>
    <x v="1"/>
    <x v="72"/>
    <x v="4"/>
    <x v="4"/>
    <x v="0"/>
    <x v="0"/>
    <x v="0"/>
    <x v="115"/>
    <x v="110"/>
    <x v="1"/>
    <x v="113"/>
    <x v="0"/>
    <x v="0"/>
    <x v="0"/>
    <x v="0"/>
    <x v="0"/>
    <x v="0"/>
    <x v="0"/>
  </r>
  <r>
    <x v="15"/>
    <x v="115"/>
    <x v="116"/>
    <x v="116"/>
    <x v="116"/>
    <x v="90"/>
    <x v="6"/>
    <x v="0"/>
    <x v="0"/>
    <x v="2"/>
    <x v="5"/>
    <x v="16"/>
    <x v="94"/>
    <x v="0"/>
    <x v="31"/>
    <x v="2"/>
    <x v="49"/>
    <x v="44"/>
    <x v="7"/>
    <x v="0"/>
    <x v="0"/>
    <x v="116"/>
    <x v="111"/>
    <x v="8"/>
    <x v="114"/>
    <x v="0"/>
    <x v="8"/>
    <x v="0"/>
    <x v="0"/>
    <x v="11"/>
    <x v="0"/>
    <x v="7"/>
  </r>
  <r>
    <x v="15"/>
    <x v="116"/>
    <x v="117"/>
    <x v="117"/>
    <x v="117"/>
    <x v="91"/>
    <x v="10"/>
    <x v="0"/>
    <x v="0"/>
    <x v="2"/>
    <x v="0"/>
    <x v="89"/>
    <x v="95"/>
    <x v="3"/>
    <x v="1"/>
    <x v="73"/>
    <x v="7"/>
    <x v="5"/>
    <x v="0"/>
    <x v="2"/>
    <x v="0"/>
    <x v="117"/>
    <x v="112"/>
    <x v="5"/>
    <x v="115"/>
    <x v="1"/>
    <x v="0"/>
    <x v="0"/>
    <x v="0"/>
    <x v="0"/>
    <x v="0"/>
    <x v="0"/>
  </r>
  <r>
    <x v="15"/>
    <x v="117"/>
    <x v="118"/>
    <x v="118"/>
    <x v="118"/>
    <x v="92"/>
    <x v="10"/>
    <x v="0"/>
    <x v="0"/>
    <x v="2"/>
    <x v="0"/>
    <x v="11"/>
    <x v="96"/>
    <x v="53"/>
    <x v="32"/>
    <x v="74"/>
    <x v="4"/>
    <x v="5"/>
    <x v="0"/>
    <x v="0"/>
    <x v="0"/>
    <x v="118"/>
    <x v="113"/>
    <x v="5"/>
    <x v="116"/>
    <x v="1"/>
    <x v="0"/>
    <x v="0"/>
    <x v="0"/>
    <x v="0"/>
    <x v="0"/>
    <x v="0"/>
  </r>
  <r>
    <x v="15"/>
    <x v="118"/>
    <x v="119"/>
    <x v="119"/>
    <x v="119"/>
    <x v="93"/>
    <x v="10"/>
    <x v="0"/>
    <x v="0"/>
    <x v="2"/>
    <x v="0"/>
    <x v="90"/>
    <x v="97"/>
    <x v="0"/>
    <x v="1"/>
    <x v="75"/>
    <x v="16"/>
    <x v="19"/>
    <x v="0"/>
    <x v="0"/>
    <x v="0"/>
    <x v="119"/>
    <x v="114"/>
    <x v="5"/>
    <x v="117"/>
    <x v="1"/>
    <x v="0"/>
    <x v="0"/>
    <x v="0"/>
    <x v="0"/>
    <x v="0"/>
    <x v="0"/>
  </r>
  <r>
    <x v="15"/>
    <x v="119"/>
    <x v="120"/>
    <x v="120"/>
    <x v="120"/>
    <x v="94"/>
    <x v="10"/>
    <x v="0"/>
    <x v="0"/>
    <x v="2"/>
    <x v="0"/>
    <x v="91"/>
    <x v="97"/>
    <x v="0"/>
    <x v="1"/>
    <x v="74"/>
    <x v="3"/>
    <x v="19"/>
    <x v="0"/>
    <x v="0"/>
    <x v="0"/>
    <x v="120"/>
    <x v="114"/>
    <x v="5"/>
    <x v="117"/>
    <x v="1"/>
    <x v="0"/>
    <x v="0"/>
    <x v="0"/>
    <x v="0"/>
    <x v="0"/>
    <x v="0"/>
  </r>
  <r>
    <x v="15"/>
    <x v="120"/>
    <x v="121"/>
    <x v="121"/>
    <x v="121"/>
    <x v="95"/>
    <x v="10"/>
    <x v="0"/>
    <x v="0"/>
    <x v="2"/>
    <x v="0"/>
    <x v="92"/>
    <x v="97"/>
    <x v="0"/>
    <x v="1"/>
    <x v="76"/>
    <x v="6"/>
    <x v="12"/>
    <x v="0"/>
    <x v="0"/>
    <x v="0"/>
    <x v="120"/>
    <x v="115"/>
    <x v="5"/>
    <x v="117"/>
    <x v="1"/>
    <x v="0"/>
    <x v="0"/>
    <x v="0"/>
    <x v="0"/>
    <x v="0"/>
    <x v="0"/>
  </r>
  <r>
    <x v="15"/>
    <x v="121"/>
    <x v="122"/>
    <x v="122"/>
    <x v="122"/>
    <x v="96"/>
    <x v="10"/>
    <x v="0"/>
    <x v="0"/>
    <x v="2"/>
    <x v="0"/>
    <x v="11"/>
    <x v="97"/>
    <x v="0"/>
    <x v="1"/>
    <x v="76"/>
    <x v="4"/>
    <x v="12"/>
    <x v="0"/>
    <x v="0"/>
    <x v="0"/>
    <x v="121"/>
    <x v="116"/>
    <x v="5"/>
    <x v="118"/>
    <x v="1"/>
    <x v="0"/>
    <x v="0"/>
    <x v="0"/>
    <x v="0"/>
    <x v="0"/>
    <x v="0"/>
  </r>
  <r>
    <x v="15"/>
    <x v="122"/>
    <x v="123"/>
    <x v="123"/>
    <x v="123"/>
    <x v="97"/>
    <x v="1"/>
    <x v="0"/>
    <x v="0"/>
    <x v="2"/>
    <x v="1"/>
    <x v="93"/>
    <x v="98"/>
    <x v="0"/>
    <x v="1"/>
    <x v="74"/>
    <x v="50"/>
    <x v="4"/>
    <x v="6"/>
    <x v="0"/>
    <x v="0"/>
    <x v="122"/>
    <x v="117"/>
    <x v="5"/>
    <x v="119"/>
    <x v="0"/>
    <x v="6"/>
    <x v="0"/>
    <x v="0"/>
    <x v="9"/>
    <x v="0"/>
    <x v="6"/>
  </r>
  <r>
    <x v="15"/>
    <x v="123"/>
    <x v="124"/>
    <x v="124"/>
    <x v="124"/>
    <x v="98"/>
    <x v="7"/>
    <x v="0"/>
    <x v="0"/>
    <x v="2"/>
    <x v="8"/>
    <x v="94"/>
    <x v="99"/>
    <x v="54"/>
    <x v="33"/>
    <x v="77"/>
    <x v="51"/>
    <x v="5"/>
    <x v="11"/>
    <x v="0"/>
    <x v="0"/>
    <x v="123"/>
    <x v="118"/>
    <x v="11"/>
    <x v="120"/>
    <x v="1"/>
    <x v="12"/>
    <x v="0"/>
    <x v="0"/>
    <x v="16"/>
    <x v="0"/>
    <x v="2"/>
  </r>
  <r>
    <x v="15"/>
    <x v="124"/>
    <x v="125"/>
    <x v="125"/>
    <x v="125"/>
    <x v="99"/>
    <x v="4"/>
    <x v="0"/>
    <x v="1"/>
    <x v="1"/>
    <x v="1"/>
    <x v="88"/>
    <x v="100"/>
    <x v="54"/>
    <x v="1"/>
    <x v="78"/>
    <x v="16"/>
    <x v="2"/>
    <x v="12"/>
    <x v="0"/>
    <x v="0"/>
    <x v="124"/>
    <x v="119"/>
    <x v="4"/>
    <x v="121"/>
    <x v="1"/>
    <x v="7"/>
    <x v="0"/>
    <x v="0"/>
    <x v="17"/>
    <x v="0"/>
    <x v="2"/>
  </r>
  <r>
    <x v="15"/>
    <x v="125"/>
    <x v="126"/>
    <x v="126"/>
    <x v="126"/>
    <x v="100"/>
    <x v="5"/>
    <x v="0"/>
    <x v="0"/>
    <x v="3"/>
    <x v="5"/>
    <x v="95"/>
    <x v="101"/>
    <x v="47"/>
    <x v="2"/>
    <x v="2"/>
    <x v="33"/>
    <x v="6"/>
    <x v="8"/>
    <x v="6"/>
    <x v="5"/>
    <x v="125"/>
    <x v="120"/>
    <x v="6"/>
    <x v="122"/>
    <x v="0"/>
    <x v="9"/>
    <x v="0"/>
    <x v="0"/>
    <x v="1"/>
    <x v="0"/>
    <x v="9"/>
  </r>
  <r>
    <x v="16"/>
    <x v="126"/>
    <x v="127"/>
    <x v="127"/>
    <x v="127"/>
    <x v="7"/>
    <x v="11"/>
    <x v="5"/>
    <x v="0"/>
    <x v="2"/>
    <x v="5"/>
    <x v="96"/>
    <x v="102"/>
    <x v="0"/>
    <x v="1"/>
    <x v="2"/>
    <x v="52"/>
    <x v="14"/>
    <x v="7"/>
    <x v="0"/>
    <x v="0"/>
    <x v="126"/>
    <x v="121"/>
    <x v="10"/>
    <x v="123"/>
    <x v="0"/>
    <x v="8"/>
    <x v="0"/>
    <x v="0"/>
    <x v="11"/>
    <x v="0"/>
    <x v="7"/>
  </r>
  <r>
    <x v="17"/>
    <x v="127"/>
    <x v="128"/>
    <x v="128"/>
    <x v="128"/>
    <x v="101"/>
    <x v="12"/>
    <x v="5"/>
    <x v="0"/>
    <x v="2"/>
    <x v="2"/>
    <x v="5"/>
    <x v="103"/>
    <x v="55"/>
    <x v="34"/>
    <x v="79"/>
    <x v="53"/>
    <x v="4"/>
    <x v="9"/>
    <x v="0"/>
    <x v="0"/>
    <x v="127"/>
    <x v="122"/>
    <x v="4"/>
    <x v="124"/>
    <x v="1"/>
    <x v="2"/>
    <x v="0"/>
    <x v="0"/>
    <x v="18"/>
    <x v="0"/>
    <x v="8"/>
  </r>
  <r>
    <x v="18"/>
    <x v="128"/>
    <x v="129"/>
    <x v="129"/>
    <x v="129"/>
    <x v="102"/>
    <x v="2"/>
    <x v="2"/>
    <x v="0"/>
    <x v="2"/>
    <x v="5"/>
    <x v="97"/>
    <x v="64"/>
    <x v="37"/>
    <x v="1"/>
    <x v="2"/>
    <x v="44"/>
    <x v="18"/>
    <x v="8"/>
    <x v="6"/>
    <x v="0"/>
    <x v="128"/>
    <x v="123"/>
    <x v="10"/>
    <x v="125"/>
    <x v="0"/>
    <x v="8"/>
    <x v="0"/>
    <x v="0"/>
    <x v="11"/>
    <x v="0"/>
    <x v="7"/>
  </r>
  <r>
    <x v="19"/>
    <x v="129"/>
    <x v="130"/>
    <x v="130"/>
    <x v="130"/>
    <x v="103"/>
    <x v="14"/>
    <x v="2"/>
    <x v="0"/>
    <x v="2"/>
    <x v="5"/>
    <x v="5"/>
    <x v="104"/>
    <x v="0"/>
    <x v="1"/>
    <x v="74"/>
    <x v="54"/>
    <x v="28"/>
    <x v="8"/>
    <x v="0"/>
    <x v="0"/>
    <x v="129"/>
    <x v="124"/>
    <x v="11"/>
    <x v="126"/>
    <x v="1"/>
    <x v="9"/>
    <x v="0"/>
    <x v="0"/>
    <x v="18"/>
    <x v="0"/>
    <x v="9"/>
  </r>
  <r>
    <x v="20"/>
    <x v="125"/>
    <x v="131"/>
    <x v="131"/>
    <x v="131"/>
    <x v="7"/>
    <x v="5"/>
    <x v="4"/>
    <x v="0"/>
    <x v="3"/>
    <x v="0"/>
    <x v="8"/>
    <x v="105"/>
    <x v="0"/>
    <x v="1"/>
    <x v="2"/>
    <x v="47"/>
    <x v="25"/>
    <x v="1"/>
    <x v="9"/>
    <x v="4"/>
    <x v="130"/>
    <x v="125"/>
    <x v="5"/>
    <x v="127"/>
    <x v="1"/>
    <x v="1"/>
    <x v="0"/>
    <x v="0"/>
    <x v="1"/>
    <x v="0"/>
    <x v="1"/>
  </r>
  <r>
    <x v="21"/>
    <x v="130"/>
    <x v="132"/>
    <x v="132"/>
    <x v="132"/>
    <x v="104"/>
    <x v="2"/>
    <x v="2"/>
    <x v="0"/>
    <x v="2"/>
    <x v="0"/>
    <x v="92"/>
    <x v="106"/>
    <x v="0"/>
    <x v="1"/>
    <x v="75"/>
    <x v="55"/>
    <x v="12"/>
    <x v="0"/>
    <x v="0"/>
    <x v="0"/>
    <x v="131"/>
    <x v="126"/>
    <x v="5"/>
    <x v="128"/>
    <x v="1"/>
    <x v="0"/>
    <x v="0"/>
    <x v="0"/>
    <x v="0"/>
    <x v="0"/>
    <x v="0"/>
  </r>
  <r>
    <x v="22"/>
    <x v="131"/>
    <x v="133"/>
    <x v="133"/>
    <x v="133"/>
    <x v="105"/>
    <x v="2"/>
    <x v="2"/>
    <x v="0"/>
    <x v="2"/>
    <x v="5"/>
    <x v="7"/>
    <x v="107"/>
    <x v="56"/>
    <x v="1"/>
    <x v="2"/>
    <x v="56"/>
    <x v="18"/>
    <x v="8"/>
    <x v="0"/>
    <x v="0"/>
    <x v="132"/>
    <x v="127"/>
    <x v="4"/>
    <x v="129"/>
    <x v="1"/>
    <x v="9"/>
    <x v="0"/>
    <x v="0"/>
    <x v="15"/>
    <x v="0"/>
    <x v="9"/>
  </r>
  <r>
    <x v="23"/>
    <x v="132"/>
    <x v="134"/>
    <x v="134"/>
    <x v="134"/>
    <x v="106"/>
    <x v="17"/>
    <x v="7"/>
    <x v="2"/>
    <x v="2"/>
    <x v="9"/>
    <x v="98"/>
    <x v="108"/>
    <x v="0"/>
    <x v="1"/>
    <x v="80"/>
    <x v="57"/>
    <x v="45"/>
    <x v="13"/>
    <x v="0"/>
    <x v="0"/>
    <x v="133"/>
    <x v="128"/>
    <x v="12"/>
    <x v="130"/>
    <x v="3"/>
    <x v="13"/>
    <x v="0"/>
    <x v="1"/>
    <x v="19"/>
    <x v="1"/>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B13" firstHeaderRow="1" firstDataRow="1" firstDataCol="1" rowPageCount="1" colPageCount="1"/>
  <pivotFields count="32">
    <pivotField axis="axisPage" compact="0" multipleItemSelectionAllowed="1" showAll="0">
      <items count="25">
        <item h="1" x="22"/>
        <item h="1" x="21"/>
        <item h="1" x="20"/>
        <item h="1" x="19"/>
        <item h="1" x="18"/>
        <item h="1" x="17"/>
        <item h="1" x="16"/>
        <item h="1" x="15"/>
        <item h="1" x="14"/>
        <item h="1" x="13"/>
        <item h="1" x="12"/>
        <item h="1" x="11"/>
        <item h="1" x="10"/>
        <item h="1" x="9"/>
        <item h="1" x="8"/>
        <item x="7"/>
        <item x="6"/>
        <item x="5"/>
        <item x="4"/>
        <item x="3"/>
        <item h="1" x="2"/>
        <item h="1" x="1"/>
        <item h="1" x="0"/>
        <item h="1" x="23"/>
        <item t="default"/>
      </items>
    </pivotField>
    <pivotField compact="0" showAll="0"/>
    <pivotField compact="0" showAll="0"/>
    <pivotField dataField="1" compact="0" showAll="0">
      <items count="136">
        <item x="88"/>
        <item x="6"/>
        <item x="105"/>
        <item x="23"/>
        <item x="114"/>
        <item x="113"/>
        <item x="91"/>
        <item x="107"/>
        <item x="27"/>
        <item x="118"/>
        <item x="22"/>
        <item x="21"/>
        <item x="112"/>
        <item x="55"/>
        <item x="79"/>
        <item x="97"/>
        <item x="60"/>
        <item x="56"/>
        <item x="111"/>
        <item x="108"/>
        <item x="14"/>
        <item x="45"/>
        <item x="3"/>
        <item x="5"/>
        <item x="132"/>
        <item x="20"/>
        <item x="64"/>
        <item x="86"/>
        <item x="128"/>
        <item x="89"/>
        <item x="127"/>
        <item x="17"/>
        <item x="126"/>
        <item x="50"/>
        <item x="35"/>
        <item x="34"/>
        <item x="103"/>
        <item x="100"/>
        <item x="87"/>
        <item x="18"/>
        <item x="51"/>
        <item x="98"/>
        <item x="120"/>
        <item x="117"/>
        <item x="130"/>
        <item x="73"/>
        <item x="62"/>
        <item x="92"/>
        <item x="99"/>
        <item x="28"/>
        <item x="32"/>
        <item x="29"/>
        <item x="90"/>
        <item x="8"/>
        <item x="123"/>
        <item x="67"/>
        <item x="121"/>
        <item x="57"/>
        <item x="54"/>
        <item x="12"/>
        <item x="63"/>
        <item x="72"/>
        <item x="75"/>
        <item x="65"/>
        <item x="129"/>
        <item x="133"/>
        <item x="66"/>
        <item x="74"/>
        <item x="77"/>
        <item x="70"/>
        <item x="69"/>
        <item x="71"/>
        <item x="116"/>
        <item x="76"/>
        <item x="68"/>
        <item x="16"/>
        <item x="94"/>
        <item x="93"/>
        <item x="58"/>
        <item x="80"/>
        <item x="41"/>
        <item x="47"/>
        <item x="48"/>
        <item x="44"/>
        <item x="42"/>
        <item x="59"/>
        <item x="61"/>
        <item x="13"/>
        <item x="115"/>
        <item x="9"/>
        <item x="81"/>
        <item x="36"/>
        <item x="82"/>
        <item x="83"/>
        <item x="24"/>
        <item x="4"/>
        <item x="33"/>
        <item x="119"/>
        <item x="84"/>
        <item x="26"/>
        <item x="102"/>
        <item x="106"/>
        <item x="85"/>
        <item x="122"/>
        <item x="95"/>
        <item x="96"/>
        <item x="109"/>
        <item x="2"/>
        <item x="11"/>
        <item x="10"/>
        <item x="30"/>
        <item x="43"/>
        <item x="31"/>
        <item x="39"/>
        <item x="110"/>
        <item x="7"/>
        <item x="101"/>
        <item x="1"/>
        <item x="131"/>
        <item x="40"/>
        <item x="15"/>
        <item x="0"/>
        <item x="38"/>
        <item x="37"/>
        <item x="46"/>
        <item x="104"/>
        <item x="53"/>
        <item x="52"/>
        <item x="78"/>
        <item x="19"/>
        <item x="49"/>
        <item x="25"/>
        <item x="124"/>
        <item x="125"/>
        <item x="134"/>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items count="14">
        <item x="8"/>
        <item m="1" x="12"/>
        <item x="5"/>
        <item x="9"/>
        <item x="3"/>
        <item x="0"/>
        <item x="1"/>
        <item m="1" x="11"/>
        <item x="2"/>
        <item x="4"/>
        <item x="7"/>
        <item x="6"/>
        <item x="10"/>
        <item t="default"/>
      </items>
    </pivotField>
  </pivotFields>
  <rowFields count="1">
    <field x="31"/>
  </rowFields>
  <rowItems count="10">
    <i>
      <x/>
    </i>
    <i>
      <x v="2"/>
    </i>
    <i>
      <x v="4"/>
    </i>
    <i>
      <x v="5"/>
    </i>
    <i>
      <x v="6"/>
    </i>
    <i>
      <x v="8"/>
    </i>
    <i>
      <x v="9"/>
    </i>
    <i>
      <x v="10"/>
    </i>
    <i>
      <x v="11"/>
    </i>
    <i t="grand">
      <x/>
    </i>
  </rowItems>
  <colItems count="1">
    <i/>
  </colItems>
  <pageFields count="1">
    <pageField fld="0"/>
  </pageFields>
  <dataFields count="1">
    <dataField name="计数项:项目名称" fld="3"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G135"/>
  <sheetViews>
    <sheetView tabSelected="1" workbookViewId="0">
      <selection activeCell="X115" sqref="A104:X115"/>
    </sheetView>
  </sheetViews>
  <sheetFormatPr defaultColWidth="21" defaultRowHeight="20" customHeight="1"/>
  <cols>
    <col min="1" max="1" width="14.5454545454545" style="10" customWidth="1"/>
    <col min="2" max="3" width="22.7181818181818" style="10" hidden="1" customWidth="1"/>
    <col min="4" max="4" width="22.7181818181818" customWidth="1"/>
    <col min="5" max="5" width="22" customWidth="1"/>
    <col min="6" max="6" width="60.7181818181818" hidden="1" customWidth="1"/>
    <col min="7" max="7" width="22.7181818181818" hidden="1" customWidth="1"/>
    <col min="8" max="12" width="18.7181818181818" hidden="1" customWidth="1"/>
    <col min="13" max="16" width="22.7181818181818" hidden="1" customWidth="1"/>
    <col min="17" max="17" width="60.7181818181818" hidden="1" customWidth="1"/>
    <col min="18" max="21" width="22.7181818181818" hidden="1" customWidth="1"/>
    <col min="22" max="22" width="18.7181818181818" hidden="1" customWidth="1"/>
    <col min="23" max="24" width="60.7181818181818" customWidth="1"/>
    <col min="25" max="25" width="18.7181818181818" customWidth="1"/>
    <col min="26" max="26" width="60.7181818181818" customWidth="1"/>
    <col min="27" max="27" width="18.7181818181818" customWidth="1"/>
    <col min="28" max="28" width="22.7181818181818" customWidth="1"/>
    <col min="29" max="29" width="18.7181818181818" customWidth="1"/>
    <col min="30" max="30" width="60.7181818181818" customWidth="1"/>
    <col min="31" max="31" width="22.7181818181818" customWidth="1"/>
    <col min="32" max="32" width="18.7181818181818" customWidth="1"/>
    <col min="33" max="33" width="22.7181818181818" customWidth="1"/>
  </cols>
  <sheetData>
    <row r="1" customHeight="1" spans="1:33">
      <c r="A1" s="11" t="s">
        <v>0</v>
      </c>
      <c r="B1" s="11" t="s">
        <v>1</v>
      </c>
      <c r="C1" s="11"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row>
    <row r="2" s="9" customFormat="1" ht="46" hidden="1" customHeight="1" spans="1:33">
      <c r="A2" s="13">
        <v>46120</v>
      </c>
      <c r="B2" s="5" t="s">
        <v>33</v>
      </c>
      <c r="C2" s="5" t="s">
        <v>34</v>
      </c>
      <c r="D2" s="14" t="s">
        <v>35</v>
      </c>
      <c r="E2" s="14"/>
      <c r="F2" s="14" t="s">
        <v>36</v>
      </c>
      <c r="G2" s="14" t="s">
        <v>37</v>
      </c>
      <c r="H2" s="14" t="s">
        <v>38</v>
      </c>
      <c r="I2" s="14" t="s">
        <v>39</v>
      </c>
      <c r="J2" s="14" t="s">
        <v>40</v>
      </c>
      <c r="K2" s="14" t="s">
        <v>41</v>
      </c>
      <c r="L2" s="14" t="s">
        <v>42</v>
      </c>
      <c r="M2" s="14" t="s">
        <v>43</v>
      </c>
      <c r="N2" s="14" t="s">
        <v>44</v>
      </c>
      <c r="O2" s="14"/>
      <c r="P2" s="14" t="s">
        <v>44</v>
      </c>
      <c r="Q2" s="14" t="s">
        <v>45</v>
      </c>
      <c r="R2" s="14" t="s">
        <v>46</v>
      </c>
      <c r="S2" s="14" t="s">
        <v>47</v>
      </c>
      <c r="T2" s="14" t="s">
        <v>48</v>
      </c>
      <c r="U2" s="14"/>
      <c r="V2" s="14"/>
      <c r="W2" s="14" t="s">
        <v>49</v>
      </c>
      <c r="X2" s="14" t="s">
        <v>50</v>
      </c>
      <c r="Y2" s="14" t="s">
        <v>51</v>
      </c>
      <c r="Z2" s="14" t="s">
        <v>49</v>
      </c>
      <c r="AA2" s="14" t="s">
        <v>52</v>
      </c>
      <c r="AB2" s="14" t="s">
        <v>48</v>
      </c>
      <c r="AC2" s="14"/>
      <c r="AD2" s="14" t="s">
        <v>53</v>
      </c>
      <c r="AE2" s="14" t="s">
        <v>48</v>
      </c>
      <c r="AF2" s="14" t="s">
        <v>54</v>
      </c>
      <c r="AG2" s="14" t="s">
        <v>48</v>
      </c>
    </row>
    <row r="3" s="9" customFormat="1" ht="46" hidden="1" customHeight="1" spans="1:33">
      <c r="A3" s="13">
        <v>46114</v>
      </c>
      <c r="B3" s="5" t="s">
        <v>55</v>
      </c>
      <c r="C3" s="5" t="s">
        <v>56</v>
      </c>
      <c r="D3" s="14" t="s">
        <v>57</v>
      </c>
      <c r="E3" s="14"/>
      <c r="F3" s="14" t="s">
        <v>58</v>
      </c>
      <c r="G3" s="14" t="s">
        <v>59</v>
      </c>
      <c r="H3" s="14" t="s">
        <v>38</v>
      </c>
      <c r="I3" s="14" t="s">
        <v>39</v>
      </c>
      <c r="J3" s="14" t="s">
        <v>40</v>
      </c>
      <c r="K3" s="14" t="s">
        <v>40</v>
      </c>
      <c r="L3" s="14" t="s">
        <v>42</v>
      </c>
      <c r="M3" s="14" t="s">
        <v>60</v>
      </c>
      <c r="N3" s="14" t="s">
        <v>61</v>
      </c>
      <c r="O3" s="14" t="s">
        <v>62</v>
      </c>
      <c r="P3" s="14"/>
      <c r="Q3" s="14" t="s">
        <v>63</v>
      </c>
      <c r="R3" s="14" t="s">
        <v>64</v>
      </c>
      <c r="S3" s="14" t="s">
        <v>65</v>
      </c>
      <c r="T3" s="14" t="s">
        <v>66</v>
      </c>
      <c r="U3" s="14" t="s">
        <v>66</v>
      </c>
      <c r="V3" s="14" t="s">
        <v>67</v>
      </c>
      <c r="W3" s="14" t="s">
        <v>68</v>
      </c>
      <c r="X3" s="14" t="s">
        <v>69</v>
      </c>
      <c r="Y3" s="14" t="s">
        <v>67</v>
      </c>
      <c r="Z3" s="14" t="s">
        <v>70</v>
      </c>
      <c r="AA3" s="14" t="s">
        <v>71</v>
      </c>
      <c r="AB3" s="14" t="s">
        <v>48</v>
      </c>
      <c r="AC3" s="14"/>
      <c r="AD3" s="14" t="s">
        <v>53</v>
      </c>
      <c r="AE3" s="14" t="s">
        <v>72</v>
      </c>
      <c r="AF3" s="14" t="s">
        <v>54</v>
      </c>
      <c r="AG3" s="14" t="s">
        <v>66</v>
      </c>
    </row>
    <row r="4" s="9" customFormat="1" ht="46" hidden="1" customHeight="1" spans="1:33">
      <c r="A4" s="13">
        <v>46113</v>
      </c>
      <c r="B4" s="5" t="s">
        <v>73</v>
      </c>
      <c r="C4" s="5" t="s">
        <v>74</v>
      </c>
      <c r="D4" s="14" t="s">
        <v>75</v>
      </c>
      <c r="E4" s="14"/>
      <c r="F4" s="14" t="s">
        <v>76</v>
      </c>
      <c r="G4" s="14" t="s">
        <v>77</v>
      </c>
      <c r="H4" s="14" t="s">
        <v>78</v>
      </c>
      <c r="I4" s="14" t="s">
        <v>79</v>
      </c>
      <c r="J4" s="14" t="s">
        <v>40</v>
      </c>
      <c r="K4" s="14"/>
      <c r="L4" s="14" t="s">
        <v>42</v>
      </c>
      <c r="M4" s="14" t="s">
        <v>80</v>
      </c>
      <c r="N4" s="14" t="s">
        <v>81</v>
      </c>
      <c r="O4" s="14"/>
      <c r="P4" s="14"/>
      <c r="Q4" s="14" t="s">
        <v>53</v>
      </c>
      <c r="R4" s="14" t="s">
        <v>82</v>
      </c>
      <c r="S4" s="14" t="s">
        <v>83</v>
      </c>
      <c r="T4" s="14" t="s">
        <v>66</v>
      </c>
      <c r="U4" s="14"/>
      <c r="V4" s="14" t="s">
        <v>84</v>
      </c>
      <c r="W4" s="14" t="s">
        <v>85</v>
      </c>
      <c r="X4" s="14" t="s">
        <v>86</v>
      </c>
      <c r="Y4" s="14" t="s">
        <v>87</v>
      </c>
      <c r="Z4" s="14" t="s">
        <v>88</v>
      </c>
      <c r="AA4" s="14" t="s">
        <v>71</v>
      </c>
      <c r="AB4" s="14" t="s">
        <v>66</v>
      </c>
      <c r="AC4" s="14"/>
      <c r="AD4" s="14" t="s">
        <v>53</v>
      </c>
      <c r="AE4" s="14" t="s">
        <v>66</v>
      </c>
      <c r="AF4" s="14" t="s">
        <v>54</v>
      </c>
      <c r="AG4" s="14" t="s">
        <v>66</v>
      </c>
    </row>
    <row r="5" s="9" customFormat="1" ht="46" hidden="1" customHeight="1" spans="1:33">
      <c r="A5" s="13">
        <v>46113</v>
      </c>
      <c r="B5" s="5" t="s">
        <v>89</v>
      </c>
      <c r="C5" s="5" t="s">
        <v>90</v>
      </c>
      <c r="D5" s="14" t="s">
        <v>91</v>
      </c>
      <c r="E5" s="14"/>
      <c r="F5" s="14" t="s">
        <v>92</v>
      </c>
      <c r="G5" s="14" t="s">
        <v>93</v>
      </c>
      <c r="H5" s="14" t="s">
        <v>94</v>
      </c>
      <c r="I5" s="14" t="s">
        <v>95</v>
      </c>
      <c r="J5" s="14" t="s">
        <v>40</v>
      </c>
      <c r="K5" s="14"/>
      <c r="L5" s="14" t="s">
        <v>42</v>
      </c>
      <c r="M5" s="14" t="s">
        <v>96</v>
      </c>
      <c r="N5" s="14" t="s">
        <v>97</v>
      </c>
      <c r="O5" s="14"/>
      <c r="P5" s="14"/>
      <c r="Q5" s="14" t="s">
        <v>63</v>
      </c>
      <c r="R5" s="14" t="s">
        <v>98</v>
      </c>
      <c r="S5" s="14" t="s">
        <v>99</v>
      </c>
      <c r="T5" s="14" t="s">
        <v>48</v>
      </c>
      <c r="U5" s="14"/>
      <c r="V5" s="14"/>
      <c r="W5" s="14" t="s">
        <v>100</v>
      </c>
      <c r="X5" s="14" t="s">
        <v>101</v>
      </c>
      <c r="Y5" s="14" t="s">
        <v>102</v>
      </c>
      <c r="Z5" s="14" t="s">
        <v>100</v>
      </c>
      <c r="AA5" s="14" t="s">
        <v>71</v>
      </c>
      <c r="AB5" s="14" t="s">
        <v>48</v>
      </c>
      <c r="AC5" s="14"/>
      <c r="AD5" s="14" t="s">
        <v>53</v>
      </c>
      <c r="AE5" s="14" t="s">
        <v>48</v>
      </c>
      <c r="AF5" s="14" t="s">
        <v>54</v>
      </c>
      <c r="AG5" s="14" t="s">
        <v>48</v>
      </c>
    </row>
    <row r="6" s="9" customFormat="1" ht="46" hidden="1" customHeight="1" spans="1:33">
      <c r="A6" s="13">
        <v>46113</v>
      </c>
      <c r="B6" s="5" t="s">
        <v>103</v>
      </c>
      <c r="C6" s="5" t="s">
        <v>104</v>
      </c>
      <c r="D6" s="14" t="s">
        <v>105</v>
      </c>
      <c r="E6" s="14"/>
      <c r="F6" s="14" t="s">
        <v>106</v>
      </c>
      <c r="G6" s="14" t="s">
        <v>107</v>
      </c>
      <c r="H6" s="14" t="s">
        <v>108</v>
      </c>
      <c r="I6" s="14" t="s">
        <v>95</v>
      </c>
      <c r="J6" s="14" t="s">
        <v>40</v>
      </c>
      <c r="K6" s="14" t="s">
        <v>109</v>
      </c>
      <c r="L6" s="14" t="s">
        <v>42</v>
      </c>
      <c r="M6" s="14" t="s">
        <v>110</v>
      </c>
      <c r="N6" s="14" t="s">
        <v>111</v>
      </c>
      <c r="O6" s="14" t="s">
        <v>112</v>
      </c>
      <c r="P6" s="14"/>
      <c r="Q6" s="14" t="s">
        <v>113</v>
      </c>
      <c r="R6" s="14" t="s">
        <v>114</v>
      </c>
      <c r="S6" s="14" t="s">
        <v>115</v>
      </c>
      <c r="T6" s="14" t="s">
        <v>48</v>
      </c>
      <c r="U6" s="14" t="s">
        <v>116</v>
      </c>
      <c r="V6" s="14" t="s">
        <v>67</v>
      </c>
      <c r="W6" s="14" t="s">
        <v>117</v>
      </c>
      <c r="X6" s="14" t="s">
        <v>118</v>
      </c>
      <c r="Y6" s="14" t="s">
        <v>87</v>
      </c>
      <c r="Z6" s="14" t="s">
        <v>117</v>
      </c>
      <c r="AA6" s="14" t="s">
        <v>71</v>
      </c>
      <c r="AB6" s="14" t="s">
        <v>48</v>
      </c>
      <c r="AC6" s="14"/>
      <c r="AD6" s="14" t="s">
        <v>53</v>
      </c>
      <c r="AE6" s="14" t="s">
        <v>72</v>
      </c>
      <c r="AF6" s="14" t="s">
        <v>54</v>
      </c>
      <c r="AG6" s="14" t="s">
        <v>48</v>
      </c>
    </row>
    <row r="7" s="9" customFormat="1" ht="46" hidden="1" customHeight="1" spans="1:33">
      <c r="A7" s="13">
        <v>46113</v>
      </c>
      <c r="B7" s="5" t="s">
        <v>119</v>
      </c>
      <c r="C7" s="5" t="s">
        <v>120</v>
      </c>
      <c r="D7" s="14" t="s">
        <v>121</v>
      </c>
      <c r="E7" s="14"/>
      <c r="F7" s="14" t="s">
        <v>122</v>
      </c>
      <c r="G7" s="14" t="s">
        <v>123</v>
      </c>
      <c r="H7" s="14" t="s">
        <v>124</v>
      </c>
      <c r="I7" s="14" t="s">
        <v>39</v>
      </c>
      <c r="J7" s="14" t="s">
        <v>40</v>
      </c>
      <c r="K7" s="14"/>
      <c r="L7" s="14" t="s">
        <v>42</v>
      </c>
      <c r="M7" s="14" t="s">
        <v>125</v>
      </c>
      <c r="N7" s="14" t="s">
        <v>126</v>
      </c>
      <c r="O7" s="14" t="s">
        <v>127</v>
      </c>
      <c r="P7" s="14"/>
      <c r="Q7" s="14" t="s">
        <v>128</v>
      </c>
      <c r="R7" s="14" t="s">
        <v>114</v>
      </c>
      <c r="S7" s="14" t="s">
        <v>129</v>
      </c>
      <c r="T7" s="14" t="s">
        <v>48</v>
      </c>
      <c r="U7" s="14"/>
      <c r="V7" s="14"/>
      <c r="W7" s="14" t="s">
        <v>130</v>
      </c>
      <c r="X7" s="14" t="s">
        <v>131</v>
      </c>
      <c r="Y7" s="14" t="s">
        <v>67</v>
      </c>
      <c r="Z7" s="14" t="s">
        <v>130</v>
      </c>
      <c r="AA7" s="14" t="s">
        <v>71</v>
      </c>
      <c r="AB7" s="14" t="s">
        <v>48</v>
      </c>
      <c r="AC7" s="14"/>
      <c r="AD7" s="14" t="s">
        <v>53</v>
      </c>
      <c r="AE7" s="14" t="s">
        <v>48</v>
      </c>
      <c r="AF7" s="14" t="s">
        <v>54</v>
      </c>
      <c r="AG7" s="14" t="s">
        <v>48</v>
      </c>
    </row>
    <row r="8" s="9" customFormat="1" ht="46" hidden="1" customHeight="1" spans="1:33">
      <c r="A8" s="13">
        <v>46113</v>
      </c>
      <c r="B8" s="5" t="s">
        <v>132</v>
      </c>
      <c r="C8" s="5" t="s">
        <v>133</v>
      </c>
      <c r="D8" s="14" t="s">
        <v>134</v>
      </c>
      <c r="E8" s="14"/>
      <c r="F8" s="14" t="s">
        <v>135</v>
      </c>
      <c r="G8" s="14" t="s">
        <v>136</v>
      </c>
      <c r="H8" s="14" t="s">
        <v>78</v>
      </c>
      <c r="I8" s="14" t="s">
        <v>79</v>
      </c>
      <c r="J8" s="14" t="s">
        <v>40</v>
      </c>
      <c r="K8" s="14"/>
      <c r="L8" s="14" t="s">
        <v>42</v>
      </c>
      <c r="M8" s="14" t="s">
        <v>137</v>
      </c>
      <c r="N8" s="14" t="s">
        <v>138</v>
      </c>
      <c r="O8" s="14" t="s">
        <v>139</v>
      </c>
      <c r="P8" s="14"/>
      <c r="Q8" s="14" t="s">
        <v>140</v>
      </c>
      <c r="R8" s="14" t="s">
        <v>141</v>
      </c>
      <c r="S8" s="14" t="s">
        <v>142</v>
      </c>
      <c r="T8" s="14" t="s">
        <v>48</v>
      </c>
      <c r="U8" s="14" t="s">
        <v>116</v>
      </c>
      <c r="V8" s="14"/>
      <c r="W8" s="14" t="s">
        <v>143</v>
      </c>
      <c r="X8" s="14" t="s">
        <v>144</v>
      </c>
      <c r="Y8" s="14" t="s">
        <v>102</v>
      </c>
      <c r="Z8" s="14" t="s">
        <v>143</v>
      </c>
      <c r="AA8" s="14" t="s">
        <v>71</v>
      </c>
      <c r="AB8" s="14" t="s">
        <v>48</v>
      </c>
      <c r="AC8" s="14"/>
      <c r="AD8" s="14" t="s">
        <v>53</v>
      </c>
      <c r="AE8" s="14" t="s">
        <v>48</v>
      </c>
      <c r="AF8" s="14" t="s">
        <v>54</v>
      </c>
      <c r="AG8" s="14" t="s">
        <v>48</v>
      </c>
    </row>
    <row r="9" s="9" customFormat="1" ht="46" hidden="1" customHeight="1" spans="1:33">
      <c r="A9" s="13">
        <v>46112</v>
      </c>
      <c r="B9" s="5" t="s">
        <v>103</v>
      </c>
      <c r="C9" s="5" t="s">
        <v>145</v>
      </c>
      <c r="D9" s="14" t="s">
        <v>146</v>
      </c>
      <c r="E9" s="14"/>
      <c r="F9" s="14" t="s">
        <v>147</v>
      </c>
      <c r="G9" s="14" t="s">
        <v>148</v>
      </c>
      <c r="H9" s="14" t="s">
        <v>149</v>
      </c>
      <c r="I9" s="14" t="s">
        <v>79</v>
      </c>
      <c r="J9" s="14" t="s">
        <v>40</v>
      </c>
      <c r="K9" s="14" t="s">
        <v>109</v>
      </c>
      <c r="L9" s="14" t="s">
        <v>150</v>
      </c>
      <c r="M9" s="14" t="s">
        <v>151</v>
      </c>
      <c r="N9" s="14" t="s">
        <v>152</v>
      </c>
      <c r="O9" s="14" t="s">
        <v>153</v>
      </c>
      <c r="P9" s="14" t="s">
        <v>154</v>
      </c>
      <c r="Q9" s="14" t="s">
        <v>53</v>
      </c>
      <c r="R9" s="14" t="s">
        <v>98</v>
      </c>
      <c r="S9" s="14" t="s">
        <v>155</v>
      </c>
      <c r="T9" s="14" t="s">
        <v>156</v>
      </c>
      <c r="U9" s="14"/>
      <c r="V9" s="14" t="s">
        <v>67</v>
      </c>
      <c r="W9" s="14" t="s">
        <v>157</v>
      </c>
      <c r="X9" s="14" t="s">
        <v>158</v>
      </c>
      <c r="Y9" s="14" t="s">
        <v>159</v>
      </c>
      <c r="Z9" s="14" t="s">
        <v>157</v>
      </c>
      <c r="AA9" s="14" t="s">
        <v>71</v>
      </c>
      <c r="AB9" s="14" t="s">
        <v>156</v>
      </c>
      <c r="AC9" s="14"/>
      <c r="AD9" s="14" t="s">
        <v>53</v>
      </c>
      <c r="AE9" s="14" t="s">
        <v>72</v>
      </c>
      <c r="AF9" s="14" t="s">
        <v>54</v>
      </c>
      <c r="AG9" s="14" t="s">
        <v>156</v>
      </c>
    </row>
    <row r="10" s="9" customFormat="1" ht="46" hidden="1" customHeight="1" spans="1:33">
      <c r="A10" s="13">
        <v>46112</v>
      </c>
      <c r="B10" s="5" t="s">
        <v>160</v>
      </c>
      <c r="C10" s="5" t="s">
        <v>161</v>
      </c>
      <c r="D10" s="14" t="s">
        <v>162</v>
      </c>
      <c r="E10" s="14"/>
      <c r="F10" s="14" t="s">
        <v>163</v>
      </c>
      <c r="G10" s="14" t="s">
        <v>164</v>
      </c>
      <c r="H10" s="14" t="s">
        <v>165</v>
      </c>
      <c r="I10" s="14" t="s">
        <v>39</v>
      </c>
      <c r="J10" s="14" t="s">
        <v>40</v>
      </c>
      <c r="K10" s="14"/>
      <c r="L10" s="14" t="s">
        <v>166</v>
      </c>
      <c r="M10" s="14" t="s">
        <v>167</v>
      </c>
      <c r="N10" s="14" t="s">
        <v>168</v>
      </c>
      <c r="O10" s="14" t="s">
        <v>169</v>
      </c>
      <c r="P10" s="14" t="s">
        <v>154</v>
      </c>
      <c r="Q10" s="14" t="s">
        <v>170</v>
      </c>
      <c r="R10" s="14" t="s">
        <v>171</v>
      </c>
      <c r="S10" s="14" t="s">
        <v>172</v>
      </c>
      <c r="T10" s="14" t="s">
        <v>156</v>
      </c>
      <c r="U10" s="14"/>
      <c r="V10" s="14"/>
      <c r="W10" s="14" t="s">
        <v>173</v>
      </c>
      <c r="X10" s="14" t="s">
        <v>174</v>
      </c>
      <c r="Y10" s="14" t="s">
        <v>67</v>
      </c>
      <c r="Z10" s="14" t="s">
        <v>173</v>
      </c>
      <c r="AA10" s="14" t="s">
        <v>52</v>
      </c>
      <c r="AB10" s="14" t="s">
        <v>156</v>
      </c>
      <c r="AC10" s="14"/>
      <c r="AD10" s="14" t="s">
        <v>53</v>
      </c>
      <c r="AE10" s="14" t="s">
        <v>175</v>
      </c>
      <c r="AF10" s="14" t="s">
        <v>54</v>
      </c>
      <c r="AG10" s="14" t="s">
        <v>156</v>
      </c>
    </row>
    <row r="11" s="9" customFormat="1" ht="46" hidden="1" customHeight="1" spans="1:33">
      <c r="A11" s="13">
        <v>46112</v>
      </c>
      <c r="B11" s="5" t="s">
        <v>176</v>
      </c>
      <c r="C11" s="5" t="s">
        <v>177</v>
      </c>
      <c r="D11" s="14" t="s">
        <v>178</v>
      </c>
      <c r="E11" s="14"/>
      <c r="F11" s="14" t="s">
        <v>179</v>
      </c>
      <c r="G11" s="14" t="s">
        <v>179</v>
      </c>
      <c r="H11" s="14" t="s">
        <v>165</v>
      </c>
      <c r="I11" s="14" t="s">
        <v>79</v>
      </c>
      <c r="J11" s="14" t="s">
        <v>40</v>
      </c>
      <c r="K11" s="14"/>
      <c r="L11" s="14" t="s">
        <v>166</v>
      </c>
      <c r="M11" s="14" t="s">
        <v>180</v>
      </c>
      <c r="N11" s="14" t="s">
        <v>181</v>
      </c>
      <c r="O11" s="14" t="s">
        <v>169</v>
      </c>
      <c r="P11" s="14" t="s">
        <v>154</v>
      </c>
      <c r="Q11" s="14" t="s">
        <v>53</v>
      </c>
      <c r="R11" s="14" t="s">
        <v>171</v>
      </c>
      <c r="S11" s="14" t="s">
        <v>172</v>
      </c>
      <c r="T11" s="14" t="s">
        <v>156</v>
      </c>
      <c r="U11" s="14"/>
      <c r="V11" s="14"/>
      <c r="W11" s="14" t="s">
        <v>182</v>
      </c>
      <c r="X11" s="14" t="s">
        <v>183</v>
      </c>
      <c r="Y11" s="14" t="s">
        <v>67</v>
      </c>
      <c r="Z11" s="14" t="s">
        <v>184</v>
      </c>
      <c r="AA11" s="14" t="s">
        <v>52</v>
      </c>
      <c r="AB11" s="14" t="s">
        <v>156</v>
      </c>
      <c r="AC11" s="14"/>
      <c r="AD11" s="14" t="s">
        <v>53</v>
      </c>
      <c r="AE11" s="14" t="s">
        <v>175</v>
      </c>
      <c r="AF11" s="14" t="s">
        <v>54</v>
      </c>
      <c r="AG11" s="14" t="s">
        <v>156</v>
      </c>
    </row>
    <row r="12" s="9" customFormat="1" ht="46" hidden="1" customHeight="1" spans="1:33">
      <c r="A12" s="13">
        <v>46112</v>
      </c>
      <c r="B12" s="5" t="s">
        <v>185</v>
      </c>
      <c r="C12" s="5" t="s">
        <v>186</v>
      </c>
      <c r="D12" s="14" t="s">
        <v>187</v>
      </c>
      <c r="E12" s="14"/>
      <c r="F12" s="14" t="s">
        <v>188</v>
      </c>
      <c r="G12" s="14" t="s">
        <v>188</v>
      </c>
      <c r="H12" s="14" t="s">
        <v>165</v>
      </c>
      <c r="I12" s="14" t="s">
        <v>39</v>
      </c>
      <c r="J12" s="14" t="s">
        <v>40</v>
      </c>
      <c r="K12" s="14"/>
      <c r="L12" s="14" t="s">
        <v>166</v>
      </c>
      <c r="M12" s="14" t="s">
        <v>189</v>
      </c>
      <c r="N12" s="14" t="s">
        <v>190</v>
      </c>
      <c r="O12" s="14" t="s">
        <v>169</v>
      </c>
      <c r="P12" s="14" t="s">
        <v>191</v>
      </c>
      <c r="Q12" s="14" t="s">
        <v>53</v>
      </c>
      <c r="R12" s="14" t="s">
        <v>98</v>
      </c>
      <c r="S12" s="14" t="s">
        <v>172</v>
      </c>
      <c r="T12" s="14" t="s">
        <v>156</v>
      </c>
      <c r="U12" s="14"/>
      <c r="V12" s="14"/>
      <c r="W12" s="14" t="s">
        <v>192</v>
      </c>
      <c r="X12" s="14" t="s">
        <v>193</v>
      </c>
      <c r="Y12" s="14" t="s">
        <v>67</v>
      </c>
      <c r="Z12" s="14" t="s">
        <v>192</v>
      </c>
      <c r="AA12" s="14" t="s">
        <v>52</v>
      </c>
      <c r="AB12" s="14" t="s">
        <v>156</v>
      </c>
      <c r="AC12" s="14"/>
      <c r="AD12" s="14" t="s">
        <v>53</v>
      </c>
      <c r="AE12" s="14" t="s">
        <v>175</v>
      </c>
      <c r="AF12" s="14" t="s">
        <v>54</v>
      </c>
      <c r="AG12" s="14" t="s">
        <v>156</v>
      </c>
    </row>
    <row r="13" s="9" customFormat="1" ht="46" hidden="1" customHeight="1" spans="1:33">
      <c r="A13" s="13">
        <v>46112</v>
      </c>
      <c r="B13" s="5" t="s">
        <v>194</v>
      </c>
      <c r="C13" s="5" t="s">
        <v>195</v>
      </c>
      <c r="D13" s="14" t="s">
        <v>196</v>
      </c>
      <c r="E13" s="14"/>
      <c r="F13" s="14" t="s">
        <v>197</v>
      </c>
      <c r="G13" s="14" t="s">
        <v>148</v>
      </c>
      <c r="H13" s="14" t="s">
        <v>165</v>
      </c>
      <c r="I13" s="14" t="s">
        <v>79</v>
      </c>
      <c r="J13" s="14" t="s">
        <v>40</v>
      </c>
      <c r="K13" s="14"/>
      <c r="L13" s="14" t="s">
        <v>166</v>
      </c>
      <c r="M13" s="14" t="s">
        <v>189</v>
      </c>
      <c r="N13" s="14" t="s">
        <v>198</v>
      </c>
      <c r="O13" s="14" t="s">
        <v>112</v>
      </c>
      <c r="P13" s="14" t="s">
        <v>154</v>
      </c>
      <c r="Q13" s="14" t="s">
        <v>53</v>
      </c>
      <c r="R13" s="14" t="s">
        <v>114</v>
      </c>
      <c r="S13" s="14" t="s">
        <v>172</v>
      </c>
      <c r="T13" s="14" t="s">
        <v>156</v>
      </c>
      <c r="U13" s="14"/>
      <c r="V13" s="14"/>
      <c r="W13" s="14" t="s">
        <v>199</v>
      </c>
      <c r="X13" s="14" t="s">
        <v>200</v>
      </c>
      <c r="Y13" s="14" t="s">
        <v>201</v>
      </c>
      <c r="Z13" s="14" t="s">
        <v>202</v>
      </c>
      <c r="AA13" s="14" t="s">
        <v>52</v>
      </c>
      <c r="AB13" s="14" t="s">
        <v>156</v>
      </c>
      <c r="AC13" s="14"/>
      <c r="AD13" s="14" t="s">
        <v>53</v>
      </c>
      <c r="AE13" s="14" t="s">
        <v>175</v>
      </c>
      <c r="AF13" s="14" t="s">
        <v>54</v>
      </c>
      <c r="AG13" s="14" t="s">
        <v>156</v>
      </c>
    </row>
    <row r="14" s="9" customFormat="1" ht="46" hidden="1" customHeight="1" spans="1:33">
      <c r="A14" s="13">
        <v>46112</v>
      </c>
      <c r="B14" s="5" t="s">
        <v>203</v>
      </c>
      <c r="C14" s="5" t="s">
        <v>204</v>
      </c>
      <c r="D14" s="14" t="s">
        <v>205</v>
      </c>
      <c r="E14" s="14"/>
      <c r="F14" s="14" t="s">
        <v>206</v>
      </c>
      <c r="G14" s="14" t="s">
        <v>148</v>
      </c>
      <c r="H14" s="14" t="s">
        <v>207</v>
      </c>
      <c r="I14" s="14" t="s">
        <v>208</v>
      </c>
      <c r="J14" s="14" t="s">
        <v>40</v>
      </c>
      <c r="K14" s="14"/>
      <c r="L14" s="14" t="s">
        <v>166</v>
      </c>
      <c r="M14" s="14" t="s">
        <v>209</v>
      </c>
      <c r="N14" s="14" t="s">
        <v>210</v>
      </c>
      <c r="O14" s="14" t="s">
        <v>211</v>
      </c>
      <c r="P14" s="14" t="s">
        <v>154</v>
      </c>
      <c r="Q14" s="14" t="s">
        <v>212</v>
      </c>
      <c r="R14" s="14" t="s">
        <v>114</v>
      </c>
      <c r="S14" s="14" t="s">
        <v>172</v>
      </c>
      <c r="T14" s="14" t="s">
        <v>156</v>
      </c>
      <c r="U14" s="14"/>
      <c r="V14" s="14"/>
      <c r="W14" s="14" t="s">
        <v>213</v>
      </c>
      <c r="X14" s="14" t="s">
        <v>214</v>
      </c>
      <c r="Y14" s="14" t="s">
        <v>201</v>
      </c>
      <c r="Z14" s="14" t="s">
        <v>215</v>
      </c>
      <c r="AA14" s="14" t="s">
        <v>52</v>
      </c>
      <c r="AB14" s="14" t="s">
        <v>156</v>
      </c>
      <c r="AC14" s="14"/>
      <c r="AD14" s="14" t="s">
        <v>53</v>
      </c>
      <c r="AE14" s="14" t="s">
        <v>175</v>
      </c>
      <c r="AF14" s="14" t="s">
        <v>54</v>
      </c>
      <c r="AG14" s="14" t="s">
        <v>156</v>
      </c>
    </row>
    <row r="15" s="9" customFormat="1" ht="46" hidden="1" customHeight="1" spans="1:33">
      <c r="A15" s="13">
        <v>46112</v>
      </c>
      <c r="B15" s="5" t="s">
        <v>216</v>
      </c>
      <c r="C15" s="5" t="s">
        <v>217</v>
      </c>
      <c r="D15" s="14" t="s">
        <v>218</v>
      </c>
      <c r="E15" s="14"/>
      <c r="F15" s="14" t="s">
        <v>219</v>
      </c>
      <c r="G15" s="14" t="s">
        <v>220</v>
      </c>
      <c r="H15" s="14" t="s">
        <v>221</v>
      </c>
      <c r="I15" s="14" t="s">
        <v>39</v>
      </c>
      <c r="J15" s="14" t="s">
        <v>40</v>
      </c>
      <c r="K15" s="14"/>
      <c r="L15" s="14" t="s">
        <v>42</v>
      </c>
      <c r="M15" s="14" t="s">
        <v>222</v>
      </c>
      <c r="N15" s="14" t="s">
        <v>223</v>
      </c>
      <c r="O15" s="14" t="s">
        <v>112</v>
      </c>
      <c r="P15" s="14" t="s">
        <v>224</v>
      </c>
      <c r="Q15" s="14" t="s">
        <v>225</v>
      </c>
      <c r="R15" s="14" t="s">
        <v>114</v>
      </c>
      <c r="S15" s="14" t="s">
        <v>226</v>
      </c>
      <c r="T15" s="14" t="s">
        <v>48</v>
      </c>
      <c r="U15" s="14"/>
      <c r="V15" s="14"/>
      <c r="W15" s="14" t="s">
        <v>227</v>
      </c>
      <c r="X15" s="14" t="s">
        <v>228</v>
      </c>
      <c r="Y15" s="14" t="s">
        <v>87</v>
      </c>
      <c r="Z15" s="14" t="s">
        <v>227</v>
      </c>
      <c r="AA15" s="14" t="s">
        <v>52</v>
      </c>
      <c r="AB15" s="14" t="s">
        <v>48</v>
      </c>
      <c r="AC15" s="14"/>
      <c r="AD15" s="14" t="s">
        <v>53</v>
      </c>
      <c r="AE15" s="14" t="s">
        <v>48</v>
      </c>
      <c r="AF15" s="14" t="s">
        <v>54</v>
      </c>
      <c r="AG15" s="14" t="s">
        <v>48</v>
      </c>
    </row>
    <row r="16" s="9" customFormat="1" ht="46" hidden="1" customHeight="1" spans="1:33">
      <c r="A16" s="13">
        <v>46112</v>
      </c>
      <c r="B16" s="5" t="s">
        <v>229</v>
      </c>
      <c r="C16" s="5" t="s">
        <v>230</v>
      </c>
      <c r="D16" s="14" t="s">
        <v>231</v>
      </c>
      <c r="E16" s="14"/>
      <c r="F16" s="14" t="s">
        <v>232</v>
      </c>
      <c r="G16" s="14" t="s">
        <v>233</v>
      </c>
      <c r="H16" s="14" t="s">
        <v>221</v>
      </c>
      <c r="I16" s="14" t="s">
        <v>39</v>
      </c>
      <c r="J16" s="14" t="s">
        <v>40</v>
      </c>
      <c r="K16" s="14"/>
      <c r="L16" s="14" t="s">
        <v>166</v>
      </c>
      <c r="M16" s="14" t="s">
        <v>234</v>
      </c>
      <c r="N16" s="14" t="s">
        <v>235</v>
      </c>
      <c r="O16" s="14" t="s">
        <v>236</v>
      </c>
      <c r="P16" s="14"/>
      <c r="Q16" s="14" t="s">
        <v>237</v>
      </c>
      <c r="R16" s="14" t="s">
        <v>171</v>
      </c>
      <c r="S16" s="14" t="s">
        <v>129</v>
      </c>
      <c r="T16" s="14" t="s">
        <v>156</v>
      </c>
      <c r="U16" s="14"/>
      <c r="V16" s="14"/>
      <c r="W16" s="14" t="s">
        <v>238</v>
      </c>
      <c r="X16" s="14" t="s">
        <v>239</v>
      </c>
      <c r="Y16" s="14" t="s">
        <v>201</v>
      </c>
      <c r="Z16" s="14" t="s">
        <v>240</v>
      </c>
      <c r="AA16" s="14" t="s">
        <v>71</v>
      </c>
      <c r="AB16" s="14" t="s">
        <v>156</v>
      </c>
      <c r="AC16" s="14"/>
      <c r="AD16" s="14" t="s">
        <v>53</v>
      </c>
      <c r="AE16" s="14" t="s">
        <v>156</v>
      </c>
      <c r="AF16" s="14" t="s">
        <v>54</v>
      </c>
      <c r="AG16" s="14" t="s">
        <v>156</v>
      </c>
    </row>
    <row r="17" s="9" customFormat="1" ht="46" hidden="1" customHeight="1" spans="1:33">
      <c r="A17" s="13">
        <v>46112</v>
      </c>
      <c r="B17" s="5" t="s">
        <v>241</v>
      </c>
      <c r="C17" s="5" t="s">
        <v>242</v>
      </c>
      <c r="D17" s="14" t="s">
        <v>243</v>
      </c>
      <c r="E17" s="14"/>
      <c r="F17" s="14" t="s">
        <v>244</v>
      </c>
      <c r="G17" s="14" t="s">
        <v>245</v>
      </c>
      <c r="H17" s="14" t="s">
        <v>246</v>
      </c>
      <c r="I17" s="14" t="s">
        <v>39</v>
      </c>
      <c r="J17" s="14" t="s">
        <v>40</v>
      </c>
      <c r="K17" s="14"/>
      <c r="L17" s="14" t="s">
        <v>42</v>
      </c>
      <c r="M17" s="14" t="s">
        <v>125</v>
      </c>
      <c r="N17" s="14" t="s">
        <v>247</v>
      </c>
      <c r="O17" s="14" t="s">
        <v>248</v>
      </c>
      <c r="P17" s="14"/>
      <c r="Q17" s="14" t="s">
        <v>249</v>
      </c>
      <c r="R17" s="14" t="s">
        <v>114</v>
      </c>
      <c r="S17" s="14" t="s">
        <v>129</v>
      </c>
      <c r="T17" s="14" t="s">
        <v>48</v>
      </c>
      <c r="U17" s="14"/>
      <c r="V17" s="14"/>
      <c r="W17" s="14" t="s">
        <v>250</v>
      </c>
      <c r="X17" s="14" t="s">
        <v>251</v>
      </c>
      <c r="Y17" s="14" t="s">
        <v>87</v>
      </c>
      <c r="Z17" s="14" t="s">
        <v>250</v>
      </c>
      <c r="AA17" s="14" t="s">
        <v>71</v>
      </c>
      <c r="AB17" s="14" t="s">
        <v>48</v>
      </c>
      <c r="AC17" s="14"/>
      <c r="AD17" s="14" t="s">
        <v>53</v>
      </c>
      <c r="AE17" s="14" t="s">
        <v>48</v>
      </c>
      <c r="AF17" s="14" t="s">
        <v>54</v>
      </c>
      <c r="AG17" s="14" t="s">
        <v>48</v>
      </c>
    </row>
    <row r="18" s="9" customFormat="1" ht="46" hidden="1" customHeight="1" spans="1:33">
      <c r="A18" s="13">
        <v>46112</v>
      </c>
      <c r="B18" s="5" t="s">
        <v>252</v>
      </c>
      <c r="C18" s="5" t="s">
        <v>253</v>
      </c>
      <c r="D18" s="14" t="s">
        <v>254</v>
      </c>
      <c r="E18" s="14"/>
      <c r="F18" s="14" t="s">
        <v>255</v>
      </c>
      <c r="G18" s="14" t="s">
        <v>256</v>
      </c>
      <c r="H18" s="14" t="s">
        <v>207</v>
      </c>
      <c r="I18" s="14" t="s">
        <v>208</v>
      </c>
      <c r="J18" s="14" t="s">
        <v>40</v>
      </c>
      <c r="K18" s="14"/>
      <c r="L18" s="14" t="s">
        <v>166</v>
      </c>
      <c r="M18" s="14" t="s">
        <v>257</v>
      </c>
      <c r="N18" s="14" t="s">
        <v>258</v>
      </c>
      <c r="O18" s="14"/>
      <c r="P18" s="14" t="s">
        <v>259</v>
      </c>
      <c r="Q18" s="14" t="s">
        <v>260</v>
      </c>
      <c r="R18" s="14" t="s">
        <v>171</v>
      </c>
      <c r="S18" s="14" t="s">
        <v>142</v>
      </c>
      <c r="T18" s="14" t="s">
        <v>156</v>
      </c>
      <c r="U18" s="14"/>
      <c r="V18" s="14"/>
      <c r="W18" s="14" t="s">
        <v>261</v>
      </c>
      <c r="X18" s="14" t="s">
        <v>262</v>
      </c>
      <c r="Y18" s="14" t="s">
        <v>159</v>
      </c>
      <c r="Z18" s="14" t="s">
        <v>261</v>
      </c>
      <c r="AA18" s="14" t="s">
        <v>52</v>
      </c>
      <c r="AB18" s="14" t="s">
        <v>156</v>
      </c>
      <c r="AC18" s="14"/>
      <c r="AD18" s="14" t="s">
        <v>53</v>
      </c>
      <c r="AE18" s="14" t="s">
        <v>156</v>
      </c>
      <c r="AF18" s="14" t="s">
        <v>54</v>
      </c>
      <c r="AG18" s="14" t="s">
        <v>156</v>
      </c>
    </row>
    <row r="19" s="9" customFormat="1" ht="46" hidden="1" customHeight="1" spans="1:33">
      <c r="A19" s="13">
        <v>46112</v>
      </c>
      <c r="B19" s="5" t="s">
        <v>263</v>
      </c>
      <c r="C19" s="5" t="s">
        <v>264</v>
      </c>
      <c r="D19" s="14" t="s">
        <v>265</v>
      </c>
      <c r="E19" s="14"/>
      <c r="F19" s="14" t="s">
        <v>266</v>
      </c>
      <c r="G19" s="14" t="s">
        <v>267</v>
      </c>
      <c r="H19" s="14" t="s">
        <v>221</v>
      </c>
      <c r="I19" s="14" t="s">
        <v>39</v>
      </c>
      <c r="J19" s="14" t="s">
        <v>40</v>
      </c>
      <c r="K19" s="14"/>
      <c r="L19" s="14" t="s">
        <v>42</v>
      </c>
      <c r="M19" s="14" t="s">
        <v>268</v>
      </c>
      <c r="N19" s="14" t="s">
        <v>269</v>
      </c>
      <c r="O19" s="14" t="s">
        <v>112</v>
      </c>
      <c r="P19" s="14" t="s">
        <v>112</v>
      </c>
      <c r="Q19" s="14" t="s">
        <v>270</v>
      </c>
      <c r="R19" s="14" t="s">
        <v>114</v>
      </c>
      <c r="S19" s="14" t="s">
        <v>271</v>
      </c>
      <c r="T19" s="14" t="s">
        <v>48</v>
      </c>
      <c r="U19" s="14"/>
      <c r="V19" s="14"/>
      <c r="W19" s="14" t="s">
        <v>272</v>
      </c>
      <c r="X19" s="14" t="s">
        <v>273</v>
      </c>
      <c r="Y19" s="14" t="s">
        <v>274</v>
      </c>
      <c r="Z19" s="14" t="s">
        <v>272</v>
      </c>
      <c r="AA19" s="14" t="s">
        <v>52</v>
      </c>
      <c r="AB19" s="14" t="s">
        <v>48</v>
      </c>
      <c r="AC19" s="14"/>
      <c r="AD19" s="14" t="s">
        <v>53</v>
      </c>
      <c r="AE19" s="14" t="s">
        <v>48</v>
      </c>
      <c r="AF19" s="14" t="s">
        <v>54</v>
      </c>
      <c r="AG19" s="14" t="s">
        <v>48</v>
      </c>
    </row>
    <row r="20" s="9" customFormat="1" ht="46" hidden="1" customHeight="1" spans="1:33">
      <c r="A20" s="13">
        <v>46112</v>
      </c>
      <c r="B20" s="5" t="s">
        <v>275</v>
      </c>
      <c r="C20" s="5" t="s">
        <v>276</v>
      </c>
      <c r="D20" s="14" t="s">
        <v>277</v>
      </c>
      <c r="E20" s="14"/>
      <c r="F20" s="14" t="s">
        <v>278</v>
      </c>
      <c r="G20" s="14" t="s">
        <v>256</v>
      </c>
      <c r="H20" s="14" t="s">
        <v>207</v>
      </c>
      <c r="I20" s="14" t="s">
        <v>79</v>
      </c>
      <c r="J20" s="14" t="s">
        <v>40</v>
      </c>
      <c r="K20" s="14"/>
      <c r="L20" s="14" t="s">
        <v>166</v>
      </c>
      <c r="M20" s="14" t="s">
        <v>279</v>
      </c>
      <c r="N20" s="14" t="s">
        <v>280</v>
      </c>
      <c r="O20" s="14"/>
      <c r="P20" s="14"/>
      <c r="Q20" s="14" t="s">
        <v>281</v>
      </c>
      <c r="R20" s="14" t="s">
        <v>282</v>
      </c>
      <c r="S20" s="14" t="s">
        <v>283</v>
      </c>
      <c r="T20" s="14" t="s">
        <v>156</v>
      </c>
      <c r="U20" s="14"/>
      <c r="V20" s="14"/>
      <c r="W20" s="14" t="s">
        <v>284</v>
      </c>
      <c r="X20" s="14" t="s">
        <v>285</v>
      </c>
      <c r="Y20" s="14" t="s">
        <v>286</v>
      </c>
      <c r="Z20" s="14" t="s">
        <v>287</v>
      </c>
      <c r="AA20" s="14" t="s">
        <v>52</v>
      </c>
      <c r="AB20" s="14" t="s">
        <v>156</v>
      </c>
      <c r="AC20" s="14"/>
      <c r="AD20" s="14" t="s">
        <v>53</v>
      </c>
      <c r="AE20" s="14" t="s">
        <v>156</v>
      </c>
      <c r="AF20" s="14" t="s">
        <v>54</v>
      </c>
      <c r="AG20" s="14" t="s">
        <v>156</v>
      </c>
    </row>
    <row r="21" s="9" customFormat="1" ht="46" hidden="1" customHeight="1" spans="1:33">
      <c r="A21" s="13">
        <v>46112</v>
      </c>
      <c r="B21" s="5" t="s">
        <v>288</v>
      </c>
      <c r="C21" s="5" t="s">
        <v>289</v>
      </c>
      <c r="D21" s="14" t="s">
        <v>290</v>
      </c>
      <c r="E21" s="14"/>
      <c r="F21" s="14" t="s">
        <v>291</v>
      </c>
      <c r="G21" s="14" t="s">
        <v>292</v>
      </c>
      <c r="H21" s="14" t="s">
        <v>165</v>
      </c>
      <c r="I21" s="14" t="s">
        <v>79</v>
      </c>
      <c r="J21" s="14" t="s">
        <v>40</v>
      </c>
      <c r="K21" s="14"/>
      <c r="L21" s="14" t="s">
        <v>42</v>
      </c>
      <c r="M21" s="14" t="s">
        <v>293</v>
      </c>
      <c r="N21" s="14" t="s">
        <v>294</v>
      </c>
      <c r="O21" s="14" t="s">
        <v>127</v>
      </c>
      <c r="P21" s="14"/>
      <c r="Q21" s="14" t="s">
        <v>295</v>
      </c>
      <c r="R21" s="14" t="s">
        <v>98</v>
      </c>
      <c r="S21" s="14" t="s">
        <v>296</v>
      </c>
      <c r="T21" s="14" t="s">
        <v>48</v>
      </c>
      <c r="U21" s="14"/>
      <c r="V21" s="14"/>
      <c r="W21" s="14" t="s">
        <v>297</v>
      </c>
      <c r="X21" s="14" t="s">
        <v>298</v>
      </c>
      <c r="Y21" s="14" t="s">
        <v>201</v>
      </c>
      <c r="Z21" s="14" t="s">
        <v>299</v>
      </c>
      <c r="AA21" s="14" t="s">
        <v>71</v>
      </c>
      <c r="AB21" s="14" t="s">
        <v>48</v>
      </c>
      <c r="AC21" s="14"/>
      <c r="AD21" s="14" t="s">
        <v>53</v>
      </c>
      <c r="AE21" s="14" t="s">
        <v>48</v>
      </c>
      <c r="AF21" s="14" t="s">
        <v>54</v>
      </c>
      <c r="AG21" s="14" t="s">
        <v>48</v>
      </c>
    </row>
    <row r="22" s="9" customFormat="1" ht="46" hidden="1" customHeight="1" spans="1:33">
      <c r="A22" s="13">
        <v>46112</v>
      </c>
      <c r="B22" s="5" t="s">
        <v>300</v>
      </c>
      <c r="C22" s="5" t="s">
        <v>301</v>
      </c>
      <c r="D22" s="14" t="s">
        <v>302</v>
      </c>
      <c r="E22" s="14"/>
      <c r="F22" s="14" t="s">
        <v>303</v>
      </c>
      <c r="G22" s="14" t="s">
        <v>304</v>
      </c>
      <c r="H22" s="14" t="s">
        <v>78</v>
      </c>
      <c r="I22" s="14" t="s">
        <v>79</v>
      </c>
      <c r="J22" s="14" t="s">
        <v>40</v>
      </c>
      <c r="K22" s="14"/>
      <c r="L22" s="14" t="s">
        <v>42</v>
      </c>
      <c r="M22" s="14" t="s">
        <v>209</v>
      </c>
      <c r="N22" s="14" t="s">
        <v>305</v>
      </c>
      <c r="O22" s="14"/>
      <c r="P22" s="14"/>
      <c r="Q22" s="14" t="s">
        <v>306</v>
      </c>
      <c r="R22" s="14" t="s">
        <v>114</v>
      </c>
      <c r="S22" s="14" t="s">
        <v>83</v>
      </c>
      <c r="T22" s="14" t="s">
        <v>48</v>
      </c>
      <c r="U22" s="14"/>
      <c r="V22" s="14"/>
      <c r="W22" s="14" t="s">
        <v>307</v>
      </c>
      <c r="X22" s="14" t="s">
        <v>308</v>
      </c>
      <c r="Y22" s="14" t="s">
        <v>201</v>
      </c>
      <c r="Z22" s="14" t="s">
        <v>309</v>
      </c>
      <c r="AA22" s="14" t="s">
        <v>52</v>
      </c>
      <c r="AB22" s="14" t="s">
        <v>48</v>
      </c>
      <c r="AC22" s="14"/>
      <c r="AD22" s="14" t="s">
        <v>53</v>
      </c>
      <c r="AE22" s="14" t="s">
        <v>48</v>
      </c>
      <c r="AF22" s="14" t="s">
        <v>54</v>
      </c>
      <c r="AG22" s="14" t="s">
        <v>48</v>
      </c>
    </row>
    <row r="23" s="9" customFormat="1" ht="46" hidden="1" customHeight="1" spans="1:33">
      <c r="A23" s="13">
        <v>46112</v>
      </c>
      <c r="B23" s="5" t="s">
        <v>310</v>
      </c>
      <c r="C23" s="5" t="s">
        <v>311</v>
      </c>
      <c r="D23" s="14" t="s">
        <v>312</v>
      </c>
      <c r="E23" s="14"/>
      <c r="F23" s="14" t="s">
        <v>313</v>
      </c>
      <c r="G23" s="14" t="s">
        <v>314</v>
      </c>
      <c r="H23" s="14" t="s">
        <v>78</v>
      </c>
      <c r="I23" s="14" t="s">
        <v>79</v>
      </c>
      <c r="J23" s="14" t="s">
        <v>40</v>
      </c>
      <c r="K23" s="14"/>
      <c r="L23" s="14" t="s">
        <v>42</v>
      </c>
      <c r="M23" s="14" t="s">
        <v>189</v>
      </c>
      <c r="N23" s="14" t="s">
        <v>315</v>
      </c>
      <c r="O23" s="14" t="s">
        <v>316</v>
      </c>
      <c r="P23" s="14"/>
      <c r="Q23" s="14" t="s">
        <v>317</v>
      </c>
      <c r="R23" s="14" t="s">
        <v>114</v>
      </c>
      <c r="S23" s="14" t="s">
        <v>83</v>
      </c>
      <c r="T23" s="14" t="s">
        <v>48</v>
      </c>
      <c r="U23" s="14"/>
      <c r="V23" s="14"/>
      <c r="W23" s="14" t="s">
        <v>318</v>
      </c>
      <c r="X23" s="14" t="s">
        <v>319</v>
      </c>
      <c r="Y23" s="14" t="s">
        <v>87</v>
      </c>
      <c r="Z23" s="14" t="s">
        <v>318</v>
      </c>
      <c r="AA23" s="14" t="s">
        <v>52</v>
      </c>
      <c r="AB23" s="14" t="s">
        <v>48</v>
      </c>
      <c r="AC23" s="14"/>
      <c r="AD23" s="14" t="s">
        <v>53</v>
      </c>
      <c r="AE23" s="14" t="s">
        <v>48</v>
      </c>
      <c r="AF23" s="14" t="s">
        <v>54</v>
      </c>
      <c r="AG23" s="14" t="s">
        <v>48</v>
      </c>
    </row>
    <row r="24" s="9" customFormat="1" ht="46" hidden="1" customHeight="1" spans="1:33">
      <c r="A24" s="13">
        <v>46112</v>
      </c>
      <c r="B24" s="5" t="s">
        <v>320</v>
      </c>
      <c r="C24" s="5" t="s">
        <v>321</v>
      </c>
      <c r="D24" s="14" t="s">
        <v>322</v>
      </c>
      <c r="E24" s="14"/>
      <c r="F24" s="14" t="s">
        <v>323</v>
      </c>
      <c r="G24" s="14" t="s">
        <v>148</v>
      </c>
      <c r="H24" s="14" t="s">
        <v>78</v>
      </c>
      <c r="I24" s="14" t="s">
        <v>79</v>
      </c>
      <c r="J24" s="14" t="s">
        <v>40</v>
      </c>
      <c r="K24" s="14"/>
      <c r="L24" s="14" t="s">
        <v>42</v>
      </c>
      <c r="M24" s="14" t="s">
        <v>324</v>
      </c>
      <c r="N24" s="14" t="s">
        <v>305</v>
      </c>
      <c r="O24" s="14"/>
      <c r="P24" s="14"/>
      <c r="Q24" s="14" t="s">
        <v>325</v>
      </c>
      <c r="R24" s="14" t="s">
        <v>114</v>
      </c>
      <c r="S24" s="14" t="s">
        <v>326</v>
      </c>
      <c r="T24" s="14" t="s">
        <v>48</v>
      </c>
      <c r="U24" s="14"/>
      <c r="V24" s="14"/>
      <c r="W24" s="14" t="s">
        <v>327</v>
      </c>
      <c r="X24" s="14" t="s">
        <v>328</v>
      </c>
      <c r="Y24" s="14" t="s">
        <v>201</v>
      </c>
      <c r="Z24" s="14" t="s">
        <v>327</v>
      </c>
      <c r="AA24" s="14" t="s">
        <v>52</v>
      </c>
      <c r="AB24" s="14" t="s">
        <v>48</v>
      </c>
      <c r="AC24" s="14"/>
      <c r="AD24" s="14" t="s">
        <v>53</v>
      </c>
      <c r="AE24" s="14" t="s">
        <v>48</v>
      </c>
      <c r="AF24" s="14" t="s">
        <v>54</v>
      </c>
      <c r="AG24" s="14" t="s">
        <v>48</v>
      </c>
    </row>
    <row r="25" s="9" customFormat="1" ht="46" hidden="1" customHeight="1" spans="1:33">
      <c r="A25" s="13">
        <v>46112</v>
      </c>
      <c r="B25" s="5" t="s">
        <v>329</v>
      </c>
      <c r="C25" s="5" t="s">
        <v>330</v>
      </c>
      <c r="D25" s="14" t="s">
        <v>331</v>
      </c>
      <c r="E25" s="14"/>
      <c r="F25" s="14" t="s">
        <v>332</v>
      </c>
      <c r="G25" s="14" t="s">
        <v>148</v>
      </c>
      <c r="H25" s="14" t="s">
        <v>78</v>
      </c>
      <c r="I25" s="14" t="s">
        <v>79</v>
      </c>
      <c r="J25" s="14" t="s">
        <v>40</v>
      </c>
      <c r="K25" s="14"/>
      <c r="L25" s="14" t="s">
        <v>42</v>
      </c>
      <c r="M25" s="14" t="s">
        <v>333</v>
      </c>
      <c r="N25" s="14" t="s">
        <v>305</v>
      </c>
      <c r="O25" s="14" t="s">
        <v>139</v>
      </c>
      <c r="P25" s="14"/>
      <c r="Q25" s="14" t="s">
        <v>334</v>
      </c>
      <c r="R25" s="14" t="s">
        <v>114</v>
      </c>
      <c r="S25" s="14" t="s">
        <v>335</v>
      </c>
      <c r="T25" s="14" t="s">
        <v>48</v>
      </c>
      <c r="U25" s="14"/>
      <c r="V25" s="14"/>
      <c r="W25" s="14" t="s">
        <v>336</v>
      </c>
      <c r="X25" s="14" t="s">
        <v>328</v>
      </c>
      <c r="Y25" s="14" t="s">
        <v>201</v>
      </c>
      <c r="Z25" s="14" t="s">
        <v>337</v>
      </c>
      <c r="AA25" s="14" t="s">
        <v>52</v>
      </c>
      <c r="AB25" s="14" t="s">
        <v>48</v>
      </c>
      <c r="AC25" s="14"/>
      <c r="AD25" s="14" t="s">
        <v>53</v>
      </c>
      <c r="AE25" s="14" t="s">
        <v>48</v>
      </c>
      <c r="AF25" s="14" t="s">
        <v>54</v>
      </c>
      <c r="AG25" s="14" t="s">
        <v>48</v>
      </c>
    </row>
    <row r="26" s="9" customFormat="1" ht="46" hidden="1" customHeight="1" spans="1:33">
      <c r="A26" s="13">
        <v>46112</v>
      </c>
      <c r="B26" s="5" t="s">
        <v>338</v>
      </c>
      <c r="C26" s="5" t="s">
        <v>339</v>
      </c>
      <c r="D26" s="14" t="s">
        <v>340</v>
      </c>
      <c r="E26" s="14"/>
      <c r="F26" s="14" t="s">
        <v>341</v>
      </c>
      <c r="G26" s="14" t="s">
        <v>342</v>
      </c>
      <c r="H26" s="14" t="s">
        <v>343</v>
      </c>
      <c r="I26" s="14" t="s">
        <v>39</v>
      </c>
      <c r="J26" s="14" t="s">
        <v>40</v>
      </c>
      <c r="K26" s="14"/>
      <c r="L26" s="14" t="s">
        <v>42</v>
      </c>
      <c r="M26" s="14" t="s">
        <v>293</v>
      </c>
      <c r="N26" s="14" t="s">
        <v>111</v>
      </c>
      <c r="O26" s="14" t="s">
        <v>344</v>
      </c>
      <c r="P26" s="14"/>
      <c r="Q26" s="14" t="s">
        <v>345</v>
      </c>
      <c r="R26" s="14" t="s">
        <v>114</v>
      </c>
      <c r="S26" s="14" t="s">
        <v>129</v>
      </c>
      <c r="T26" s="14" t="s">
        <v>48</v>
      </c>
      <c r="U26" s="14"/>
      <c r="V26" s="14"/>
      <c r="W26" s="14" t="s">
        <v>346</v>
      </c>
      <c r="X26" s="14" t="s">
        <v>347</v>
      </c>
      <c r="Y26" s="14" t="s">
        <v>274</v>
      </c>
      <c r="Z26" s="14" t="s">
        <v>348</v>
      </c>
      <c r="AA26" s="14" t="s">
        <v>52</v>
      </c>
      <c r="AB26" s="14" t="s">
        <v>48</v>
      </c>
      <c r="AC26" s="14"/>
      <c r="AD26" s="14" t="s">
        <v>53</v>
      </c>
      <c r="AE26" s="14" t="s">
        <v>48</v>
      </c>
      <c r="AF26" s="14" t="s">
        <v>54</v>
      </c>
      <c r="AG26" s="14" t="s">
        <v>48</v>
      </c>
    </row>
    <row r="27" s="9" customFormat="1" ht="46" hidden="1" customHeight="1" spans="1:33">
      <c r="A27" s="13">
        <v>46112</v>
      </c>
      <c r="B27" s="5" t="s">
        <v>349</v>
      </c>
      <c r="C27" s="5" t="s">
        <v>350</v>
      </c>
      <c r="D27" s="14" t="s">
        <v>351</v>
      </c>
      <c r="E27" s="14"/>
      <c r="F27" s="14" t="s">
        <v>352</v>
      </c>
      <c r="G27" s="14" t="s">
        <v>353</v>
      </c>
      <c r="H27" s="14" t="s">
        <v>354</v>
      </c>
      <c r="I27" s="14" t="s">
        <v>39</v>
      </c>
      <c r="J27" s="14" t="s">
        <v>40</v>
      </c>
      <c r="K27" s="14"/>
      <c r="L27" s="14" t="s">
        <v>355</v>
      </c>
      <c r="M27" s="14" t="s">
        <v>356</v>
      </c>
      <c r="N27" s="14" t="s">
        <v>357</v>
      </c>
      <c r="O27" s="14" t="s">
        <v>358</v>
      </c>
      <c r="P27" s="14" t="s">
        <v>359</v>
      </c>
      <c r="Q27" s="14" t="s">
        <v>360</v>
      </c>
      <c r="R27" s="14" t="s">
        <v>98</v>
      </c>
      <c r="S27" s="14" t="s">
        <v>142</v>
      </c>
      <c r="T27" s="14" t="s">
        <v>48</v>
      </c>
      <c r="U27" s="14"/>
      <c r="V27" s="14"/>
      <c r="W27" s="14" t="s">
        <v>361</v>
      </c>
      <c r="X27" s="14" t="s">
        <v>362</v>
      </c>
      <c r="Y27" s="14" t="s">
        <v>159</v>
      </c>
      <c r="Z27" s="14" t="s">
        <v>361</v>
      </c>
      <c r="AA27" s="14" t="s">
        <v>52</v>
      </c>
      <c r="AB27" s="14" t="s">
        <v>48</v>
      </c>
      <c r="AC27" s="14"/>
      <c r="AD27" s="14" t="s">
        <v>53</v>
      </c>
      <c r="AE27" s="14" t="s">
        <v>48</v>
      </c>
      <c r="AF27" s="14" t="s">
        <v>54</v>
      </c>
      <c r="AG27" s="14" t="s">
        <v>48</v>
      </c>
    </row>
    <row r="28" s="9" customFormat="1" ht="46" hidden="1" customHeight="1" spans="1:33">
      <c r="A28" s="13">
        <v>46112</v>
      </c>
      <c r="B28" s="5" t="s">
        <v>363</v>
      </c>
      <c r="C28" s="5" t="s">
        <v>364</v>
      </c>
      <c r="D28" s="14" t="s">
        <v>365</v>
      </c>
      <c r="E28" s="14"/>
      <c r="F28" s="14" t="s">
        <v>366</v>
      </c>
      <c r="G28" s="14" t="s">
        <v>367</v>
      </c>
      <c r="H28" s="14" t="s">
        <v>124</v>
      </c>
      <c r="I28" s="14" t="s">
        <v>79</v>
      </c>
      <c r="J28" s="14" t="s">
        <v>40</v>
      </c>
      <c r="K28" s="14"/>
      <c r="L28" s="14" t="s">
        <v>42</v>
      </c>
      <c r="M28" s="14" t="s">
        <v>368</v>
      </c>
      <c r="N28" s="14" t="s">
        <v>126</v>
      </c>
      <c r="O28" s="14" t="s">
        <v>369</v>
      </c>
      <c r="P28" s="14"/>
      <c r="Q28" s="14" t="s">
        <v>325</v>
      </c>
      <c r="R28" s="14" t="s">
        <v>98</v>
      </c>
      <c r="S28" s="14" t="s">
        <v>335</v>
      </c>
      <c r="T28" s="14" t="s">
        <v>48</v>
      </c>
      <c r="U28" s="14"/>
      <c r="V28" s="14"/>
      <c r="W28" s="14" t="s">
        <v>370</v>
      </c>
      <c r="X28" s="14" t="s">
        <v>371</v>
      </c>
      <c r="Y28" s="14" t="s">
        <v>274</v>
      </c>
      <c r="Z28" s="14" t="s">
        <v>370</v>
      </c>
      <c r="AA28" s="14" t="s">
        <v>52</v>
      </c>
      <c r="AB28" s="14" t="s">
        <v>48</v>
      </c>
      <c r="AC28" s="14"/>
      <c r="AD28" s="14" t="s">
        <v>53</v>
      </c>
      <c r="AE28" s="14" t="s">
        <v>48</v>
      </c>
      <c r="AF28" s="14" t="s">
        <v>54</v>
      </c>
      <c r="AG28" s="14" t="s">
        <v>48</v>
      </c>
    </row>
    <row r="29" s="9" customFormat="1" ht="46" hidden="1" customHeight="1" spans="1:33">
      <c r="A29" s="13">
        <v>46112</v>
      </c>
      <c r="B29" s="5" t="s">
        <v>372</v>
      </c>
      <c r="C29" s="5" t="s">
        <v>373</v>
      </c>
      <c r="D29" s="14" t="s">
        <v>374</v>
      </c>
      <c r="E29" s="14"/>
      <c r="F29" s="14" t="s">
        <v>375</v>
      </c>
      <c r="G29" s="14" t="s">
        <v>376</v>
      </c>
      <c r="H29" s="14" t="s">
        <v>78</v>
      </c>
      <c r="I29" s="14" t="s">
        <v>79</v>
      </c>
      <c r="J29" s="14" t="s">
        <v>40</v>
      </c>
      <c r="K29" s="14" t="s">
        <v>377</v>
      </c>
      <c r="L29" s="14" t="s">
        <v>378</v>
      </c>
      <c r="M29" s="14" t="s">
        <v>379</v>
      </c>
      <c r="N29" s="14" t="s">
        <v>380</v>
      </c>
      <c r="O29" s="14"/>
      <c r="P29" s="14"/>
      <c r="Q29" s="14" t="s">
        <v>381</v>
      </c>
      <c r="R29" s="14" t="s">
        <v>98</v>
      </c>
      <c r="S29" s="14" t="s">
        <v>335</v>
      </c>
      <c r="T29" s="14" t="s">
        <v>66</v>
      </c>
      <c r="U29" s="14"/>
      <c r="V29" s="14"/>
      <c r="W29" s="14" t="s">
        <v>382</v>
      </c>
      <c r="X29" s="14" t="s">
        <v>383</v>
      </c>
      <c r="Y29" s="14" t="s">
        <v>87</v>
      </c>
      <c r="Z29" s="14" t="s">
        <v>384</v>
      </c>
      <c r="AA29" s="14" t="s">
        <v>71</v>
      </c>
      <c r="AB29" s="14" t="s">
        <v>66</v>
      </c>
      <c r="AC29" s="14"/>
      <c r="AD29" s="14" t="s">
        <v>53</v>
      </c>
      <c r="AE29" s="14" t="s">
        <v>66</v>
      </c>
      <c r="AF29" s="14" t="s">
        <v>54</v>
      </c>
      <c r="AG29" s="14" t="s">
        <v>66</v>
      </c>
    </row>
    <row r="30" s="9" customFormat="1" ht="46" hidden="1" customHeight="1" spans="1:33">
      <c r="A30" s="13">
        <v>46112</v>
      </c>
      <c r="B30" s="5" t="s">
        <v>385</v>
      </c>
      <c r="C30" s="5" t="s">
        <v>386</v>
      </c>
      <c r="D30" s="14" t="s">
        <v>387</v>
      </c>
      <c r="E30" s="14"/>
      <c r="F30" s="14" t="s">
        <v>388</v>
      </c>
      <c r="G30" s="14" t="s">
        <v>389</v>
      </c>
      <c r="H30" s="14" t="s">
        <v>78</v>
      </c>
      <c r="I30" s="14" t="s">
        <v>39</v>
      </c>
      <c r="J30" s="14" t="s">
        <v>40</v>
      </c>
      <c r="K30" s="14"/>
      <c r="L30" s="14" t="s">
        <v>42</v>
      </c>
      <c r="M30" s="14" t="s">
        <v>390</v>
      </c>
      <c r="N30" s="14" t="s">
        <v>391</v>
      </c>
      <c r="O30" s="14" t="s">
        <v>154</v>
      </c>
      <c r="P30" s="14" t="s">
        <v>154</v>
      </c>
      <c r="Q30" s="14" t="s">
        <v>392</v>
      </c>
      <c r="R30" s="14" t="s">
        <v>393</v>
      </c>
      <c r="S30" s="14" t="s">
        <v>394</v>
      </c>
      <c r="T30" s="14" t="s">
        <v>395</v>
      </c>
      <c r="U30" s="14"/>
      <c r="V30" s="14"/>
      <c r="W30" s="14" t="s">
        <v>396</v>
      </c>
      <c r="X30" s="14" t="s">
        <v>397</v>
      </c>
      <c r="Y30" s="14" t="s">
        <v>201</v>
      </c>
      <c r="Z30" s="14" t="s">
        <v>398</v>
      </c>
      <c r="AA30" s="14" t="s">
        <v>399</v>
      </c>
      <c r="AB30" s="14" t="s">
        <v>395</v>
      </c>
      <c r="AC30" s="14"/>
      <c r="AD30" s="14" t="s">
        <v>53</v>
      </c>
      <c r="AE30" s="14" t="s">
        <v>395</v>
      </c>
      <c r="AF30" s="14" t="s">
        <v>54</v>
      </c>
      <c r="AG30" s="14" t="s">
        <v>395</v>
      </c>
    </row>
    <row r="31" s="9" customFormat="1" ht="46" hidden="1" customHeight="1" spans="1:33">
      <c r="A31" s="13">
        <v>46112</v>
      </c>
      <c r="B31" s="5" t="s">
        <v>400</v>
      </c>
      <c r="C31" s="5" t="s">
        <v>401</v>
      </c>
      <c r="D31" s="14" t="s">
        <v>402</v>
      </c>
      <c r="E31" s="14"/>
      <c r="F31" s="14" t="s">
        <v>403</v>
      </c>
      <c r="G31" s="14" t="s">
        <v>404</v>
      </c>
      <c r="H31" s="14" t="s">
        <v>94</v>
      </c>
      <c r="I31" s="14" t="s">
        <v>95</v>
      </c>
      <c r="J31" s="14" t="s">
        <v>40</v>
      </c>
      <c r="K31" s="14"/>
      <c r="L31" s="14" t="s">
        <v>42</v>
      </c>
      <c r="M31" s="14" t="s">
        <v>405</v>
      </c>
      <c r="N31" s="14" t="s">
        <v>406</v>
      </c>
      <c r="O31" s="14"/>
      <c r="P31" s="14"/>
      <c r="Q31" s="14" t="s">
        <v>407</v>
      </c>
      <c r="R31" s="14" t="s">
        <v>408</v>
      </c>
      <c r="S31" s="14" t="s">
        <v>142</v>
      </c>
      <c r="T31" s="14" t="s">
        <v>395</v>
      </c>
      <c r="U31" s="14" t="s">
        <v>66</v>
      </c>
      <c r="V31" s="14"/>
      <c r="W31" s="14" t="s">
        <v>409</v>
      </c>
      <c r="X31" s="14" t="s">
        <v>410</v>
      </c>
      <c r="Y31" s="14" t="s">
        <v>201</v>
      </c>
      <c r="Z31" s="14" t="s">
        <v>411</v>
      </c>
      <c r="AA31" s="14" t="s">
        <v>52</v>
      </c>
      <c r="AB31" s="14" t="s">
        <v>395</v>
      </c>
      <c r="AC31" s="14"/>
      <c r="AD31" s="14" t="s">
        <v>53</v>
      </c>
      <c r="AE31" s="14" t="s">
        <v>412</v>
      </c>
      <c r="AF31" s="14" t="s">
        <v>54</v>
      </c>
      <c r="AG31" s="14" t="s">
        <v>395</v>
      </c>
    </row>
    <row r="32" s="9" customFormat="1" ht="46" hidden="1" customHeight="1" spans="1:33">
      <c r="A32" s="13">
        <v>46112</v>
      </c>
      <c r="B32" s="5" t="s">
        <v>413</v>
      </c>
      <c r="C32" s="5" t="s">
        <v>414</v>
      </c>
      <c r="D32" s="14" t="s">
        <v>415</v>
      </c>
      <c r="E32" s="14"/>
      <c r="F32" s="14" t="s">
        <v>416</v>
      </c>
      <c r="G32" s="14" t="s">
        <v>417</v>
      </c>
      <c r="H32" s="14" t="s">
        <v>165</v>
      </c>
      <c r="I32" s="14" t="s">
        <v>39</v>
      </c>
      <c r="J32" s="14" t="s">
        <v>40</v>
      </c>
      <c r="K32" s="14"/>
      <c r="L32" s="14" t="s">
        <v>42</v>
      </c>
      <c r="M32" s="14" t="s">
        <v>209</v>
      </c>
      <c r="N32" s="14" t="s">
        <v>418</v>
      </c>
      <c r="O32" s="14" t="s">
        <v>419</v>
      </c>
      <c r="P32" s="14" t="s">
        <v>154</v>
      </c>
      <c r="Q32" s="14" t="s">
        <v>420</v>
      </c>
      <c r="R32" s="14" t="s">
        <v>421</v>
      </c>
      <c r="S32" s="14" t="s">
        <v>422</v>
      </c>
      <c r="T32" s="14" t="s">
        <v>395</v>
      </c>
      <c r="U32" s="14"/>
      <c r="V32" s="14"/>
      <c r="W32" s="14" t="s">
        <v>423</v>
      </c>
      <c r="X32" s="14" t="s">
        <v>424</v>
      </c>
      <c r="Y32" s="14" t="s">
        <v>201</v>
      </c>
      <c r="Z32" s="14" t="s">
        <v>425</v>
      </c>
      <c r="AA32" s="14" t="s">
        <v>71</v>
      </c>
      <c r="AB32" s="14" t="s">
        <v>395</v>
      </c>
      <c r="AC32" s="14"/>
      <c r="AD32" s="14" t="s">
        <v>53</v>
      </c>
      <c r="AE32" s="14" t="s">
        <v>395</v>
      </c>
      <c r="AF32" s="14" t="s">
        <v>54</v>
      </c>
      <c r="AG32" s="14" t="s">
        <v>395</v>
      </c>
    </row>
    <row r="33" s="9" customFormat="1" ht="46" hidden="1" customHeight="1" spans="1:33">
      <c r="A33" s="13">
        <v>46112</v>
      </c>
      <c r="B33" s="5" t="s">
        <v>426</v>
      </c>
      <c r="C33" s="5" t="s">
        <v>427</v>
      </c>
      <c r="D33" s="14" t="s">
        <v>428</v>
      </c>
      <c r="E33" s="14"/>
      <c r="F33" s="14" t="s">
        <v>429</v>
      </c>
      <c r="G33" s="14" t="s">
        <v>430</v>
      </c>
      <c r="H33" s="14" t="s">
        <v>78</v>
      </c>
      <c r="I33" s="14" t="s">
        <v>79</v>
      </c>
      <c r="J33" s="14" t="s">
        <v>40</v>
      </c>
      <c r="K33" s="14"/>
      <c r="L33" s="14" t="s">
        <v>42</v>
      </c>
      <c r="M33" s="14" t="s">
        <v>431</v>
      </c>
      <c r="N33" s="14" t="s">
        <v>432</v>
      </c>
      <c r="O33" s="14" t="s">
        <v>433</v>
      </c>
      <c r="P33" s="14" t="s">
        <v>154</v>
      </c>
      <c r="Q33" s="14" t="s">
        <v>434</v>
      </c>
      <c r="R33" s="14" t="s">
        <v>435</v>
      </c>
      <c r="S33" s="14" t="s">
        <v>436</v>
      </c>
      <c r="T33" s="14" t="s">
        <v>395</v>
      </c>
      <c r="U33" s="14"/>
      <c r="V33" s="14"/>
      <c r="W33" s="14" t="s">
        <v>437</v>
      </c>
      <c r="X33" s="14" t="s">
        <v>438</v>
      </c>
      <c r="Y33" s="14" t="s">
        <v>102</v>
      </c>
      <c r="Z33" s="14" t="s">
        <v>439</v>
      </c>
      <c r="AA33" s="14" t="s">
        <v>52</v>
      </c>
      <c r="AB33" s="14" t="s">
        <v>395</v>
      </c>
      <c r="AC33" s="14"/>
      <c r="AD33" s="14" t="s">
        <v>53</v>
      </c>
      <c r="AE33" s="14" t="s">
        <v>395</v>
      </c>
      <c r="AF33" s="14" t="s">
        <v>54</v>
      </c>
      <c r="AG33" s="14" t="s">
        <v>395</v>
      </c>
    </row>
    <row r="34" s="9" customFormat="1" ht="46" hidden="1" customHeight="1" spans="1:33">
      <c r="A34" s="13">
        <v>46112</v>
      </c>
      <c r="B34" s="5" t="s">
        <v>440</v>
      </c>
      <c r="C34" s="5" t="s">
        <v>441</v>
      </c>
      <c r="D34" s="14" t="s">
        <v>442</v>
      </c>
      <c r="E34" s="14"/>
      <c r="F34" s="14" t="s">
        <v>443</v>
      </c>
      <c r="G34" s="14" t="s">
        <v>444</v>
      </c>
      <c r="H34" s="14" t="s">
        <v>165</v>
      </c>
      <c r="I34" s="14" t="s">
        <v>39</v>
      </c>
      <c r="J34" s="14" t="s">
        <v>40</v>
      </c>
      <c r="K34" s="14"/>
      <c r="L34" s="14" t="s">
        <v>42</v>
      </c>
      <c r="M34" s="14" t="s">
        <v>445</v>
      </c>
      <c r="N34" s="14" t="s">
        <v>446</v>
      </c>
      <c r="O34" s="14" t="s">
        <v>447</v>
      </c>
      <c r="P34" s="14" t="s">
        <v>448</v>
      </c>
      <c r="Q34" s="14" t="s">
        <v>449</v>
      </c>
      <c r="R34" s="14" t="s">
        <v>450</v>
      </c>
      <c r="S34" s="14" t="s">
        <v>142</v>
      </c>
      <c r="T34" s="14" t="s">
        <v>395</v>
      </c>
      <c r="U34" s="14"/>
      <c r="V34" s="14"/>
      <c r="W34" s="14" t="s">
        <v>451</v>
      </c>
      <c r="X34" s="14" t="s">
        <v>452</v>
      </c>
      <c r="Y34" s="14" t="s">
        <v>274</v>
      </c>
      <c r="Z34" s="14" t="s">
        <v>453</v>
      </c>
      <c r="AA34" s="14" t="s">
        <v>52</v>
      </c>
      <c r="AB34" s="14" t="s">
        <v>395</v>
      </c>
      <c r="AC34" s="14"/>
      <c r="AD34" s="14" t="s">
        <v>53</v>
      </c>
      <c r="AE34" s="14" t="s">
        <v>395</v>
      </c>
      <c r="AF34" s="14" t="s">
        <v>54</v>
      </c>
      <c r="AG34" s="14" t="s">
        <v>395</v>
      </c>
    </row>
    <row r="35" s="9" customFormat="1" ht="46" hidden="1" customHeight="1" spans="1:33">
      <c r="A35" s="13">
        <v>46112</v>
      </c>
      <c r="B35" s="5" t="s">
        <v>454</v>
      </c>
      <c r="C35" s="5" t="s">
        <v>455</v>
      </c>
      <c r="D35" s="14" t="s">
        <v>456</v>
      </c>
      <c r="E35" s="14"/>
      <c r="F35" s="14" t="s">
        <v>457</v>
      </c>
      <c r="G35" s="14" t="s">
        <v>458</v>
      </c>
      <c r="H35" s="14" t="s">
        <v>78</v>
      </c>
      <c r="I35" s="14" t="s">
        <v>79</v>
      </c>
      <c r="J35" s="14" t="s">
        <v>40</v>
      </c>
      <c r="K35" s="14"/>
      <c r="L35" s="14" t="s">
        <v>42</v>
      </c>
      <c r="M35" s="14" t="s">
        <v>279</v>
      </c>
      <c r="N35" s="14" t="s">
        <v>459</v>
      </c>
      <c r="O35" s="14" t="s">
        <v>460</v>
      </c>
      <c r="P35" s="14" t="s">
        <v>461</v>
      </c>
      <c r="Q35" s="14" t="s">
        <v>462</v>
      </c>
      <c r="R35" s="14" t="s">
        <v>463</v>
      </c>
      <c r="S35" s="14" t="s">
        <v>436</v>
      </c>
      <c r="T35" s="14" t="s">
        <v>395</v>
      </c>
      <c r="U35" s="14" t="s">
        <v>66</v>
      </c>
      <c r="V35" s="14"/>
      <c r="W35" s="14" t="s">
        <v>464</v>
      </c>
      <c r="X35" s="14" t="s">
        <v>465</v>
      </c>
      <c r="Y35" s="14" t="s">
        <v>274</v>
      </c>
      <c r="Z35" s="14" t="s">
        <v>466</v>
      </c>
      <c r="AA35" s="14" t="s">
        <v>52</v>
      </c>
      <c r="AB35" s="14" t="s">
        <v>395</v>
      </c>
      <c r="AC35" s="14"/>
      <c r="AD35" s="14" t="s">
        <v>53</v>
      </c>
      <c r="AE35" s="14" t="s">
        <v>395</v>
      </c>
      <c r="AF35" s="14" t="s">
        <v>54</v>
      </c>
      <c r="AG35" s="14" t="s">
        <v>395</v>
      </c>
    </row>
    <row r="36" s="9" customFormat="1" ht="46" hidden="1" customHeight="1" spans="1:33">
      <c r="A36" s="13">
        <v>46112</v>
      </c>
      <c r="B36" s="5" t="s">
        <v>467</v>
      </c>
      <c r="C36" s="5" t="s">
        <v>468</v>
      </c>
      <c r="D36" s="14" t="s">
        <v>469</v>
      </c>
      <c r="E36" s="14"/>
      <c r="F36" s="14" t="s">
        <v>470</v>
      </c>
      <c r="G36" s="14" t="s">
        <v>471</v>
      </c>
      <c r="H36" s="14" t="s">
        <v>221</v>
      </c>
      <c r="I36" s="14" t="s">
        <v>39</v>
      </c>
      <c r="J36" s="14" t="s">
        <v>40</v>
      </c>
      <c r="K36" s="14"/>
      <c r="L36" s="14" t="s">
        <v>42</v>
      </c>
      <c r="M36" s="14" t="s">
        <v>472</v>
      </c>
      <c r="N36" s="14" t="s">
        <v>473</v>
      </c>
      <c r="O36" s="14" t="s">
        <v>474</v>
      </c>
      <c r="P36" s="14" t="s">
        <v>475</v>
      </c>
      <c r="Q36" s="14" t="s">
        <v>476</v>
      </c>
      <c r="R36" s="14" t="s">
        <v>408</v>
      </c>
      <c r="S36" s="14" t="s">
        <v>477</v>
      </c>
      <c r="T36" s="14" t="s">
        <v>395</v>
      </c>
      <c r="U36" s="14"/>
      <c r="V36" s="14"/>
      <c r="W36" s="14" t="s">
        <v>478</v>
      </c>
      <c r="X36" s="14" t="s">
        <v>479</v>
      </c>
      <c r="Y36" s="14" t="s">
        <v>480</v>
      </c>
      <c r="Z36" s="14" t="s">
        <v>481</v>
      </c>
      <c r="AA36" s="14" t="s">
        <v>52</v>
      </c>
      <c r="AB36" s="14" t="s">
        <v>395</v>
      </c>
      <c r="AC36" s="14"/>
      <c r="AD36" s="14" t="s">
        <v>53</v>
      </c>
      <c r="AE36" s="14" t="s">
        <v>395</v>
      </c>
      <c r="AF36" s="14" t="s">
        <v>54</v>
      </c>
      <c r="AG36" s="14" t="s">
        <v>395</v>
      </c>
    </row>
    <row r="37" s="9" customFormat="1" ht="46" hidden="1" customHeight="1" spans="1:33">
      <c r="A37" s="13">
        <v>46112</v>
      </c>
      <c r="B37" s="5" t="s">
        <v>482</v>
      </c>
      <c r="C37" s="5" t="s">
        <v>483</v>
      </c>
      <c r="D37" s="14" t="s">
        <v>484</v>
      </c>
      <c r="E37" s="14"/>
      <c r="F37" s="14" t="s">
        <v>485</v>
      </c>
      <c r="G37" s="14" t="s">
        <v>486</v>
      </c>
      <c r="H37" s="14" t="s">
        <v>221</v>
      </c>
      <c r="I37" s="14" t="s">
        <v>39</v>
      </c>
      <c r="J37" s="14" t="s">
        <v>40</v>
      </c>
      <c r="K37" s="14"/>
      <c r="L37" s="14" t="s">
        <v>42</v>
      </c>
      <c r="M37" s="14" t="s">
        <v>487</v>
      </c>
      <c r="N37" s="14" t="s">
        <v>473</v>
      </c>
      <c r="O37" s="14" t="s">
        <v>236</v>
      </c>
      <c r="P37" s="14" t="s">
        <v>154</v>
      </c>
      <c r="Q37" s="14" t="s">
        <v>488</v>
      </c>
      <c r="R37" s="14" t="s">
        <v>489</v>
      </c>
      <c r="S37" s="14" t="s">
        <v>477</v>
      </c>
      <c r="T37" s="14" t="s">
        <v>395</v>
      </c>
      <c r="U37" s="14"/>
      <c r="V37" s="14"/>
      <c r="W37" s="14" t="s">
        <v>490</v>
      </c>
      <c r="X37" s="14" t="s">
        <v>491</v>
      </c>
      <c r="Y37" s="14" t="s">
        <v>480</v>
      </c>
      <c r="Z37" s="14" t="s">
        <v>492</v>
      </c>
      <c r="AA37" s="14" t="s">
        <v>52</v>
      </c>
      <c r="AB37" s="14" t="s">
        <v>395</v>
      </c>
      <c r="AC37" s="14"/>
      <c r="AD37" s="14" t="s">
        <v>53</v>
      </c>
      <c r="AE37" s="14" t="s">
        <v>395</v>
      </c>
      <c r="AF37" s="14" t="s">
        <v>54</v>
      </c>
      <c r="AG37" s="14" t="s">
        <v>395</v>
      </c>
    </row>
    <row r="38" s="9" customFormat="1" ht="46" hidden="1" customHeight="1" spans="1:33">
      <c r="A38" s="13">
        <v>46112</v>
      </c>
      <c r="B38" s="5" t="s">
        <v>493</v>
      </c>
      <c r="C38" s="5" t="s">
        <v>494</v>
      </c>
      <c r="D38" s="14" t="s">
        <v>495</v>
      </c>
      <c r="E38" s="14"/>
      <c r="F38" s="14" t="s">
        <v>496</v>
      </c>
      <c r="G38" s="14" t="s">
        <v>497</v>
      </c>
      <c r="H38" s="14" t="s">
        <v>343</v>
      </c>
      <c r="I38" s="14" t="s">
        <v>39</v>
      </c>
      <c r="J38" s="14" t="s">
        <v>40</v>
      </c>
      <c r="K38" s="14"/>
      <c r="L38" s="14" t="s">
        <v>42</v>
      </c>
      <c r="M38" s="14" t="s">
        <v>498</v>
      </c>
      <c r="N38" s="14" t="s">
        <v>499</v>
      </c>
      <c r="O38" s="14" t="s">
        <v>500</v>
      </c>
      <c r="P38" s="14" t="s">
        <v>154</v>
      </c>
      <c r="Q38" s="14" t="s">
        <v>501</v>
      </c>
      <c r="R38" s="14" t="s">
        <v>502</v>
      </c>
      <c r="S38" s="14" t="s">
        <v>503</v>
      </c>
      <c r="T38" s="14" t="s">
        <v>395</v>
      </c>
      <c r="U38" s="14"/>
      <c r="V38" s="14"/>
      <c r="W38" s="14" t="s">
        <v>504</v>
      </c>
      <c r="X38" s="14" t="s">
        <v>505</v>
      </c>
      <c r="Y38" s="14" t="s">
        <v>102</v>
      </c>
      <c r="Z38" s="14" t="s">
        <v>506</v>
      </c>
      <c r="AA38" s="14" t="s">
        <v>71</v>
      </c>
      <c r="AB38" s="14" t="s">
        <v>395</v>
      </c>
      <c r="AC38" s="14"/>
      <c r="AD38" s="14" t="s">
        <v>53</v>
      </c>
      <c r="AE38" s="14" t="s">
        <v>395</v>
      </c>
      <c r="AF38" s="14" t="s">
        <v>54</v>
      </c>
      <c r="AG38" s="14" t="s">
        <v>395</v>
      </c>
    </row>
    <row r="39" s="9" customFormat="1" ht="46" hidden="1" customHeight="1" spans="1:33">
      <c r="A39" s="13">
        <v>46112</v>
      </c>
      <c r="B39" s="5" t="s">
        <v>507</v>
      </c>
      <c r="C39" s="5" t="s">
        <v>508</v>
      </c>
      <c r="D39" s="14" t="s">
        <v>509</v>
      </c>
      <c r="E39" s="14"/>
      <c r="F39" s="14" t="s">
        <v>510</v>
      </c>
      <c r="G39" s="14" t="s">
        <v>511</v>
      </c>
      <c r="H39" s="14" t="s">
        <v>354</v>
      </c>
      <c r="I39" s="14" t="s">
        <v>39</v>
      </c>
      <c r="J39" s="14" t="s">
        <v>40</v>
      </c>
      <c r="K39" s="14"/>
      <c r="L39" s="14" t="s">
        <v>42</v>
      </c>
      <c r="M39" s="14" t="s">
        <v>279</v>
      </c>
      <c r="N39" s="14" t="s">
        <v>512</v>
      </c>
      <c r="O39" s="14"/>
      <c r="P39" s="14"/>
      <c r="Q39" s="14" t="s">
        <v>513</v>
      </c>
      <c r="R39" s="14" t="s">
        <v>514</v>
      </c>
      <c r="S39" s="14" t="s">
        <v>83</v>
      </c>
      <c r="T39" s="14" t="s">
        <v>515</v>
      </c>
      <c r="U39" s="14"/>
      <c r="V39" s="14"/>
      <c r="W39" s="14" t="s">
        <v>516</v>
      </c>
      <c r="X39" s="14" t="s">
        <v>517</v>
      </c>
      <c r="Y39" s="14" t="s">
        <v>480</v>
      </c>
      <c r="Z39" s="14" t="s">
        <v>518</v>
      </c>
      <c r="AA39" s="14" t="s">
        <v>52</v>
      </c>
      <c r="AB39" s="14" t="s">
        <v>515</v>
      </c>
      <c r="AC39" s="14"/>
      <c r="AD39" s="14" t="s">
        <v>53</v>
      </c>
      <c r="AE39" s="14" t="s">
        <v>515</v>
      </c>
      <c r="AF39" s="14" t="s">
        <v>54</v>
      </c>
      <c r="AG39" s="14" t="s">
        <v>515</v>
      </c>
    </row>
    <row r="40" s="9" customFormat="1" ht="46" hidden="1" customHeight="1" spans="1:33">
      <c r="A40" s="13">
        <v>46112</v>
      </c>
      <c r="B40" s="5" t="s">
        <v>519</v>
      </c>
      <c r="C40" s="5" t="s">
        <v>520</v>
      </c>
      <c r="D40" s="14" t="s">
        <v>521</v>
      </c>
      <c r="E40" s="14"/>
      <c r="F40" s="14" t="s">
        <v>522</v>
      </c>
      <c r="G40" s="14" t="s">
        <v>523</v>
      </c>
      <c r="H40" s="14" t="s">
        <v>78</v>
      </c>
      <c r="I40" s="14" t="s">
        <v>79</v>
      </c>
      <c r="J40" s="14" t="s">
        <v>40</v>
      </c>
      <c r="K40" s="14"/>
      <c r="L40" s="14" t="s">
        <v>42</v>
      </c>
      <c r="M40" s="14" t="s">
        <v>167</v>
      </c>
      <c r="N40" s="14" t="s">
        <v>524</v>
      </c>
      <c r="O40" s="14"/>
      <c r="P40" s="14"/>
      <c r="Q40" s="14" t="s">
        <v>525</v>
      </c>
      <c r="R40" s="14" t="s">
        <v>526</v>
      </c>
      <c r="S40" s="14" t="s">
        <v>527</v>
      </c>
      <c r="T40" s="14" t="s">
        <v>515</v>
      </c>
      <c r="U40" s="14"/>
      <c r="V40" s="14"/>
      <c r="W40" s="14" t="s">
        <v>528</v>
      </c>
      <c r="X40" s="14" t="s">
        <v>529</v>
      </c>
      <c r="Y40" s="14" t="s">
        <v>87</v>
      </c>
      <c r="Z40" s="14" t="s">
        <v>530</v>
      </c>
      <c r="AA40" s="14" t="s">
        <v>71</v>
      </c>
      <c r="AB40" s="14" t="s">
        <v>515</v>
      </c>
      <c r="AC40" s="14"/>
      <c r="AD40" s="14" t="s">
        <v>53</v>
      </c>
      <c r="AE40" s="14" t="s">
        <v>515</v>
      </c>
      <c r="AF40" s="14" t="s">
        <v>54</v>
      </c>
      <c r="AG40" s="14" t="s">
        <v>515</v>
      </c>
    </row>
    <row r="41" s="9" customFormat="1" ht="46" hidden="1" customHeight="1" spans="1:33">
      <c r="A41" s="13">
        <v>46112</v>
      </c>
      <c r="B41" s="5" t="s">
        <v>531</v>
      </c>
      <c r="C41" s="5" t="s">
        <v>532</v>
      </c>
      <c r="D41" s="14" t="s">
        <v>533</v>
      </c>
      <c r="E41" s="14"/>
      <c r="F41" s="14" t="s">
        <v>534</v>
      </c>
      <c r="G41" s="14" t="s">
        <v>535</v>
      </c>
      <c r="H41" s="14" t="s">
        <v>78</v>
      </c>
      <c r="I41" s="14" t="s">
        <v>39</v>
      </c>
      <c r="J41" s="14" t="s">
        <v>40</v>
      </c>
      <c r="K41" s="14"/>
      <c r="L41" s="14" t="s">
        <v>42</v>
      </c>
      <c r="M41" s="14" t="s">
        <v>536</v>
      </c>
      <c r="N41" s="14" t="s">
        <v>537</v>
      </c>
      <c r="O41" s="14" t="s">
        <v>538</v>
      </c>
      <c r="P41" s="14" t="s">
        <v>154</v>
      </c>
      <c r="Q41" s="14" t="s">
        <v>539</v>
      </c>
      <c r="R41" s="14" t="s">
        <v>540</v>
      </c>
      <c r="S41" s="14" t="s">
        <v>541</v>
      </c>
      <c r="T41" s="14" t="s">
        <v>515</v>
      </c>
      <c r="U41" s="14" t="s">
        <v>395</v>
      </c>
      <c r="V41" s="14" t="s">
        <v>542</v>
      </c>
      <c r="W41" s="14" t="s">
        <v>543</v>
      </c>
      <c r="X41" s="14" t="s">
        <v>544</v>
      </c>
      <c r="Y41" s="14" t="s">
        <v>87</v>
      </c>
      <c r="Z41" s="14" t="s">
        <v>545</v>
      </c>
      <c r="AA41" s="14" t="s">
        <v>71</v>
      </c>
      <c r="AB41" s="14" t="s">
        <v>395</v>
      </c>
      <c r="AC41" s="14"/>
      <c r="AD41" s="14" t="s">
        <v>53</v>
      </c>
      <c r="AE41" s="14" t="s">
        <v>395</v>
      </c>
      <c r="AF41" s="14" t="s">
        <v>54</v>
      </c>
      <c r="AG41" s="14" t="s">
        <v>515</v>
      </c>
    </row>
    <row r="42" s="9" customFormat="1" ht="46" hidden="1" customHeight="1" spans="1:33">
      <c r="A42" s="13">
        <v>46112</v>
      </c>
      <c r="B42" s="5" t="s">
        <v>546</v>
      </c>
      <c r="C42" s="5" t="s">
        <v>547</v>
      </c>
      <c r="D42" s="14" t="s">
        <v>548</v>
      </c>
      <c r="E42" s="14"/>
      <c r="F42" s="14" t="s">
        <v>549</v>
      </c>
      <c r="G42" s="14" t="s">
        <v>550</v>
      </c>
      <c r="H42" s="14" t="s">
        <v>165</v>
      </c>
      <c r="I42" s="14" t="s">
        <v>39</v>
      </c>
      <c r="J42" s="14" t="s">
        <v>40</v>
      </c>
      <c r="K42" s="14" t="s">
        <v>551</v>
      </c>
      <c r="L42" s="14" t="s">
        <v>42</v>
      </c>
      <c r="M42" s="14" t="s">
        <v>552</v>
      </c>
      <c r="N42" s="14" t="s">
        <v>553</v>
      </c>
      <c r="O42" s="14" t="s">
        <v>112</v>
      </c>
      <c r="P42" s="14" t="s">
        <v>554</v>
      </c>
      <c r="Q42" s="14" t="s">
        <v>555</v>
      </c>
      <c r="R42" s="14" t="s">
        <v>98</v>
      </c>
      <c r="S42" s="14" t="s">
        <v>142</v>
      </c>
      <c r="T42" s="14" t="s">
        <v>116</v>
      </c>
      <c r="U42" s="14"/>
      <c r="V42" s="14"/>
      <c r="W42" s="14" t="s">
        <v>556</v>
      </c>
      <c r="X42" s="14" t="s">
        <v>557</v>
      </c>
      <c r="Y42" s="14" t="s">
        <v>159</v>
      </c>
      <c r="Z42" s="14" t="s">
        <v>558</v>
      </c>
      <c r="AA42" s="14" t="s">
        <v>71</v>
      </c>
      <c r="AB42" s="14" t="s">
        <v>116</v>
      </c>
      <c r="AC42" s="14"/>
      <c r="AD42" s="14" t="s">
        <v>53</v>
      </c>
      <c r="AE42" s="14" t="s">
        <v>116</v>
      </c>
      <c r="AF42" s="14" t="s">
        <v>54</v>
      </c>
      <c r="AG42" s="14" t="s">
        <v>116</v>
      </c>
    </row>
    <row r="43" s="9" customFormat="1" ht="46" hidden="1" customHeight="1" spans="1:33">
      <c r="A43" s="13">
        <v>46112</v>
      </c>
      <c r="B43" s="5" t="s">
        <v>559</v>
      </c>
      <c r="C43" s="5" t="s">
        <v>560</v>
      </c>
      <c r="D43" s="14" t="s">
        <v>561</v>
      </c>
      <c r="E43" s="14"/>
      <c r="F43" s="14" t="s">
        <v>562</v>
      </c>
      <c r="G43" s="14" t="s">
        <v>563</v>
      </c>
      <c r="H43" s="14" t="s">
        <v>38</v>
      </c>
      <c r="I43" s="14" t="s">
        <v>39</v>
      </c>
      <c r="J43" s="14" t="s">
        <v>40</v>
      </c>
      <c r="K43" s="14"/>
      <c r="L43" s="14" t="s">
        <v>42</v>
      </c>
      <c r="M43" s="14" t="s">
        <v>564</v>
      </c>
      <c r="N43" s="14" t="s">
        <v>565</v>
      </c>
      <c r="O43" s="14" t="s">
        <v>566</v>
      </c>
      <c r="P43" s="14"/>
      <c r="Q43" s="14" t="s">
        <v>476</v>
      </c>
      <c r="R43" s="14" t="s">
        <v>141</v>
      </c>
      <c r="S43" s="14" t="s">
        <v>567</v>
      </c>
      <c r="T43" s="14" t="s">
        <v>116</v>
      </c>
      <c r="U43" s="14"/>
      <c r="V43" s="14"/>
      <c r="W43" s="14" t="s">
        <v>568</v>
      </c>
      <c r="X43" s="14" t="s">
        <v>569</v>
      </c>
      <c r="Y43" s="14" t="s">
        <v>159</v>
      </c>
      <c r="Z43" s="14" t="s">
        <v>570</v>
      </c>
      <c r="AA43" s="14" t="s">
        <v>52</v>
      </c>
      <c r="AB43" s="14" t="s">
        <v>116</v>
      </c>
      <c r="AC43" s="14"/>
      <c r="AD43" s="14" t="s">
        <v>53</v>
      </c>
      <c r="AE43" s="14" t="s">
        <v>116</v>
      </c>
      <c r="AF43" s="14" t="s">
        <v>54</v>
      </c>
      <c r="AG43" s="14" t="s">
        <v>116</v>
      </c>
    </row>
    <row r="44" s="9" customFormat="1" ht="46" hidden="1" customHeight="1" spans="1:33">
      <c r="A44" s="13">
        <v>46112</v>
      </c>
      <c r="B44" s="5" t="s">
        <v>571</v>
      </c>
      <c r="C44" s="5" t="s">
        <v>572</v>
      </c>
      <c r="D44" s="14" t="s">
        <v>573</v>
      </c>
      <c r="E44" s="14"/>
      <c r="F44" s="14" t="s">
        <v>574</v>
      </c>
      <c r="G44" s="14" t="s">
        <v>574</v>
      </c>
      <c r="H44" s="14" t="s">
        <v>38</v>
      </c>
      <c r="I44" s="14" t="s">
        <v>39</v>
      </c>
      <c r="J44" s="14" t="s">
        <v>40</v>
      </c>
      <c r="K44" s="14"/>
      <c r="L44" s="14" t="s">
        <v>42</v>
      </c>
      <c r="M44" s="14" t="s">
        <v>575</v>
      </c>
      <c r="N44" s="14" t="s">
        <v>565</v>
      </c>
      <c r="O44" s="14"/>
      <c r="P44" s="14"/>
      <c r="Q44" s="14" t="s">
        <v>576</v>
      </c>
      <c r="R44" s="14" t="s">
        <v>577</v>
      </c>
      <c r="S44" s="14" t="s">
        <v>578</v>
      </c>
      <c r="T44" s="14" t="s">
        <v>116</v>
      </c>
      <c r="U44" s="14"/>
      <c r="V44" s="14"/>
      <c r="W44" s="14" t="s">
        <v>579</v>
      </c>
      <c r="X44" s="14" t="s">
        <v>580</v>
      </c>
      <c r="Y44" s="14" t="s">
        <v>102</v>
      </c>
      <c r="Z44" s="14" t="s">
        <v>581</v>
      </c>
      <c r="AA44" s="14" t="s">
        <v>71</v>
      </c>
      <c r="AB44" s="14" t="s">
        <v>116</v>
      </c>
      <c r="AC44" s="14"/>
      <c r="AD44" s="14" t="s">
        <v>53</v>
      </c>
      <c r="AE44" s="14" t="s">
        <v>116</v>
      </c>
      <c r="AF44" s="14" t="s">
        <v>54</v>
      </c>
      <c r="AG44" s="14" t="s">
        <v>116</v>
      </c>
    </row>
    <row r="45" s="9" customFormat="1" ht="46" hidden="1" customHeight="1" spans="1:33">
      <c r="A45" s="13">
        <v>46112</v>
      </c>
      <c r="B45" s="5" t="s">
        <v>582</v>
      </c>
      <c r="C45" s="5" t="s">
        <v>583</v>
      </c>
      <c r="D45" s="14" t="s">
        <v>584</v>
      </c>
      <c r="E45" s="14"/>
      <c r="F45" s="14" t="s">
        <v>585</v>
      </c>
      <c r="G45" s="14" t="s">
        <v>586</v>
      </c>
      <c r="H45" s="14" t="s">
        <v>78</v>
      </c>
      <c r="I45" s="14" t="s">
        <v>79</v>
      </c>
      <c r="J45" s="14" t="s">
        <v>40</v>
      </c>
      <c r="K45" s="14"/>
      <c r="L45" s="14" t="s">
        <v>42</v>
      </c>
      <c r="M45" s="14" t="s">
        <v>587</v>
      </c>
      <c r="N45" s="14" t="s">
        <v>138</v>
      </c>
      <c r="O45" s="14" t="s">
        <v>588</v>
      </c>
      <c r="P45" s="14"/>
      <c r="Q45" s="14" t="s">
        <v>317</v>
      </c>
      <c r="R45" s="14" t="s">
        <v>114</v>
      </c>
      <c r="S45" s="14" t="s">
        <v>335</v>
      </c>
      <c r="T45" s="14" t="s">
        <v>116</v>
      </c>
      <c r="U45" s="14"/>
      <c r="V45" s="14"/>
      <c r="W45" s="14" t="s">
        <v>589</v>
      </c>
      <c r="X45" s="14" t="s">
        <v>590</v>
      </c>
      <c r="Y45" s="14" t="s">
        <v>480</v>
      </c>
      <c r="Z45" s="14" t="s">
        <v>591</v>
      </c>
      <c r="AA45" s="14" t="s">
        <v>71</v>
      </c>
      <c r="AB45" s="14" t="s">
        <v>116</v>
      </c>
      <c r="AC45" s="14"/>
      <c r="AD45" s="14" t="s">
        <v>53</v>
      </c>
      <c r="AE45" s="14" t="s">
        <v>116</v>
      </c>
      <c r="AF45" s="14" t="s">
        <v>54</v>
      </c>
      <c r="AG45" s="14" t="s">
        <v>116</v>
      </c>
    </row>
    <row r="46" s="9" customFormat="1" ht="46" hidden="1" customHeight="1" spans="1:33">
      <c r="A46" s="13">
        <v>46112</v>
      </c>
      <c r="B46" s="5" t="s">
        <v>592</v>
      </c>
      <c r="C46" s="5" t="s">
        <v>593</v>
      </c>
      <c r="D46" s="14" t="s">
        <v>594</v>
      </c>
      <c r="E46" s="14"/>
      <c r="F46" s="14" t="s">
        <v>595</v>
      </c>
      <c r="G46" s="14" t="s">
        <v>596</v>
      </c>
      <c r="H46" s="14" t="s">
        <v>38</v>
      </c>
      <c r="I46" s="14" t="s">
        <v>39</v>
      </c>
      <c r="J46" s="14" t="s">
        <v>40</v>
      </c>
      <c r="K46" s="14"/>
      <c r="L46" s="14" t="s">
        <v>42</v>
      </c>
      <c r="M46" s="14" t="s">
        <v>597</v>
      </c>
      <c r="N46" s="14" t="s">
        <v>598</v>
      </c>
      <c r="O46" s="14"/>
      <c r="P46" s="14" t="s">
        <v>599</v>
      </c>
      <c r="Q46" s="14" t="s">
        <v>476</v>
      </c>
      <c r="R46" s="14" t="s">
        <v>98</v>
      </c>
      <c r="S46" s="14" t="s">
        <v>99</v>
      </c>
      <c r="T46" s="14" t="s">
        <v>116</v>
      </c>
      <c r="U46" s="14"/>
      <c r="V46" s="14"/>
      <c r="W46" s="14" t="s">
        <v>600</v>
      </c>
      <c r="X46" s="14" t="s">
        <v>601</v>
      </c>
      <c r="Y46" s="14" t="s">
        <v>159</v>
      </c>
      <c r="Z46" s="14" t="s">
        <v>602</v>
      </c>
      <c r="AA46" s="14" t="s">
        <v>71</v>
      </c>
      <c r="AB46" s="14" t="s">
        <v>116</v>
      </c>
      <c r="AC46" s="14"/>
      <c r="AD46" s="14" t="s">
        <v>53</v>
      </c>
      <c r="AE46" s="14" t="s">
        <v>116</v>
      </c>
      <c r="AF46" s="14" t="s">
        <v>54</v>
      </c>
      <c r="AG46" s="14" t="s">
        <v>116</v>
      </c>
    </row>
    <row r="47" s="9" customFormat="1" ht="46" hidden="1" customHeight="1" spans="1:33">
      <c r="A47" s="13">
        <v>46112</v>
      </c>
      <c r="B47" s="5" t="s">
        <v>603</v>
      </c>
      <c r="C47" s="5" t="s">
        <v>604</v>
      </c>
      <c r="D47" s="14" t="s">
        <v>605</v>
      </c>
      <c r="E47" s="14"/>
      <c r="F47" s="14" t="s">
        <v>606</v>
      </c>
      <c r="G47" s="14" t="s">
        <v>607</v>
      </c>
      <c r="H47" s="14" t="s">
        <v>78</v>
      </c>
      <c r="I47" s="14" t="s">
        <v>79</v>
      </c>
      <c r="J47" s="14" t="s">
        <v>40</v>
      </c>
      <c r="K47" s="14"/>
      <c r="L47" s="14" t="s">
        <v>42</v>
      </c>
      <c r="M47" s="14" t="s">
        <v>608</v>
      </c>
      <c r="N47" s="14" t="s">
        <v>609</v>
      </c>
      <c r="O47" s="14" t="s">
        <v>610</v>
      </c>
      <c r="P47" s="14" t="s">
        <v>611</v>
      </c>
      <c r="Q47" s="14" t="s">
        <v>612</v>
      </c>
      <c r="R47" s="14" t="s">
        <v>282</v>
      </c>
      <c r="S47" s="14" t="s">
        <v>83</v>
      </c>
      <c r="T47" s="14" t="s">
        <v>116</v>
      </c>
      <c r="U47" s="14"/>
      <c r="V47" s="14"/>
      <c r="W47" s="14" t="s">
        <v>613</v>
      </c>
      <c r="X47" s="14" t="s">
        <v>614</v>
      </c>
      <c r="Y47" s="14" t="s">
        <v>159</v>
      </c>
      <c r="Z47" s="14" t="s">
        <v>615</v>
      </c>
      <c r="AA47" s="14" t="s">
        <v>71</v>
      </c>
      <c r="AB47" s="14" t="s">
        <v>116</v>
      </c>
      <c r="AC47" s="14"/>
      <c r="AD47" s="14" t="s">
        <v>53</v>
      </c>
      <c r="AE47" s="14" t="s">
        <v>116</v>
      </c>
      <c r="AF47" s="14" t="s">
        <v>54</v>
      </c>
      <c r="AG47" s="14" t="s">
        <v>116</v>
      </c>
    </row>
    <row r="48" s="9" customFormat="1" ht="46" hidden="1" customHeight="1" spans="1:33">
      <c r="A48" s="13">
        <v>46112</v>
      </c>
      <c r="B48" s="5" t="s">
        <v>616</v>
      </c>
      <c r="C48" s="5" t="s">
        <v>617</v>
      </c>
      <c r="D48" s="14" t="s">
        <v>618</v>
      </c>
      <c r="E48" s="14"/>
      <c r="F48" s="14" t="s">
        <v>619</v>
      </c>
      <c r="G48" s="14" t="s">
        <v>620</v>
      </c>
      <c r="H48" s="14" t="s">
        <v>38</v>
      </c>
      <c r="I48" s="14" t="s">
        <v>39</v>
      </c>
      <c r="J48" s="14" t="s">
        <v>40</v>
      </c>
      <c r="K48" s="14"/>
      <c r="L48" s="14" t="s">
        <v>42</v>
      </c>
      <c r="M48" s="14" t="s">
        <v>621</v>
      </c>
      <c r="N48" s="14" t="s">
        <v>622</v>
      </c>
      <c r="O48" s="14"/>
      <c r="P48" s="14" t="s">
        <v>623</v>
      </c>
      <c r="Q48" s="14" t="s">
        <v>476</v>
      </c>
      <c r="R48" s="14" t="s">
        <v>98</v>
      </c>
      <c r="S48" s="14" t="s">
        <v>624</v>
      </c>
      <c r="T48" s="14" t="s">
        <v>116</v>
      </c>
      <c r="U48" s="14"/>
      <c r="V48" s="14"/>
      <c r="W48" s="14" t="s">
        <v>625</v>
      </c>
      <c r="X48" s="14" t="s">
        <v>626</v>
      </c>
      <c r="Y48" s="14" t="s">
        <v>480</v>
      </c>
      <c r="Z48" s="14" t="s">
        <v>627</v>
      </c>
      <c r="AA48" s="14" t="s">
        <v>52</v>
      </c>
      <c r="AB48" s="14" t="s">
        <v>116</v>
      </c>
      <c r="AC48" s="14"/>
      <c r="AD48" s="14" t="s">
        <v>53</v>
      </c>
      <c r="AE48" s="14" t="s">
        <v>116</v>
      </c>
      <c r="AF48" s="14" t="s">
        <v>54</v>
      </c>
      <c r="AG48" s="14" t="s">
        <v>116</v>
      </c>
    </row>
    <row r="49" s="9" customFormat="1" ht="46" hidden="1" customHeight="1" spans="1:33">
      <c r="A49" s="13">
        <v>46112</v>
      </c>
      <c r="B49" s="5" t="s">
        <v>628</v>
      </c>
      <c r="C49" s="5" t="s">
        <v>629</v>
      </c>
      <c r="D49" s="14" t="s">
        <v>630</v>
      </c>
      <c r="E49" s="14"/>
      <c r="F49" s="14" t="s">
        <v>631</v>
      </c>
      <c r="G49" s="14" t="s">
        <v>632</v>
      </c>
      <c r="H49" s="14" t="s">
        <v>38</v>
      </c>
      <c r="I49" s="14" t="s">
        <v>39</v>
      </c>
      <c r="J49" s="14" t="s">
        <v>40</v>
      </c>
      <c r="K49" s="14" t="s">
        <v>377</v>
      </c>
      <c r="L49" s="14" t="s">
        <v>42</v>
      </c>
      <c r="M49" s="14" t="s">
        <v>633</v>
      </c>
      <c r="N49" s="14" t="s">
        <v>634</v>
      </c>
      <c r="O49" s="14"/>
      <c r="P49" s="14" t="s">
        <v>635</v>
      </c>
      <c r="Q49" s="14" t="s">
        <v>636</v>
      </c>
      <c r="R49" s="14" t="s">
        <v>98</v>
      </c>
      <c r="S49" s="14" t="s">
        <v>637</v>
      </c>
      <c r="T49" s="14" t="s">
        <v>116</v>
      </c>
      <c r="U49" s="14"/>
      <c r="V49" s="14"/>
      <c r="W49" s="14" t="s">
        <v>638</v>
      </c>
      <c r="X49" s="14" t="s">
        <v>639</v>
      </c>
      <c r="Y49" s="14" t="s">
        <v>480</v>
      </c>
      <c r="Z49" s="14" t="s">
        <v>640</v>
      </c>
      <c r="AA49" s="14" t="s">
        <v>52</v>
      </c>
      <c r="AB49" s="14" t="s">
        <v>116</v>
      </c>
      <c r="AC49" s="14"/>
      <c r="AD49" s="14" t="s">
        <v>53</v>
      </c>
      <c r="AE49" s="14" t="s">
        <v>116</v>
      </c>
      <c r="AF49" s="14" t="s">
        <v>54</v>
      </c>
      <c r="AG49" s="14" t="s">
        <v>116</v>
      </c>
    </row>
    <row r="50" s="9" customFormat="1" ht="46" hidden="1" customHeight="1" spans="1:33">
      <c r="A50" s="13">
        <v>46112</v>
      </c>
      <c r="B50" s="5" t="s">
        <v>641</v>
      </c>
      <c r="C50" s="5" t="s">
        <v>642</v>
      </c>
      <c r="D50" s="14" t="s">
        <v>643</v>
      </c>
      <c r="E50" s="14"/>
      <c r="F50" s="14" t="s">
        <v>644</v>
      </c>
      <c r="G50" s="14" t="s">
        <v>645</v>
      </c>
      <c r="H50" s="14" t="s">
        <v>38</v>
      </c>
      <c r="I50" s="14" t="s">
        <v>39</v>
      </c>
      <c r="J50" s="14" t="s">
        <v>40</v>
      </c>
      <c r="K50" s="14" t="s">
        <v>551</v>
      </c>
      <c r="L50" s="14" t="s">
        <v>42</v>
      </c>
      <c r="M50" s="14" t="s">
        <v>646</v>
      </c>
      <c r="N50" s="14" t="s">
        <v>634</v>
      </c>
      <c r="O50" s="14"/>
      <c r="P50" s="14" t="s">
        <v>647</v>
      </c>
      <c r="Q50" s="14" t="s">
        <v>476</v>
      </c>
      <c r="R50" s="14" t="s">
        <v>98</v>
      </c>
      <c r="S50" s="14" t="s">
        <v>648</v>
      </c>
      <c r="T50" s="14" t="s">
        <v>116</v>
      </c>
      <c r="U50" s="14" t="s">
        <v>649</v>
      </c>
      <c r="V50" s="14"/>
      <c r="W50" s="14" t="s">
        <v>650</v>
      </c>
      <c r="X50" s="14" t="s">
        <v>651</v>
      </c>
      <c r="Y50" s="14" t="s">
        <v>159</v>
      </c>
      <c r="Z50" s="14" t="s">
        <v>652</v>
      </c>
      <c r="AA50" s="14" t="s">
        <v>71</v>
      </c>
      <c r="AB50" s="14" t="s">
        <v>116</v>
      </c>
      <c r="AC50" s="14"/>
      <c r="AD50" s="14" t="s">
        <v>53</v>
      </c>
      <c r="AE50" s="14" t="s">
        <v>116</v>
      </c>
      <c r="AF50" s="14" t="s">
        <v>54</v>
      </c>
      <c r="AG50" s="14" t="s">
        <v>116</v>
      </c>
    </row>
    <row r="51" s="9" customFormat="1" ht="46" hidden="1" customHeight="1" spans="1:33">
      <c r="A51" s="13">
        <v>46112</v>
      </c>
      <c r="B51" s="5" t="s">
        <v>653</v>
      </c>
      <c r="C51" s="5" t="s">
        <v>654</v>
      </c>
      <c r="D51" s="14" t="s">
        <v>655</v>
      </c>
      <c r="E51" s="14"/>
      <c r="F51" s="14" t="s">
        <v>656</v>
      </c>
      <c r="G51" s="14" t="s">
        <v>657</v>
      </c>
      <c r="H51" s="14" t="s">
        <v>78</v>
      </c>
      <c r="I51" s="14" t="s">
        <v>79</v>
      </c>
      <c r="J51" s="14" t="s">
        <v>40</v>
      </c>
      <c r="K51" s="14"/>
      <c r="L51" s="14" t="s">
        <v>42</v>
      </c>
      <c r="M51" s="14" t="s">
        <v>658</v>
      </c>
      <c r="N51" s="14" t="s">
        <v>659</v>
      </c>
      <c r="O51" s="14" t="s">
        <v>588</v>
      </c>
      <c r="P51" s="14"/>
      <c r="Q51" s="14" t="s">
        <v>660</v>
      </c>
      <c r="R51" s="14" t="s">
        <v>661</v>
      </c>
      <c r="S51" s="14" t="s">
        <v>83</v>
      </c>
      <c r="T51" s="14" t="s">
        <v>116</v>
      </c>
      <c r="U51" s="14"/>
      <c r="V51" s="14"/>
      <c r="W51" s="14" t="s">
        <v>662</v>
      </c>
      <c r="X51" s="14" t="s">
        <v>663</v>
      </c>
      <c r="Y51" s="14" t="s">
        <v>67</v>
      </c>
      <c r="Z51" s="14" t="s">
        <v>664</v>
      </c>
      <c r="AA51" s="14" t="s">
        <v>71</v>
      </c>
      <c r="AB51" s="14" t="s">
        <v>116</v>
      </c>
      <c r="AC51" s="14"/>
      <c r="AD51" s="14" t="s">
        <v>53</v>
      </c>
      <c r="AE51" s="14" t="s">
        <v>116</v>
      </c>
      <c r="AF51" s="14" t="s">
        <v>54</v>
      </c>
      <c r="AG51" s="14" t="s">
        <v>116</v>
      </c>
    </row>
    <row r="52" s="9" customFormat="1" ht="46" hidden="1" customHeight="1" spans="1:33">
      <c r="A52" s="13">
        <v>46111</v>
      </c>
      <c r="B52" s="5" t="s">
        <v>665</v>
      </c>
      <c r="C52" s="5" t="s">
        <v>666</v>
      </c>
      <c r="D52" s="14" t="s">
        <v>667</v>
      </c>
      <c r="E52" s="14"/>
      <c r="F52" s="14" t="s">
        <v>668</v>
      </c>
      <c r="G52" s="14" t="s">
        <v>669</v>
      </c>
      <c r="H52" s="14" t="s">
        <v>246</v>
      </c>
      <c r="I52" s="14" t="s">
        <v>39</v>
      </c>
      <c r="J52" s="14" t="s">
        <v>40</v>
      </c>
      <c r="K52" s="14"/>
      <c r="L52" s="14" t="s">
        <v>150</v>
      </c>
      <c r="M52" s="14" t="s">
        <v>670</v>
      </c>
      <c r="N52" s="14" t="s">
        <v>671</v>
      </c>
      <c r="O52" s="14" t="s">
        <v>672</v>
      </c>
      <c r="P52" s="14" t="s">
        <v>673</v>
      </c>
      <c r="Q52" s="14" t="s">
        <v>674</v>
      </c>
      <c r="R52" s="14" t="s">
        <v>675</v>
      </c>
      <c r="S52" s="14" t="s">
        <v>676</v>
      </c>
      <c r="T52" s="14" t="s">
        <v>677</v>
      </c>
      <c r="U52" s="14"/>
      <c r="V52" s="14"/>
      <c r="W52" s="14" t="s">
        <v>678</v>
      </c>
      <c r="X52" s="14" t="s">
        <v>679</v>
      </c>
      <c r="Y52" s="14" t="s">
        <v>102</v>
      </c>
      <c r="Z52" s="14" t="s">
        <v>680</v>
      </c>
      <c r="AA52" s="14" t="s">
        <v>52</v>
      </c>
      <c r="AB52" s="14" t="s">
        <v>677</v>
      </c>
      <c r="AC52" s="14"/>
      <c r="AD52" s="14" t="s">
        <v>53</v>
      </c>
      <c r="AE52" s="14" t="s">
        <v>677</v>
      </c>
      <c r="AF52" s="14" t="s">
        <v>54</v>
      </c>
      <c r="AG52" s="14" t="s">
        <v>677</v>
      </c>
    </row>
    <row r="53" s="9" customFormat="1" ht="46" hidden="1" customHeight="1" spans="1:33">
      <c r="A53" s="13">
        <v>46111</v>
      </c>
      <c r="B53" s="5" t="s">
        <v>681</v>
      </c>
      <c r="C53" s="5" t="s">
        <v>682</v>
      </c>
      <c r="D53" s="14" t="s">
        <v>683</v>
      </c>
      <c r="E53" s="14"/>
      <c r="F53" s="14" t="s">
        <v>684</v>
      </c>
      <c r="G53" s="14" t="s">
        <v>685</v>
      </c>
      <c r="H53" s="14" t="s">
        <v>207</v>
      </c>
      <c r="I53" s="14" t="s">
        <v>208</v>
      </c>
      <c r="J53" s="14" t="s">
        <v>40</v>
      </c>
      <c r="K53" s="14"/>
      <c r="L53" s="14" t="s">
        <v>150</v>
      </c>
      <c r="M53" s="14" t="s">
        <v>686</v>
      </c>
      <c r="N53" s="14" t="s">
        <v>683</v>
      </c>
      <c r="O53" s="14"/>
      <c r="P53" s="14"/>
      <c r="Q53" s="14" t="s">
        <v>687</v>
      </c>
      <c r="R53" s="14" t="s">
        <v>688</v>
      </c>
      <c r="S53" s="14" t="s">
        <v>689</v>
      </c>
      <c r="T53" s="14" t="s">
        <v>677</v>
      </c>
      <c r="U53" s="14"/>
      <c r="V53" s="14"/>
      <c r="W53" s="14" t="s">
        <v>690</v>
      </c>
      <c r="X53" s="14" t="s">
        <v>691</v>
      </c>
      <c r="Y53" s="14" t="s">
        <v>480</v>
      </c>
      <c r="Z53" s="14" t="s">
        <v>692</v>
      </c>
      <c r="AA53" s="14" t="s">
        <v>52</v>
      </c>
      <c r="AB53" s="14" t="s">
        <v>677</v>
      </c>
      <c r="AC53" s="14"/>
      <c r="AD53" s="14" t="s">
        <v>53</v>
      </c>
      <c r="AE53" s="14" t="s">
        <v>677</v>
      </c>
      <c r="AF53" s="14" t="s">
        <v>54</v>
      </c>
      <c r="AG53" s="14" t="s">
        <v>677</v>
      </c>
    </row>
    <row r="54" s="9" customFormat="1" ht="46" hidden="1" customHeight="1" spans="1:33">
      <c r="A54" s="13">
        <v>46111</v>
      </c>
      <c r="B54" s="5" t="s">
        <v>693</v>
      </c>
      <c r="C54" s="5" t="s">
        <v>694</v>
      </c>
      <c r="D54" s="14" t="s">
        <v>695</v>
      </c>
      <c r="E54" s="14"/>
      <c r="F54" s="14" t="s">
        <v>696</v>
      </c>
      <c r="G54" s="14" t="s">
        <v>697</v>
      </c>
      <c r="H54" s="14" t="s">
        <v>78</v>
      </c>
      <c r="I54" s="14" t="s">
        <v>79</v>
      </c>
      <c r="J54" s="14" t="s">
        <v>40</v>
      </c>
      <c r="K54" s="14"/>
      <c r="L54" s="14" t="s">
        <v>150</v>
      </c>
      <c r="M54" s="14" t="s">
        <v>698</v>
      </c>
      <c r="N54" s="14" t="s">
        <v>699</v>
      </c>
      <c r="O54" s="14" t="s">
        <v>700</v>
      </c>
      <c r="P54" s="14" t="s">
        <v>701</v>
      </c>
      <c r="Q54" s="14" t="s">
        <v>702</v>
      </c>
      <c r="R54" s="14" t="s">
        <v>703</v>
      </c>
      <c r="S54" s="14" t="s">
        <v>115</v>
      </c>
      <c r="T54" s="14" t="s">
        <v>677</v>
      </c>
      <c r="U54" s="14"/>
      <c r="V54" s="14"/>
      <c r="W54" s="14" t="s">
        <v>704</v>
      </c>
      <c r="X54" s="14" t="s">
        <v>705</v>
      </c>
      <c r="Y54" s="14" t="s">
        <v>480</v>
      </c>
      <c r="Z54" s="14" t="s">
        <v>706</v>
      </c>
      <c r="AA54" s="14" t="s">
        <v>52</v>
      </c>
      <c r="AB54" s="14" t="s">
        <v>677</v>
      </c>
      <c r="AC54" s="14"/>
      <c r="AD54" s="14" t="s">
        <v>53</v>
      </c>
      <c r="AE54" s="14" t="s">
        <v>677</v>
      </c>
      <c r="AF54" s="14" t="s">
        <v>54</v>
      </c>
      <c r="AG54" s="14" t="s">
        <v>677</v>
      </c>
    </row>
    <row r="55" s="9" customFormat="1" ht="46" hidden="1" customHeight="1" spans="1:33">
      <c r="A55" s="13">
        <v>46111</v>
      </c>
      <c r="B55" s="5" t="s">
        <v>707</v>
      </c>
      <c r="C55" s="5" t="s">
        <v>708</v>
      </c>
      <c r="D55" s="14" t="s">
        <v>709</v>
      </c>
      <c r="E55" s="14"/>
      <c r="F55" s="14" t="s">
        <v>710</v>
      </c>
      <c r="G55" s="14" t="s">
        <v>711</v>
      </c>
      <c r="H55" s="14" t="s">
        <v>78</v>
      </c>
      <c r="I55" s="14" t="s">
        <v>79</v>
      </c>
      <c r="J55" s="14" t="s">
        <v>40</v>
      </c>
      <c r="K55" s="14"/>
      <c r="L55" s="14" t="s">
        <v>150</v>
      </c>
      <c r="M55" s="14" t="s">
        <v>712</v>
      </c>
      <c r="N55" s="14" t="s">
        <v>713</v>
      </c>
      <c r="O55" s="14" t="s">
        <v>714</v>
      </c>
      <c r="P55" s="14"/>
      <c r="Q55" s="14" t="s">
        <v>715</v>
      </c>
      <c r="R55" s="14" t="s">
        <v>675</v>
      </c>
      <c r="S55" s="14" t="s">
        <v>115</v>
      </c>
      <c r="T55" s="14" t="s">
        <v>677</v>
      </c>
      <c r="U55" s="14"/>
      <c r="V55" s="14"/>
      <c r="W55" s="14" t="s">
        <v>716</v>
      </c>
      <c r="X55" s="14" t="s">
        <v>717</v>
      </c>
      <c r="Y55" s="14" t="s">
        <v>480</v>
      </c>
      <c r="Z55" s="14" t="s">
        <v>718</v>
      </c>
      <c r="AA55" s="14" t="s">
        <v>52</v>
      </c>
      <c r="AB55" s="14" t="s">
        <v>677</v>
      </c>
      <c r="AC55" s="14"/>
      <c r="AD55" s="14" t="s">
        <v>53</v>
      </c>
      <c r="AE55" s="14" t="s">
        <v>677</v>
      </c>
      <c r="AF55" s="14" t="s">
        <v>54</v>
      </c>
      <c r="AG55" s="14" t="s">
        <v>677</v>
      </c>
    </row>
    <row r="56" s="9" customFormat="1" ht="46" hidden="1" customHeight="1" spans="1:33">
      <c r="A56" s="13">
        <v>46111</v>
      </c>
      <c r="B56" s="5" t="s">
        <v>719</v>
      </c>
      <c r="C56" s="5" t="s">
        <v>720</v>
      </c>
      <c r="D56" s="14" t="s">
        <v>721</v>
      </c>
      <c r="E56" s="14"/>
      <c r="F56" s="14" t="s">
        <v>722</v>
      </c>
      <c r="G56" s="14" t="s">
        <v>723</v>
      </c>
      <c r="H56" s="14" t="s">
        <v>165</v>
      </c>
      <c r="I56" s="14" t="s">
        <v>39</v>
      </c>
      <c r="J56" s="14" t="s">
        <v>40</v>
      </c>
      <c r="K56" s="14"/>
      <c r="L56" s="14" t="s">
        <v>150</v>
      </c>
      <c r="M56" s="14" t="s">
        <v>724</v>
      </c>
      <c r="N56" s="14" t="s">
        <v>725</v>
      </c>
      <c r="O56" s="14" t="s">
        <v>726</v>
      </c>
      <c r="P56" s="14"/>
      <c r="Q56" s="14" t="s">
        <v>727</v>
      </c>
      <c r="R56" s="14" t="s">
        <v>688</v>
      </c>
      <c r="S56" s="14" t="s">
        <v>477</v>
      </c>
      <c r="T56" s="14" t="s">
        <v>677</v>
      </c>
      <c r="U56" s="14"/>
      <c r="V56" s="14"/>
      <c r="W56" s="14" t="s">
        <v>728</v>
      </c>
      <c r="X56" s="14" t="s">
        <v>729</v>
      </c>
      <c r="Y56" s="14" t="s">
        <v>102</v>
      </c>
      <c r="Z56" s="14" t="s">
        <v>730</v>
      </c>
      <c r="AA56" s="14" t="s">
        <v>52</v>
      </c>
      <c r="AB56" s="14" t="s">
        <v>677</v>
      </c>
      <c r="AC56" s="14"/>
      <c r="AD56" s="14" t="s">
        <v>53</v>
      </c>
      <c r="AE56" s="14" t="s">
        <v>677</v>
      </c>
      <c r="AF56" s="14" t="s">
        <v>54</v>
      </c>
      <c r="AG56" s="14" t="s">
        <v>677</v>
      </c>
    </row>
    <row r="57" s="9" customFormat="1" ht="46" hidden="1" customHeight="1" spans="1:33">
      <c r="A57" s="13">
        <v>46111</v>
      </c>
      <c r="B57" s="5" t="s">
        <v>731</v>
      </c>
      <c r="C57" s="5" t="s">
        <v>732</v>
      </c>
      <c r="D57" s="14" t="s">
        <v>733</v>
      </c>
      <c r="E57" s="14"/>
      <c r="F57" s="14" t="s">
        <v>734</v>
      </c>
      <c r="G57" s="14" t="s">
        <v>735</v>
      </c>
      <c r="H57" s="14" t="s">
        <v>165</v>
      </c>
      <c r="I57" s="14" t="s">
        <v>39</v>
      </c>
      <c r="J57" s="14" t="s">
        <v>40</v>
      </c>
      <c r="K57" s="14"/>
      <c r="L57" s="14" t="s">
        <v>150</v>
      </c>
      <c r="M57" s="14" t="s">
        <v>736</v>
      </c>
      <c r="N57" s="14" t="s">
        <v>737</v>
      </c>
      <c r="O57" s="14" t="s">
        <v>738</v>
      </c>
      <c r="P57" s="14" t="s">
        <v>154</v>
      </c>
      <c r="Q57" s="14" t="s">
        <v>739</v>
      </c>
      <c r="R57" s="14" t="s">
        <v>740</v>
      </c>
      <c r="S57" s="14" t="s">
        <v>477</v>
      </c>
      <c r="T57" s="14" t="s">
        <v>677</v>
      </c>
      <c r="U57" s="14"/>
      <c r="V57" s="14"/>
      <c r="W57" s="14" t="s">
        <v>741</v>
      </c>
      <c r="X57" s="14" t="s">
        <v>742</v>
      </c>
      <c r="Y57" s="14" t="s">
        <v>201</v>
      </c>
      <c r="Z57" s="14" t="s">
        <v>743</v>
      </c>
      <c r="AA57" s="14" t="s">
        <v>71</v>
      </c>
      <c r="AB57" s="14" t="s">
        <v>677</v>
      </c>
      <c r="AC57" s="14"/>
      <c r="AD57" s="14" t="s">
        <v>53</v>
      </c>
      <c r="AE57" s="14" t="s">
        <v>677</v>
      </c>
      <c r="AF57" s="14" t="s">
        <v>54</v>
      </c>
      <c r="AG57" s="14" t="s">
        <v>677</v>
      </c>
    </row>
    <row r="58" s="9" customFormat="1" ht="46" hidden="1" customHeight="1" spans="1:33">
      <c r="A58" s="13">
        <v>46111</v>
      </c>
      <c r="B58" s="5" t="s">
        <v>744</v>
      </c>
      <c r="C58" s="5" t="s">
        <v>745</v>
      </c>
      <c r="D58" s="14" t="s">
        <v>746</v>
      </c>
      <c r="E58" s="14"/>
      <c r="F58" s="14" t="s">
        <v>747</v>
      </c>
      <c r="G58" s="14" t="s">
        <v>748</v>
      </c>
      <c r="H58" s="14" t="s">
        <v>38</v>
      </c>
      <c r="I58" s="14" t="s">
        <v>39</v>
      </c>
      <c r="J58" s="14" t="s">
        <v>40</v>
      </c>
      <c r="K58" s="14"/>
      <c r="L58" s="14" t="s">
        <v>150</v>
      </c>
      <c r="M58" s="14" t="s">
        <v>749</v>
      </c>
      <c r="N58" s="14" t="s">
        <v>750</v>
      </c>
      <c r="O58" s="14" t="s">
        <v>751</v>
      </c>
      <c r="P58" s="14" t="s">
        <v>154</v>
      </c>
      <c r="Q58" s="14" t="s">
        <v>752</v>
      </c>
      <c r="R58" s="14" t="s">
        <v>753</v>
      </c>
      <c r="S58" s="14" t="s">
        <v>142</v>
      </c>
      <c r="T58" s="14" t="s">
        <v>677</v>
      </c>
      <c r="U58" s="14"/>
      <c r="V58" s="14"/>
      <c r="W58" s="14" t="s">
        <v>754</v>
      </c>
      <c r="X58" s="14" t="s">
        <v>755</v>
      </c>
      <c r="Y58" s="14" t="s">
        <v>756</v>
      </c>
      <c r="Z58" s="14" t="s">
        <v>757</v>
      </c>
      <c r="AA58" s="14" t="s">
        <v>71</v>
      </c>
      <c r="AB58" s="14" t="s">
        <v>677</v>
      </c>
      <c r="AC58" s="14"/>
      <c r="AD58" s="14" t="s">
        <v>53</v>
      </c>
      <c r="AE58" s="14" t="s">
        <v>677</v>
      </c>
      <c r="AF58" s="14" t="s">
        <v>54</v>
      </c>
      <c r="AG58" s="14" t="s">
        <v>677</v>
      </c>
    </row>
    <row r="59" s="9" customFormat="1" ht="46" hidden="1" customHeight="1" spans="1:33">
      <c r="A59" s="13">
        <v>46111</v>
      </c>
      <c r="B59" s="5" t="s">
        <v>758</v>
      </c>
      <c r="C59" s="5" t="s">
        <v>759</v>
      </c>
      <c r="D59" s="14" t="s">
        <v>760</v>
      </c>
      <c r="E59" s="14"/>
      <c r="F59" s="14" t="s">
        <v>761</v>
      </c>
      <c r="G59" s="14" t="s">
        <v>762</v>
      </c>
      <c r="H59" s="14" t="s">
        <v>38</v>
      </c>
      <c r="I59" s="14" t="s">
        <v>39</v>
      </c>
      <c r="J59" s="14" t="s">
        <v>40</v>
      </c>
      <c r="K59" s="14"/>
      <c r="L59" s="14" t="s">
        <v>150</v>
      </c>
      <c r="M59" s="14" t="s">
        <v>763</v>
      </c>
      <c r="N59" s="14" t="s">
        <v>764</v>
      </c>
      <c r="O59" s="14" t="s">
        <v>765</v>
      </c>
      <c r="P59" s="14" t="s">
        <v>765</v>
      </c>
      <c r="Q59" s="14" t="s">
        <v>766</v>
      </c>
      <c r="R59" s="14" t="s">
        <v>767</v>
      </c>
      <c r="S59" s="14" t="s">
        <v>129</v>
      </c>
      <c r="T59" s="14" t="s">
        <v>677</v>
      </c>
      <c r="U59" s="14"/>
      <c r="V59" s="14"/>
      <c r="W59" s="14" t="s">
        <v>768</v>
      </c>
      <c r="X59" s="14" t="s">
        <v>769</v>
      </c>
      <c r="Y59" s="14" t="s">
        <v>201</v>
      </c>
      <c r="Z59" s="14" t="s">
        <v>770</v>
      </c>
      <c r="AA59" s="14" t="s">
        <v>71</v>
      </c>
      <c r="AB59" s="14" t="s">
        <v>677</v>
      </c>
      <c r="AC59" s="14"/>
      <c r="AD59" s="14" t="s">
        <v>53</v>
      </c>
      <c r="AE59" s="14" t="s">
        <v>677</v>
      </c>
      <c r="AF59" s="14" t="s">
        <v>54</v>
      </c>
      <c r="AG59" s="14" t="s">
        <v>677</v>
      </c>
    </row>
    <row r="60" s="9" customFormat="1" ht="46" hidden="1" customHeight="1" spans="1:33">
      <c r="A60" s="13">
        <v>46111</v>
      </c>
      <c r="B60" s="5" t="s">
        <v>771</v>
      </c>
      <c r="C60" s="5" t="s">
        <v>772</v>
      </c>
      <c r="D60" s="14" t="s">
        <v>773</v>
      </c>
      <c r="E60" s="14"/>
      <c r="F60" s="14" t="s">
        <v>774</v>
      </c>
      <c r="G60" s="14" t="s">
        <v>775</v>
      </c>
      <c r="H60" s="14" t="s">
        <v>78</v>
      </c>
      <c r="I60" s="14" t="s">
        <v>79</v>
      </c>
      <c r="J60" s="14" t="s">
        <v>40</v>
      </c>
      <c r="K60" s="14"/>
      <c r="L60" s="14" t="s">
        <v>150</v>
      </c>
      <c r="M60" s="14" t="s">
        <v>776</v>
      </c>
      <c r="N60" s="14" t="s">
        <v>777</v>
      </c>
      <c r="O60" s="14" t="s">
        <v>700</v>
      </c>
      <c r="P60" s="14"/>
      <c r="Q60" s="14" t="s">
        <v>778</v>
      </c>
      <c r="R60" s="14" t="s">
        <v>688</v>
      </c>
      <c r="S60" s="14" t="s">
        <v>779</v>
      </c>
      <c r="T60" s="14" t="s">
        <v>677</v>
      </c>
      <c r="U60" s="14"/>
      <c r="V60" s="14"/>
      <c r="W60" s="14" t="s">
        <v>780</v>
      </c>
      <c r="X60" s="14" t="s">
        <v>781</v>
      </c>
      <c r="Y60" s="14" t="s">
        <v>756</v>
      </c>
      <c r="Z60" s="14" t="s">
        <v>782</v>
      </c>
      <c r="AA60" s="14" t="s">
        <v>71</v>
      </c>
      <c r="AB60" s="14" t="s">
        <v>783</v>
      </c>
      <c r="AC60" s="14"/>
      <c r="AD60" s="14" t="s">
        <v>53</v>
      </c>
      <c r="AE60" s="14" t="s">
        <v>783</v>
      </c>
      <c r="AF60" s="14" t="s">
        <v>54</v>
      </c>
      <c r="AG60" s="14" t="s">
        <v>677</v>
      </c>
    </row>
    <row r="61" s="9" customFormat="1" ht="46" hidden="1" customHeight="1" spans="1:33">
      <c r="A61" s="13">
        <v>46111</v>
      </c>
      <c r="B61" s="5" t="s">
        <v>784</v>
      </c>
      <c r="C61" s="5" t="s">
        <v>785</v>
      </c>
      <c r="D61" s="14" t="s">
        <v>786</v>
      </c>
      <c r="E61" s="14"/>
      <c r="F61" s="14" t="s">
        <v>787</v>
      </c>
      <c r="G61" s="14" t="s">
        <v>788</v>
      </c>
      <c r="H61" s="14" t="s">
        <v>78</v>
      </c>
      <c r="I61" s="14" t="s">
        <v>79</v>
      </c>
      <c r="J61" s="14" t="s">
        <v>40</v>
      </c>
      <c r="K61" s="14"/>
      <c r="L61" s="14" t="s">
        <v>150</v>
      </c>
      <c r="M61" s="14" t="s">
        <v>789</v>
      </c>
      <c r="N61" s="14" t="s">
        <v>790</v>
      </c>
      <c r="O61" s="14" t="s">
        <v>700</v>
      </c>
      <c r="P61" s="14"/>
      <c r="Q61" s="14" t="s">
        <v>778</v>
      </c>
      <c r="R61" s="14" t="s">
        <v>767</v>
      </c>
      <c r="S61" s="14" t="s">
        <v>436</v>
      </c>
      <c r="T61" s="14" t="s">
        <v>677</v>
      </c>
      <c r="U61" s="14"/>
      <c r="V61" s="14"/>
      <c r="W61" s="14" t="s">
        <v>791</v>
      </c>
      <c r="X61" s="14" t="s">
        <v>792</v>
      </c>
      <c r="Y61" s="14" t="s">
        <v>67</v>
      </c>
      <c r="Z61" s="14" t="s">
        <v>793</v>
      </c>
      <c r="AA61" s="14" t="s">
        <v>71</v>
      </c>
      <c r="AB61" s="14" t="s">
        <v>783</v>
      </c>
      <c r="AC61" s="14"/>
      <c r="AD61" s="14" t="s">
        <v>53</v>
      </c>
      <c r="AE61" s="14" t="s">
        <v>783</v>
      </c>
      <c r="AF61" s="14" t="s">
        <v>54</v>
      </c>
      <c r="AG61" s="14" t="s">
        <v>677</v>
      </c>
    </row>
    <row r="62" s="9" customFormat="1" ht="46" hidden="1" customHeight="1" spans="1:33">
      <c r="A62" s="13">
        <v>46111</v>
      </c>
      <c r="B62" s="5" t="s">
        <v>794</v>
      </c>
      <c r="C62" s="5" t="s">
        <v>795</v>
      </c>
      <c r="D62" s="14" t="s">
        <v>796</v>
      </c>
      <c r="E62" s="14"/>
      <c r="F62" s="14" t="s">
        <v>797</v>
      </c>
      <c r="G62" s="14" t="s">
        <v>798</v>
      </c>
      <c r="H62" s="14" t="s">
        <v>38</v>
      </c>
      <c r="I62" s="14" t="s">
        <v>39</v>
      </c>
      <c r="J62" s="14" t="s">
        <v>40</v>
      </c>
      <c r="K62" s="14"/>
      <c r="L62" s="14" t="s">
        <v>150</v>
      </c>
      <c r="M62" s="14" t="s">
        <v>799</v>
      </c>
      <c r="N62" s="14" t="s">
        <v>750</v>
      </c>
      <c r="O62" s="14" t="s">
        <v>800</v>
      </c>
      <c r="P62" s="14"/>
      <c r="Q62" s="14" t="s">
        <v>801</v>
      </c>
      <c r="R62" s="14" t="s">
        <v>114</v>
      </c>
      <c r="S62" s="14" t="s">
        <v>578</v>
      </c>
      <c r="T62" s="14" t="s">
        <v>677</v>
      </c>
      <c r="U62" s="14"/>
      <c r="V62" s="14"/>
      <c r="W62" s="14" t="s">
        <v>802</v>
      </c>
      <c r="X62" s="14" t="s">
        <v>742</v>
      </c>
      <c r="Y62" s="14" t="s">
        <v>201</v>
      </c>
      <c r="Z62" s="14" t="s">
        <v>757</v>
      </c>
      <c r="AA62" s="14" t="s">
        <v>71</v>
      </c>
      <c r="AB62" s="14" t="s">
        <v>677</v>
      </c>
      <c r="AC62" s="14"/>
      <c r="AD62" s="14" t="s">
        <v>53</v>
      </c>
      <c r="AE62" s="14" t="s">
        <v>677</v>
      </c>
      <c r="AF62" s="14" t="s">
        <v>54</v>
      </c>
      <c r="AG62" s="14" t="s">
        <v>677</v>
      </c>
    </row>
    <row r="63" s="9" customFormat="1" ht="46" hidden="1" customHeight="1" spans="1:33">
      <c r="A63" s="13">
        <v>46111</v>
      </c>
      <c r="B63" s="5" t="s">
        <v>803</v>
      </c>
      <c r="C63" s="5" t="s">
        <v>804</v>
      </c>
      <c r="D63" s="14" t="s">
        <v>805</v>
      </c>
      <c r="E63" s="14"/>
      <c r="F63" s="14" t="s">
        <v>806</v>
      </c>
      <c r="G63" s="14" t="s">
        <v>807</v>
      </c>
      <c r="H63" s="14" t="s">
        <v>78</v>
      </c>
      <c r="I63" s="14" t="s">
        <v>808</v>
      </c>
      <c r="J63" s="14" t="s">
        <v>40</v>
      </c>
      <c r="K63" s="14" t="s">
        <v>109</v>
      </c>
      <c r="L63" s="14" t="s">
        <v>150</v>
      </c>
      <c r="M63" s="14" t="s">
        <v>809</v>
      </c>
      <c r="N63" s="14" t="s">
        <v>810</v>
      </c>
      <c r="O63" s="14" t="s">
        <v>154</v>
      </c>
      <c r="P63" s="14" t="s">
        <v>154</v>
      </c>
      <c r="Q63" s="14" t="s">
        <v>53</v>
      </c>
      <c r="R63" s="14" t="s">
        <v>688</v>
      </c>
      <c r="S63" s="14" t="s">
        <v>129</v>
      </c>
      <c r="T63" s="14" t="s">
        <v>677</v>
      </c>
      <c r="U63" s="14"/>
      <c r="V63" s="14" t="s">
        <v>201</v>
      </c>
      <c r="W63" s="14" t="s">
        <v>811</v>
      </c>
      <c r="X63" s="14" t="s">
        <v>812</v>
      </c>
      <c r="Y63" s="14" t="s">
        <v>67</v>
      </c>
      <c r="Z63" s="14" t="s">
        <v>813</v>
      </c>
      <c r="AA63" s="14" t="s">
        <v>71</v>
      </c>
      <c r="AB63" s="14" t="s">
        <v>783</v>
      </c>
      <c r="AC63" s="14"/>
      <c r="AD63" s="14" t="s">
        <v>53</v>
      </c>
      <c r="AE63" s="14" t="s">
        <v>72</v>
      </c>
      <c r="AF63" s="14" t="s">
        <v>54</v>
      </c>
      <c r="AG63" s="14" t="s">
        <v>677</v>
      </c>
    </row>
    <row r="64" s="9" customFormat="1" ht="46" hidden="1" customHeight="1" spans="1:33">
      <c r="A64" s="13">
        <v>46111</v>
      </c>
      <c r="B64" s="5" t="s">
        <v>814</v>
      </c>
      <c r="C64" s="5" t="s">
        <v>815</v>
      </c>
      <c r="D64" s="14" t="s">
        <v>816</v>
      </c>
      <c r="E64" s="14"/>
      <c r="F64" s="14" t="s">
        <v>817</v>
      </c>
      <c r="G64" s="14" t="s">
        <v>818</v>
      </c>
      <c r="H64" s="14" t="s">
        <v>819</v>
      </c>
      <c r="I64" s="14" t="s">
        <v>95</v>
      </c>
      <c r="J64" s="14" t="s">
        <v>40</v>
      </c>
      <c r="K64" s="14"/>
      <c r="L64" s="14" t="s">
        <v>150</v>
      </c>
      <c r="M64" s="14" t="s">
        <v>820</v>
      </c>
      <c r="N64" s="14" t="s">
        <v>821</v>
      </c>
      <c r="O64" s="14" t="s">
        <v>822</v>
      </c>
      <c r="P64" s="14" t="s">
        <v>154</v>
      </c>
      <c r="Q64" s="14" t="s">
        <v>823</v>
      </c>
      <c r="R64" s="14" t="s">
        <v>824</v>
      </c>
      <c r="S64" s="14" t="s">
        <v>676</v>
      </c>
      <c r="T64" s="14" t="s">
        <v>677</v>
      </c>
      <c r="U64" s="14"/>
      <c r="V64" s="14"/>
      <c r="W64" s="14" t="s">
        <v>825</v>
      </c>
      <c r="X64" s="14" t="s">
        <v>826</v>
      </c>
      <c r="Y64" s="14" t="s">
        <v>201</v>
      </c>
      <c r="Z64" s="14" t="s">
        <v>827</v>
      </c>
      <c r="AA64" s="14" t="s">
        <v>71</v>
      </c>
      <c r="AB64" s="14" t="s">
        <v>677</v>
      </c>
      <c r="AC64" s="14"/>
      <c r="AD64" s="14" t="s">
        <v>53</v>
      </c>
      <c r="AE64" s="14" t="s">
        <v>677</v>
      </c>
      <c r="AF64" s="14" t="s">
        <v>54</v>
      </c>
      <c r="AG64" s="14" t="s">
        <v>677</v>
      </c>
    </row>
    <row r="65" s="9" customFormat="1" ht="46" hidden="1" customHeight="1" spans="1:33">
      <c r="A65" s="13">
        <v>46111</v>
      </c>
      <c r="B65" s="5" t="s">
        <v>828</v>
      </c>
      <c r="C65" s="5" t="s">
        <v>829</v>
      </c>
      <c r="D65" s="14" t="s">
        <v>830</v>
      </c>
      <c r="E65" s="14"/>
      <c r="F65" s="14" t="s">
        <v>831</v>
      </c>
      <c r="G65" s="14" t="s">
        <v>832</v>
      </c>
      <c r="H65" s="14" t="s">
        <v>833</v>
      </c>
      <c r="I65" s="14" t="s">
        <v>39</v>
      </c>
      <c r="J65" s="14" t="s">
        <v>40</v>
      </c>
      <c r="K65" s="14" t="s">
        <v>109</v>
      </c>
      <c r="L65" s="14" t="s">
        <v>150</v>
      </c>
      <c r="M65" s="14" t="s">
        <v>834</v>
      </c>
      <c r="N65" s="14" t="s">
        <v>835</v>
      </c>
      <c r="O65" s="14" t="s">
        <v>153</v>
      </c>
      <c r="P65" s="14" t="s">
        <v>154</v>
      </c>
      <c r="Q65" s="14" t="s">
        <v>836</v>
      </c>
      <c r="R65" s="14" t="s">
        <v>463</v>
      </c>
      <c r="S65" s="14" t="s">
        <v>503</v>
      </c>
      <c r="T65" s="14" t="s">
        <v>677</v>
      </c>
      <c r="U65" s="14"/>
      <c r="V65" s="14" t="s">
        <v>67</v>
      </c>
      <c r="W65" s="14" t="s">
        <v>837</v>
      </c>
      <c r="X65" s="14" t="s">
        <v>838</v>
      </c>
      <c r="Y65" s="14" t="s">
        <v>102</v>
      </c>
      <c r="Z65" s="14" t="s">
        <v>839</v>
      </c>
      <c r="AA65" s="14" t="s">
        <v>399</v>
      </c>
      <c r="AB65" s="14" t="s">
        <v>677</v>
      </c>
      <c r="AC65" s="14"/>
      <c r="AD65" s="14" t="s">
        <v>53</v>
      </c>
      <c r="AE65" s="14" t="s">
        <v>72</v>
      </c>
      <c r="AF65" s="14" t="s">
        <v>54</v>
      </c>
      <c r="AG65" s="14" t="s">
        <v>677</v>
      </c>
    </row>
    <row r="66" s="9" customFormat="1" ht="46" hidden="1" customHeight="1" spans="1:33">
      <c r="A66" s="13">
        <v>46111</v>
      </c>
      <c r="B66" s="5" t="s">
        <v>840</v>
      </c>
      <c r="C66" s="5" t="s">
        <v>841</v>
      </c>
      <c r="D66" s="14" t="s">
        <v>842</v>
      </c>
      <c r="E66" s="14"/>
      <c r="F66" s="14" t="s">
        <v>843</v>
      </c>
      <c r="G66" s="14" t="s">
        <v>844</v>
      </c>
      <c r="H66" s="14" t="s">
        <v>165</v>
      </c>
      <c r="I66" s="14" t="s">
        <v>39</v>
      </c>
      <c r="J66" s="14" t="s">
        <v>40</v>
      </c>
      <c r="K66" s="14"/>
      <c r="L66" s="14" t="s">
        <v>845</v>
      </c>
      <c r="M66" s="14" t="s">
        <v>846</v>
      </c>
      <c r="N66" s="14" t="s">
        <v>847</v>
      </c>
      <c r="O66" s="14"/>
      <c r="P66" s="14"/>
      <c r="Q66" s="14" t="s">
        <v>848</v>
      </c>
      <c r="R66" s="14" t="s">
        <v>282</v>
      </c>
      <c r="S66" s="14" t="s">
        <v>578</v>
      </c>
      <c r="T66" s="14" t="s">
        <v>849</v>
      </c>
      <c r="U66" s="14" t="s">
        <v>850</v>
      </c>
      <c r="V66" s="14"/>
      <c r="W66" s="14" t="s">
        <v>851</v>
      </c>
      <c r="X66" s="14" t="s">
        <v>852</v>
      </c>
      <c r="Y66" s="14" t="s">
        <v>87</v>
      </c>
      <c r="Z66" s="14" t="s">
        <v>851</v>
      </c>
      <c r="AA66" s="14" t="s">
        <v>52</v>
      </c>
      <c r="AB66" s="14" t="s">
        <v>849</v>
      </c>
      <c r="AC66" s="14"/>
      <c r="AD66" s="14" t="s">
        <v>53</v>
      </c>
      <c r="AE66" s="14" t="s">
        <v>849</v>
      </c>
      <c r="AF66" s="14" t="s">
        <v>54</v>
      </c>
      <c r="AG66" s="14" t="s">
        <v>849</v>
      </c>
    </row>
    <row r="67" s="9" customFormat="1" ht="46" hidden="1" customHeight="1" spans="1:33">
      <c r="A67" s="13">
        <v>46111</v>
      </c>
      <c r="B67" s="5" t="s">
        <v>853</v>
      </c>
      <c r="C67" s="5" t="s">
        <v>854</v>
      </c>
      <c r="D67" s="14" t="s">
        <v>855</v>
      </c>
      <c r="E67" s="14"/>
      <c r="F67" s="14" t="s">
        <v>856</v>
      </c>
      <c r="G67" s="14" t="s">
        <v>148</v>
      </c>
      <c r="H67" s="14" t="s">
        <v>38</v>
      </c>
      <c r="I67" s="14" t="s">
        <v>39</v>
      </c>
      <c r="J67" s="14" t="s">
        <v>40</v>
      </c>
      <c r="K67" s="14"/>
      <c r="L67" s="14" t="s">
        <v>845</v>
      </c>
      <c r="M67" s="14" t="s">
        <v>857</v>
      </c>
      <c r="N67" s="14" t="s">
        <v>858</v>
      </c>
      <c r="O67" s="14"/>
      <c r="P67" s="14"/>
      <c r="Q67" s="14" t="s">
        <v>53</v>
      </c>
      <c r="R67" s="14" t="s">
        <v>859</v>
      </c>
      <c r="S67" s="14" t="s">
        <v>335</v>
      </c>
      <c r="T67" s="14" t="s">
        <v>849</v>
      </c>
      <c r="U67" s="14"/>
      <c r="V67" s="14"/>
      <c r="W67" s="14" t="s">
        <v>856</v>
      </c>
      <c r="X67" s="14" t="s">
        <v>860</v>
      </c>
      <c r="Y67" s="14" t="s">
        <v>87</v>
      </c>
      <c r="Z67" s="14" t="s">
        <v>856</v>
      </c>
      <c r="AA67" s="14" t="s">
        <v>52</v>
      </c>
      <c r="AB67" s="14" t="s">
        <v>849</v>
      </c>
      <c r="AC67" s="14"/>
      <c r="AD67" s="14" t="s">
        <v>53</v>
      </c>
      <c r="AE67" s="14" t="s">
        <v>849</v>
      </c>
      <c r="AF67" s="14" t="s">
        <v>54</v>
      </c>
      <c r="AG67" s="14" t="s">
        <v>849</v>
      </c>
    </row>
    <row r="68" s="9" customFormat="1" ht="46" hidden="1" customHeight="1" spans="1:33">
      <c r="A68" s="13">
        <v>46107</v>
      </c>
      <c r="B68" s="5" t="s">
        <v>861</v>
      </c>
      <c r="C68" s="5" t="s">
        <v>862</v>
      </c>
      <c r="D68" s="14" t="s">
        <v>863</v>
      </c>
      <c r="E68" s="14"/>
      <c r="F68" s="14" t="s">
        <v>864</v>
      </c>
      <c r="G68" s="14" t="s">
        <v>864</v>
      </c>
      <c r="H68" s="14" t="s">
        <v>38</v>
      </c>
      <c r="I68" s="14" t="s">
        <v>39</v>
      </c>
      <c r="J68" s="14" t="s">
        <v>40</v>
      </c>
      <c r="K68" s="14"/>
      <c r="L68" s="14" t="s">
        <v>845</v>
      </c>
      <c r="M68" s="14" t="s">
        <v>167</v>
      </c>
      <c r="N68" s="14" t="s">
        <v>858</v>
      </c>
      <c r="O68" s="14" t="s">
        <v>865</v>
      </c>
      <c r="P68" s="14" t="s">
        <v>865</v>
      </c>
      <c r="Q68" s="14" t="s">
        <v>53</v>
      </c>
      <c r="R68" s="14" t="s">
        <v>866</v>
      </c>
      <c r="S68" s="14" t="s">
        <v>867</v>
      </c>
      <c r="T68" s="14" t="s">
        <v>849</v>
      </c>
      <c r="U68" s="14"/>
      <c r="V68" s="14"/>
      <c r="W68" s="14" t="s">
        <v>868</v>
      </c>
      <c r="X68" s="14" t="s">
        <v>869</v>
      </c>
      <c r="Y68" s="14" t="s">
        <v>102</v>
      </c>
      <c r="Z68" s="14" t="s">
        <v>868</v>
      </c>
      <c r="AA68" s="14" t="s">
        <v>52</v>
      </c>
      <c r="AB68" s="14" t="s">
        <v>849</v>
      </c>
      <c r="AC68" s="14"/>
      <c r="AD68" s="14" t="s">
        <v>53</v>
      </c>
      <c r="AE68" s="14" t="s">
        <v>849</v>
      </c>
      <c r="AF68" s="14" t="s">
        <v>54</v>
      </c>
      <c r="AG68" s="14" t="s">
        <v>849</v>
      </c>
    </row>
    <row r="69" s="9" customFormat="1" ht="46" hidden="1" customHeight="1" spans="1:33">
      <c r="A69" s="13">
        <v>46107</v>
      </c>
      <c r="B69" s="5" t="s">
        <v>870</v>
      </c>
      <c r="C69" s="5" t="s">
        <v>871</v>
      </c>
      <c r="D69" s="14" t="s">
        <v>872</v>
      </c>
      <c r="E69" s="14"/>
      <c r="F69" s="14" t="s">
        <v>873</v>
      </c>
      <c r="G69" s="14" t="s">
        <v>873</v>
      </c>
      <c r="H69" s="14" t="s">
        <v>354</v>
      </c>
      <c r="I69" s="14" t="s">
        <v>39</v>
      </c>
      <c r="J69" s="14" t="s">
        <v>40</v>
      </c>
      <c r="K69" s="14"/>
      <c r="L69" s="14" t="s">
        <v>845</v>
      </c>
      <c r="M69" s="14" t="s">
        <v>209</v>
      </c>
      <c r="N69" s="14" t="s">
        <v>874</v>
      </c>
      <c r="O69" s="14" t="s">
        <v>875</v>
      </c>
      <c r="P69" s="14"/>
      <c r="Q69" s="14" t="s">
        <v>53</v>
      </c>
      <c r="R69" s="14" t="s">
        <v>876</v>
      </c>
      <c r="S69" s="14" t="s">
        <v>115</v>
      </c>
      <c r="T69" s="14" t="s">
        <v>849</v>
      </c>
      <c r="U69" s="14"/>
      <c r="V69" s="14"/>
      <c r="W69" s="14" t="s">
        <v>877</v>
      </c>
      <c r="X69" s="14" t="s">
        <v>878</v>
      </c>
      <c r="Y69" s="14" t="s">
        <v>67</v>
      </c>
      <c r="Z69" s="14" t="s">
        <v>877</v>
      </c>
      <c r="AA69" s="14" t="s">
        <v>52</v>
      </c>
      <c r="AB69" s="14" t="s">
        <v>849</v>
      </c>
      <c r="AC69" s="14"/>
      <c r="AD69" s="14" t="s">
        <v>53</v>
      </c>
      <c r="AE69" s="14" t="s">
        <v>849</v>
      </c>
      <c r="AF69" s="14" t="s">
        <v>54</v>
      </c>
      <c r="AG69" s="14" t="s">
        <v>849</v>
      </c>
    </row>
    <row r="70" s="9" customFormat="1" ht="46" hidden="1" customHeight="1" spans="1:33">
      <c r="A70" s="13">
        <v>46107</v>
      </c>
      <c r="B70" s="5" t="s">
        <v>879</v>
      </c>
      <c r="C70" s="5" t="s">
        <v>880</v>
      </c>
      <c r="D70" s="14" t="s">
        <v>881</v>
      </c>
      <c r="E70" s="14"/>
      <c r="F70" s="14" t="s">
        <v>882</v>
      </c>
      <c r="G70" s="14" t="s">
        <v>148</v>
      </c>
      <c r="H70" s="14" t="s">
        <v>165</v>
      </c>
      <c r="I70" s="14" t="s">
        <v>883</v>
      </c>
      <c r="J70" s="14" t="s">
        <v>40</v>
      </c>
      <c r="K70" s="14"/>
      <c r="L70" s="14" t="s">
        <v>845</v>
      </c>
      <c r="M70" s="14" t="s">
        <v>884</v>
      </c>
      <c r="N70" s="14" t="s">
        <v>847</v>
      </c>
      <c r="O70" s="14"/>
      <c r="P70" s="14"/>
      <c r="Q70" s="14" t="s">
        <v>53</v>
      </c>
      <c r="R70" s="14" t="s">
        <v>885</v>
      </c>
      <c r="S70" s="14" t="s">
        <v>886</v>
      </c>
      <c r="T70" s="14" t="s">
        <v>849</v>
      </c>
      <c r="U70" s="14"/>
      <c r="V70" s="14"/>
      <c r="W70" s="14" t="s">
        <v>887</v>
      </c>
      <c r="X70" s="14" t="s">
        <v>888</v>
      </c>
      <c r="Y70" s="14" t="s">
        <v>159</v>
      </c>
      <c r="Z70" s="14" t="s">
        <v>887</v>
      </c>
      <c r="AA70" s="14" t="s">
        <v>52</v>
      </c>
      <c r="AB70" s="14" t="s">
        <v>849</v>
      </c>
      <c r="AC70" s="14"/>
      <c r="AD70" s="14" t="s">
        <v>53</v>
      </c>
      <c r="AE70" s="14" t="s">
        <v>849</v>
      </c>
      <c r="AF70" s="14" t="s">
        <v>54</v>
      </c>
      <c r="AG70" s="14" t="s">
        <v>849</v>
      </c>
    </row>
    <row r="71" s="9" customFormat="1" ht="46" hidden="1" customHeight="1" spans="1:33">
      <c r="A71" s="13">
        <v>46107</v>
      </c>
      <c r="B71" s="5" t="s">
        <v>889</v>
      </c>
      <c r="C71" s="5" t="s">
        <v>890</v>
      </c>
      <c r="D71" s="14" t="s">
        <v>891</v>
      </c>
      <c r="E71" s="14"/>
      <c r="F71" s="14" t="s">
        <v>892</v>
      </c>
      <c r="G71" s="14" t="s">
        <v>893</v>
      </c>
      <c r="H71" s="14" t="s">
        <v>246</v>
      </c>
      <c r="I71" s="14" t="s">
        <v>39</v>
      </c>
      <c r="J71" s="14" t="s">
        <v>40</v>
      </c>
      <c r="K71" s="14"/>
      <c r="L71" s="14" t="s">
        <v>845</v>
      </c>
      <c r="M71" s="14" t="s">
        <v>279</v>
      </c>
      <c r="N71" s="14" t="s">
        <v>894</v>
      </c>
      <c r="O71" s="14"/>
      <c r="P71" s="14"/>
      <c r="Q71" s="14" t="s">
        <v>53</v>
      </c>
      <c r="R71" s="14" t="s">
        <v>577</v>
      </c>
      <c r="S71" s="14" t="s">
        <v>895</v>
      </c>
      <c r="T71" s="14" t="s">
        <v>849</v>
      </c>
      <c r="U71" s="14"/>
      <c r="V71" s="14"/>
      <c r="W71" s="14" t="s">
        <v>896</v>
      </c>
      <c r="X71" s="14" t="s">
        <v>897</v>
      </c>
      <c r="Y71" s="14" t="s">
        <v>201</v>
      </c>
      <c r="Z71" s="14" t="s">
        <v>896</v>
      </c>
      <c r="AA71" s="14" t="s">
        <v>52</v>
      </c>
      <c r="AB71" s="14" t="s">
        <v>849</v>
      </c>
      <c r="AC71" s="14"/>
      <c r="AD71" s="14" t="s">
        <v>53</v>
      </c>
      <c r="AE71" s="14" t="s">
        <v>849</v>
      </c>
      <c r="AF71" s="14" t="s">
        <v>54</v>
      </c>
      <c r="AG71" s="14" t="s">
        <v>849</v>
      </c>
    </row>
    <row r="72" s="9" customFormat="1" ht="46" hidden="1" customHeight="1" spans="1:33">
      <c r="A72" s="13">
        <v>46107</v>
      </c>
      <c r="B72" s="5" t="s">
        <v>898</v>
      </c>
      <c r="C72" s="5" t="s">
        <v>899</v>
      </c>
      <c r="D72" s="14" t="s">
        <v>900</v>
      </c>
      <c r="E72" s="14"/>
      <c r="F72" s="14" t="s">
        <v>901</v>
      </c>
      <c r="G72" s="14" t="s">
        <v>902</v>
      </c>
      <c r="H72" s="14" t="s">
        <v>903</v>
      </c>
      <c r="I72" s="14" t="s">
        <v>95</v>
      </c>
      <c r="J72" s="14" t="s">
        <v>40</v>
      </c>
      <c r="K72" s="14"/>
      <c r="L72" s="14" t="s">
        <v>845</v>
      </c>
      <c r="M72" s="14" t="s">
        <v>904</v>
      </c>
      <c r="N72" s="14" t="s">
        <v>905</v>
      </c>
      <c r="O72" s="14" t="s">
        <v>236</v>
      </c>
      <c r="P72" s="14"/>
      <c r="Q72" s="14" t="s">
        <v>53</v>
      </c>
      <c r="R72" s="14" t="s">
        <v>767</v>
      </c>
      <c r="S72" s="14" t="s">
        <v>129</v>
      </c>
      <c r="T72" s="14" t="s">
        <v>850</v>
      </c>
      <c r="U72" s="14" t="s">
        <v>849</v>
      </c>
      <c r="V72" s="14"/>
      <c r="W72" s="14" t="s">
        <v>906</v>
      </c>
      <c r="X72" s="14" t="s">
        <v>907</v>
      </c>
      <c r="Y72" s="14" t="s">
        <v>67</v>
      </c>
      <c r="Z72" s="14" t="s">
        <v>906</v>
      </c>
      <c r="AA72" s="14" t="s">
        <v>71</v>
      </c>
      <c r="AB72" s="14" t="s">
        <v>850</v>
      </c>
      <c r="AC72" s="14"/>
      <c r="AD72" s="14" t="s">
        <v>53</v>
      </c>
      <c r="AE72" s="14" t="s">
        <v>908</v>
      </c>
      <c r="AF72" s="14" t="s">
        <v>54</v>
      </c>
      <c r="AG72" s="14" t="s">
        <v>849</v>
      </c>
    </row>
    <row r="73" s="9" customFormat="1" ht="46" hidden="1" customHeight="1" spans="1:33">
      <c r="A73" s="13">
        <v>46107</v>
      </c>
      <c r="B73" s="5" t="s">
        <v>909</v>
      </c>
      <c r="C73" s="5" t="s">
        <v>910</v>
      </c>
      <c r="D73" s="14" t="s">
        <v>911</v>
      </c>
      <c r="E73" s="14"/>
      <c r="F73" s="14" t="s">
        <v>912</v>
      </c>
      <c r="G73" s="14" t="s">
        <v>913</v>
      </c>
      <c r="H73" s="14" t="s">
        <v>94</v>
      </c>
      <c r="I73" s="14" t="s">
        <v>95</v>
      </c>
      <c r="J73" s="14" t="s">
        <v>40</v>
      </c>
      <c r="K73" s="14"/>
      <c r="L73" s="14" t="s">
        <v>845</v>
      </c>
      <c r="M73" s="14" t="s">
        <v>914</v>
      </c>
      <c r="N73" s="14" t="s">
        <v>915</v>
      </c>
      <c r="O73" s="14" t="s">
        <v>916</v>
      </c>
      <c r="P73" s="14"/>
      <c r="Q73" s="14" t="s">
        <v>53</v>
      </c>
      <c r="R73" s="14" t="s">
        <v>767</v>
      </c>
      <c r="S73" s="14" t="s">
        <v>99</v>
      </c>
      <c r="T73" s="14" t="s">
        <v>850</v>
      </c>
      <c r="U73" s="14" t="s">
        <v>849</v>
      </c>
      <c r="V73" s="14"/>
      <c r="W73" s="14" t="s">
        <v>917</v>
      </c>
      <c r="X73" s="14" t="s">
        <v>918</v>
      </c>
      <c r="Y73" s="14" t="s">
        <v>102</v>
      </c>
      <c r="Z73" s="14" t="s">
        <v>917</v>
      </c>
      <c r="AA73" s="14" t="s">
        <v>52</v>
      </c>
      <c r="AB73" s="14" t="s">
        <v>849</v>
      </c>
      <c r="AC73" s="14"/>
      <c r="AD73" s="14" t="s">
        <v>53</v>
      </c>
      <c r="AE73" s="14" t="s">
        <v>849</v>
      </c>
      <c r="AF73" s="14" t="s">
        <v>54</v>
      </c>
      <c r="AG73" s="14" t="s">
        <v>849</v>
      </c>
    </row>
    <row r="74" s="9" customFormat="1" ht="46" hidden="1" customHeight="1" spans="1:33">
      <c r="A74" s="13">
        <v>46107</v>
      </c>
      <c r="B74" s="5" t="s">
        <v>919</v>
      </c>
      <c r="C74" s="5" t="s">
        <v>920</v>
      </c>
      <c r="D74" s="14" t="s">
        <v>921</v>
      </c>
      <c r="E74" s="14"/>
      <c r="F74" s="14" t="s">
        <v>922</v>
      </c>
      <c r="G74" s="14" t="s">
        <v>922</v>
      </c>
      <c r="H74" s="14" t="s">
        <v>165</v>
      </c>
      <c r="I74" s="14" t="s">
        <v>39</v>
      </c>
      <c r="J74" s="14" t="s">
        <v>40</v>
      </c>
      <c r="K74" s="14"/>
      <c r="L74" s="14" t="s">
        <v>845</v>
      </c>
      <c r="M74" s="14" t="s">
        <v>923</v>
      </c>
      <c r="N74" s="14" t="s">
        <v>924</v>
      </c>
      <c r="O74" s="14"/>
      <c r="P74" s="14"/>
      <c r="Q74" s="14" t="s">
        <v>53</v>
      </c>
      <c r="R74" s="14" t="s">
        <v>675</v>
      </c>
      <c r="S74" s="14" t="s">
        <v>578</v>
      </c>
      <c r="T74" s="14" t="s">
        <v>849</v>
      </c>
      <c r="U74" s="14"/>
      <c r="V74" s="14"/>
      <c r="W74" s="14" t="s">
        <v>925</v>
      </c>
      <c r="X74" s="14" t="s">
        <v>926</v>
      </c>
      <c r="Y74" s="14" t="s">
        <v>84</v>
      </c>
      <c r="Z74" s="14" t="s">
        <v>925</v>
      </c>
      <c r="AA74" s="14" t="s">
        <v>52</v>
      </c>
      <c r="AB74" s="14" t="s">
        <v>849</v>
      </c>
      <c r="AC74" s="14"/>
      <c r="AD74" s="14" t="s">
        <v>53</v>
      </c>
      <c r="AE74" s="14" t="s">
        <v>849</v>
      </c>
      <c r="AF74" s="14" t="s">
        <v>54</v>
      </c>
      <c r="AG74" s="14" t="s">
        <v>849</v>
      </c>
    </row>
    <row r="75" s="9" customFormat="1" ht="46" hidden="1" customHeight="1" spans="1:33">
      <c r="A75" s="13">
        <v>46107</v>
      </c>
      <c r="B75" s="5" t="s">
        <v>927</v>
      </c>
      <c r="C75" s="5" t="s">
        <v>928</v>
      </c>
      <c r="D75" s="14" t="s">
        <v>929</v>
      </c>
      <c r="E75" s="14"/>
      <c r="F75" s="14" t="s">
        <v>930</v>
      </c>
      <c r="G75" s="14" t="s">
        <v>930</v>
      </c>
      <c r="H75" s="14" t="s">
        <v>246</v>
      </c>
      <c r="I75" s="14" t="s">
        <v>39</v>
      </c>
      <c r="J75" s="14" t="s">
        <v>40</v>
      </c>
      <c r="K75" s="14"/>
      <c r="L75" s="14" t="s">
        <v>845</v>
      </c>
      <c r="M75" s="14" t="s">
        <v>209</v>
      </c>
      <c r="N75" s="14" t="s">
        <v>931</v>
      </c>
      <c r="O75" s="14" t="s">
        <v>875</v>
      </c>
      <c r="P75" s="14"/>
      <c r="Q75" s="14" t="s">
        <v>53</v>
      </c>
      <c r="R75" s="14" t="s">
        <v>932</v>
      </c>
      <c r="S75" s="14" t="s">
        <v>933</v>
      </c>
      <c r="T75" s="14" t="s">
        <v>849</v>
      </c>
      <c r="U75" s="14"/>
      <c r="V75" s="14"/>
      <c r="W75" s="14" t="s">
        <v>934</v>
      </c>
      <c r="X75" s="14" t="s">
        <v>935</v>
      </c>
      <c r="Y75" s="14" t="s">
        <v>67</v>
      </c>
      <c r="Z75" s="14" t="s">
        <v>936</v>
      </c>
      <c r="AA75" s="14" t="s">
        <v>52</v>
      </c>
      <c r="AB75" s="14" t="s">
        <v>849</v>
      </c>
      <c r="AC75" s="14"/>
      <c r="AD75" s="14" t="s">
        <v>53</v>
      </c>
      <c r="AE75" s="14" t="s">
        <v>849</v>
      </c>
      <c r="AF75" s="14" t="s">
        <v>54</v>
      </c>
      <c r="AG75" s="14" t="s">
        <v>849</v>
      </c>
    </row>
    <row r="76" s="9" customFormat="1" ht="46" hidden="1" customHeight="1" spans="1:33">
      <c r="A76" s="13">
        <v>46107</v>
      </c>
      <c r="B76" s="5" t="s">
        <v>937</v>
      </c>
      <c r="C76" s="5" t="s">
        <v>938</v>
      </c>
      <c r="D76" s="14" t="s">
        <v>939</v>
      </c>
      <c r="E76" s="14"/>
      <c r="F76" s="14" t="s">
        <v>940</v>
      </c>
      <c r="G76" s="14" t="s">
        <v>941</v>
      </c>
      <c r="H76" s="14" t="s">
        <v>343</v>
      </c>
      <c r="I76" s="14" t="s">
        <v>39</v>
      </c>
      <c r="J76" s="14" t="s">
        <v>40</v>
      </c>
      <c r="K76" s="14"/>
      <c r="L76" s="14" t="s">
        <v>845</v>
      </c>
      <c r="M76" s="14" t="s">
        <v>942</v>
      </c>
      <c r="N76" s="14" t="s">
        <v>943</v>
      </c>
      <c r="O76" s="14"/>
      <c r="P76" s="14"/>
      <c r="Q76" s="14" t="s">
        <v>53</v>
      </c>
      <c r="R76" s="14" t="s">
        <v>944</v>
      </c>
      <c r="S76" s="14" t="s">
        <v>99</v>
      </c>
      <c r="T76" s="14" t="s">
        <v>849</v>
      </c>
      <c r="U76" s="14"/>
      <c r="V76" s="14"/>
      <c r="W76" s="14" t="s">
        <v>945</v>
      </c>
      <c r="X76" s="14" t="s">
        <v>946</v>
      </c>
      <c r="Y76" s="14" t="s">
        <v>274</v>
      </c>
      <c r="Z76" s="14" t="s">
        <v>945</v>
      </c>
      <c r="AA76" s="14" t="s">
        <v>52</v>
      </c>
      <c r="AB76" s="14" t="s">
        <v>849</v>
      </c>
      <c r="AC76" s="14"/>
      <c r="AD76" s="14" t="s">
        <v>53</v>
      </c>
      <c r="AE76" s="14" t="s">
        <v>849</v>
      </c>
      <c r="AF76" s="14" t="s">
        <v>54</v>
      </c>
      <c r="AG76" s="14" t="s">
        <v>849</v>
      </c>
    </row>
    <row r="77" s="9" customFormat="1" ht="46" hidden="1" customHeight="1" spans="1:33">
      <c r="A77" s="13">
        <v>46107</v>
      </c>
      <c r="B77" s="5" t="s">
        <v>947</v>
      </c>
      <c r="C77" s="5" t="s">
        <v>948</v>
      </c>
      <c r="D77" s="14" t="s">
        <v>949</v>
      </c>
      <c r="E77" s="14"/>
      <c r="F77" s="14" t="s">
        <v>950</v>
      </c>
      <c r="G77" s="14" t="s">
        <v>951</v>
      </c>
      <c r="H77" s="14" t="s">
        <v>94</v>
      </c>
      <c r="I77" s="14" t="s">
        <v>95</v>
      </c>
      <c r="J77" s="14" t="s">
        <v>40</v>
      </c>
      <c r="K77" s="14"/>
      <c r="L77" s="14" t="s">
        <v>845</v>
      </c>
      <c r="M77" s="14" t="s">
        <v>952</v>
      </c>
      <c r="N77" s="14" t="s">
        <v>953</v>
      </c>
      <c r="O77" s="14" t="s">
        <v>954</v>
      </c>
      <c r="P77" s="14"/>
      <c r="Q77" s="14" t="s">
        <v>53</v>
      </c>
      <c r="R77" s="14" t="s">
        <v>859</v>
      </c>
      <c r="S77" s="14" t="s">
        <v>477</v>
      </c>
      <c r="T77" s="14" t="s">
        <v>850</v>
      </c>
      <c r="U77" s="14" t="s">
        <v>849</v>
      </c>
      <c r="V77" s="14"/>
      <c r="W77" s="14" t="s">
        <v>955</v>
      </c>
      <c r="X77" s="14" t="s">
        <v>956</v>
      </c>
      <c r="Y77" s="14" t="s">
        <v>87</v>
      </c>
      <c r="Z77" s="14" t="s">
        <v>955</v>
      </c>
      <c r="AA77" s="14" t="s">
        <v>52</v>
      </c>
      <c r="AB77" s="14" t="s">
        <v>849</v>
      </c>
      <c r="AC77" s="14"/>
      <c r="AD77" s="14" t="s">
        <v>53</v>
      </c>
      <c r="AE77" s="14" t="s">
        <v>849</v>
      </c>
      <c r="AF77" s="14" t="s">
        <v>54</v>
      </c>
      <c r="AG77" s="14" t="s">
        <v>849</v>
      </c>
    </row>
    <row r="78" s="9" customFormat="1" ht="46" hidden="1" customHeight="1" spans="1:33">
      <c r="A78" s="13">
        <v>46107</v>
      </c>
      <c r="B78" s="5" t="s">
        <v>957</v>
      </c>
      <c r="C78" s="5" t="s">
        <v>958</v>
      </c>
      <c r="D78" s="14" t="s">
        <v>959</v>
      </c>
      <c r="E78" s="14"/>
      <c r="F78" s="14" t="s">
        <v>960</v>
      </c>
      <c r="G78" s="14" t="s">
        <v>960</v>
      </c>
      <c r="H78" s="14" t="s">
        <v>165</v>
      </c>
      <c r="I78" s="14" t="s">
        <v>39</v>
      </c>
      <c r="J78" s="14" t="s">
        <v>40</v>
      </c>
      <c r="K78" s="14"/>
      <c r="L78" s="14" t="s">
        <v>845</v>
      </c>
      <c r="M78" s="14" t="s">
        <v>961</v>
      </c>
      <c r="N78" s="14" t="s">
        <v>924</v>
      </c>
      <c r="O78" s="14"/>
      <c r="P78" s="14"/>
      <c r="Q78" s="14" t="s">
        <v>53</v>
      </c>
      <c r="R78" s="14" t="s">
        <v>141</v>
      </c>
      <c r="S78" s="14" t="s">
        <v>578</v>
      </c>
      <c r="T78" s="14" t="s">
        <v>849</v>
      </c>
      <c r="U78" s="14"/>
      <c r="V78" s="14"/>
      <c r="W78" s="14" t="s">
        <v>962</v>
      </c>
      <c r="X78" s="14" t="s">
        <v>963</v>
      </c>
      <c r="Y78" s="14" t="s">
        <v>159</v>
      </c>
      <c r="Z78" s="14" t="s">
        <v>963</v>
      </c>
      <c r="AA78" s="14" t="s">
        <v>52</v>
      </c>
      <c r="AB78" s="14" t="s">
        <v>849</v>
      </c>
      <c r="AC78" s="14"/>
      <c r="AD78" s="14" t="s">
        <v>53</v>
      </c>
      <c r="AE78" s="14" t="s">
        <v>849</v>
      </c>
      <c r="AF78" s="14" t="s">
        <v>54</v>
      </c>
      <c r="AG78" s="14" t="s">
        <v>849</v>
      </c>
    </row>
    <row r="79" s="9" customFormat="1" ht="46" hidden="1" customHeight="1" spans="1:33">
      <c r="A79" s="13">
        <v>46107</v>
      </c>
      <c r="B79" s="5" t="s">
        <v>964</v>
      </c>
      <c r="C79" s="5" t="s">
        <v>965</v>
      </c>
      <c r="D79" s="14" t="s">
        <v>966</v>
      </c>
      <c r="E79" s="14"/>
      <c r="F79" s="14" t="s">
        <v>967</v>
      </c>
      <c r="G79" s="14" t="s">
        <v>968</v>
      </c>
      <c r="H79" s="14" t="s">
        <v>343</v>
      </c>
      <c r="I79" s="14" t="s">
        <v>39</v>
      </c>
      <c r="J79" s="14" t="s">
        <v>40</v>
      </c>
      <c r="K79" s="14"/>
      <c r="L79" s="14" t="s">
        <v>845</v>
      </c>
      <c r="M79" s="14" t="s">
        <v>923</v>
      </c>
      <c r="N79" s="14" t="s">
        <v>847</v>
      </c>
      <c r="O79" s="14"/>
      <c r="P79" s="14"/>
      <c r="Q79" s="14" t="s">
        <v>969</v>
      </c>
      <c r="R79" s="14" t="s">
        <v>282</v>
      </c>
      <c r="S79" s="14" t="s">
        <v>578</v>
      </c>
      <c r="T79" s="14" t="s">
        <v>849</v>
      </c>
      <c r="U79" s="14"/>
      <c r="V79" s="14"/>
      <c r="W79" s="14" t="s">
        <v>970</v>
      </c>
      <c r="X79" s="14" t="s">
        <v>971</v>
      </c>
      <c r="Y79" s="14" t="s">
        <v>480</v>
      </c>
      <c r="Z79" s="14" t="s">
        <v>971</v>
      </c>
      <c r="AA79" s="14" t="s">
        <v>52</v>
      </c>
      <c r="AB79" s="14" t="s">
        <v>849</v>
      </c>
      <c r="AC79" s="14"/>
      <c r="AD79" s="14" t="s">
        <v>53</v>
      </c>
      <c r="AE79" s="14" t="s">
        <v>849</v>
      </c>
      <c r="AF79" s="14" t="s">
        <v>54</v>
      </c>
      <c r="AG79" s="14" t="s">
        <v>849</v>
      </c>
    </row>
    <row r="80" s="9" customFormat="1" ht="46" hidden="1" customHeight="1" spans="1:33">
      <c r="A80" s="13">
        <v>46101</v>
      </c>
      <c r="B80" s="5" t="s">
        <v>972</v>
      </c>
      <c r="C80" s="5" t="s">
        <v>973</v>
      </c>
      <c r="D80" s="14" t="s">
        <v>974</v>
      </c>
      <c r="E80" s="14"/>
      <c r="F80" s="14" t="s">
        <v>975</v>
      </c>
      <c r="G80" s="14" t="s">
        <v>292</v>
      </c>
      <c r="H80" s="14" t="s">
        <v>976</v>
      </c>
      <c r="I80" s="14" t="s">
        <v>208</v>
      </c>
      <c r="J80" s="14" t="s">
        <v>40</v>
      </c>
      <c r="K80" s="14"/>
      <c r="L80" s="14" t="s">
        <v>166</v>
      </c>
      <c r="M80" s="14" t="s">
        <v>977</v>
      </c>
      <c r="N80" s="14" t="s">
        <v>978</v>
      </c>
      <c r="O80" s="14"/>
      <c r="P80" s="14"/>
      <c r="Q80" s="14" t="s">
        <v>979</v>
      </c>
      <c r="R80" s="14" t="s">
        <v>980</v>
      </c>
      <c r="S80" s="14" t="s">
        <v>981</v>
      </c>
      <c r="T80" s="14" t="s">
        <v>982</v>
      </c>
      <c r="U80" s="14"/>
      <c r="V80" s="14" t="s">
        <v>542</v>
      </c>
      <c r="W80" s="14" t="s">
        <v>983</v>
      </c>
      <c r="X80" s="14" t="s">
        <v>984</v>
      </c>
      <c r="Y80" s="14" t="s">
        <v>542</v>
      </c>
      <c r="Z80" s="14" t="s">
        <v>983</v>
      </c>
      <c r="AA80" s="14" t="s">
        <v>52</v>
      </c>
      <c r="AB80" s="14" t="s">
        <v>982</v>
      </c>
      <c r="AC80" s="14"/>
      <c r="AD80" s="14" t="s">
        <v>53</v>
      </c>
      <c r="AE80" s="14" t="s">
        <v>982</v>
      </c>
      <c r="AF80" s="14" t="s">
        <v>54</v>
      </c>
      <c r="AG80" s="14" t="s">
        <v>982</v>
      </c>
    </row>
    <row r="81" s="9" customFormat="1" ht="46" hidden="1" customHeight="1" spans="1:33">
      <c r="A81" s="13">
        <v>46083</v>
      </c>
      <c r="B81" s="5" t="s">
        <v>985</v>
      </c>
      <c r="C81" s="5" t="s">
        <v>986</v>
      </c>
      <c r="D81" s="14" t="s">
        <v>987</v>
      </c>
      <c r="E81" s="14"/>
      <c r="F81" s="14" t="s">
        <v>988</v>
      </c>
      <c r="G81" s="14" t="s">
        <v>148</v>
      </c>
      <c r="H81" s="14" t="s">
        <v>207</v>
      </c>
      <c r="I81" s="14" t="s">
        <v>79</v>
      </c>
      <c r="J81" s="14" t="s">
        <v>40</v>
      </c>
      <c r="K81" s="14"/>
      <c r="L81" s="14" t="s">
        <v>150</v>
      </c>
      <c r="M81" s="14" t="s">
        <v>942</v>
      </c>
      <c r="N81" s="14" t="s">
        <v>989</v>
      </c>
      <c r="O81" s="14"/>
      <c r="P81" s="14"/>
      <c r="Q81" s="14" t="s">
        <v>990</v>
      </c>
      <c r="R81" s="14" t="s">
        <v>141</v>
      </c>
      <c r="S81" s="14" t="s">
        <v>991</v>
      </c>
      <c r="T81" s="14" t="s">
        <v>156</v>
      </c>
      <c r="U81" s="14"/>
      <c r="V81" s="14" t="s">
        <v>84</v>
      </c>
      <c r="W81" s="14" t="s">
        <v>992</v>
      </c>
      <c r="X81" s="14" t="s">
        <v>993</v>
      </c>
      <c r="Y81" s="14" t="s">
        <v>286</v>
      </c>
      <c r="Z81" s="14" t="s">
        <v>994</v>
      </c>
      <c r="AA81" s="14" t="s">
        <v>71</v>
      </c>
      <c r="AB81" s="14" t="s">
        <v>156</v>
      </c>
      <c r="AC81" s="14"/>
      <c r="AD81" s="14" t="s">
        <v>53</v>
      </c>
      <c r="AE81" s="14" t="s">
        <v>156</v>
      </c>
      <c r="AF81" s="14" t="s">
        <v>54</v>
      </c>
      <c r="AG81" s="14" t="s">
        <v>156</v>
      </c>
    </row>
    <row r="82" s="9" customFormat="1" ht="46" hidden="1" customHeight="1" spans="1:33">
      <c r="A82" s="13">
        <v>46053</v>
      </c>
      <c r="B82" s="5" t="s">
        <v>995</v>
      </c>
      <c r="C82" s="5" t="s">
        <v>996</v>
      </c>
      <c r="D82" s="14" t="s">
        <v>997</v>
      </c>
      <c r="E82" s="14"/>
      <c r="F82" s="14" t="s">
        <v>998</v>
      </c>
      <c r="G82" s="14" t="s">
        <v>999</v>
      </c>
      <c r="H82" s="14" t="s">
        <v>343</v>
      </c>
      <c r="I82" s="14" t="s">
        <v>39</v>
      </c>
      <c r="J82" s="14" t="s">
        <v>40</v>
      </c>
      <c r="K82" s="14"/>
      <c r="L82" s="14" t="s">
        <v>42</v>
      </c>
      <c r="M82" s="14" t="s">
        <v>1000</v>
      </c>
      <c r="N82" s="14" t="s">
        <v>1001</v>
      </c>
      <c r="O82" s="14" t="s">
        <v>112</v>
      </c>
      <c r="P82" s="14"/>
      <c r="Q82" s="14" t="s">
        <v>1002</v>
      </c>
      <c r="R82" s="14" t="s">
        <v>114</v>
      </c>
      <c r="S82" s="14" t="s">
        <v>477</v>
      </c>
      <c r="T82" s="14" t="s">
        <v>116</v>
      </c>
      <c r="U82" s="14"/>
      <c r="V82" s="14"/>
      <c r="W82" s="14" t="s">
        <v>1003</v>
      </c>
      <c r="X82" s="14" t="s">
        <v>1004</v>
      </c>
      <c r="Y82" s="14" t="s">
        <v>102</v>
      </c>
      <c r="Z82" s="14" t="s">
        <v>1005</v>
      </c>
      <c r="AA82" s="14" t="s">
        <v>52</v>
      </c>
      <c r="AB82" s="14" t="s">
        <v>116</v>
      </c>
      <c r="AC82" s="14"/>
      <c r="AD82" s="14" t="s">
        <v>53</v>
      </c>
      <c r="AE82" s="14" t="s">
        <v>116</v>
      </c>
      <c r="AF82" s="14" t="s">
        <v>54</v>
      </c>
      <c r="AG82" s="14" t="s">
        <v>116</v>
      </c>
    </row>
    <row r="83" s="9" customFormat="1" ht="46" hidden="1" customHeight="1" spans="1:33">
      <c r="A83" s="13">
        <v>46053</v>
      </c>
      <c r="B83" s="5" t="s">
        <v>1006</v>
      </c>
      <c r="C83" s="5" t="s">
        <v>1007</v>
      </c>
      <c r="D83" s="14" t="s">
        <v>1008</v>
      </c>
      <c r="E83" s="14"/>
      <c r="F83" s="14" t="s">
        <v>1009</v>
      </c>
      <c r="G83" s="14" t="s">
        <v>1010</v>
      </c>
      <c r="H83" s="14" t="s">
        <v>833</v>
      </c>
      <c r="I83" s="14" t="s">
        <v>39</v>
      </c>
      <c r="J83" s="14" t="s">
        <v>40</v>
      </c>
      <c r="K83" s="14"/>
      <c r="L83" s="14" t="s">
        <v>42</v>
      </c>
      <c r="M83" s="14" t="s">
        <v>608</v>
      </c>
      <c r="N83" s="14" t="s">
        <v>1011</v>
      </c>
      <c r="O83" s="14"/>
      <c r="P83" s="14"/>
      <c r="Q83" s="14" t="s">
        <v>1012</v>
      </c>
      <c r="R83" s="14" t="s">
        <v>1013</v>
      </c>
      <c r="S83" s="14" t="s">
        <v>578</v>
      </c>
      <c r="T83" s="14" t="s">
        <v>395</v>
      </c>
      <c r="U83" s="14"/>
      <c r="V83" s="14"/>
      <c r="W83" s="14" t="s">
        <v>1014</v>
      </c>
      <c r="X83" s="14" t="s">
        <v>1015</v>
      </c>
      <c r="Y83" s="14" t="s">
        <v>201</v>
      </c>
      <c r="Z83" s="14" t="s">
        <v>1016</v>
      </c>
      <c r="AA83" s="14" t="s">
        <v>52</v>
      </c>
      <c r="AB83" s="14" t="s">
        <v>395</v>
      </c>
      <c r="AC83" s="14"/>
      <c r="AD83" s="14" t="s">
        <v>53</v>
      </c>
      <c r="AE83" s="14" t="s">
        <v>395</v>
      </c>
      <c r="AF83" s="14" t="s">
        <v>54</v>
      </c>
      <c r="AG83" s="14" t="s">
        <v>395</v>
      </c>
    </row>
    <row r="84" s="9" customFormat="1" ht="46" hidden="1" customHeight="1" spans="1:33">
      <c r="A84" s="13">
        <v>46053</v>
      </c>
      <c r="B84" s="5" t="s">
        <v>1017</v>
      </c>
      <c r="C84" s="5" t="s">
        <v>1018</v>
      </c>
      <c r="D84" s="14" t="s">
        <v>1019</v>
      </c>
      <c r="E84" s="14"/>
      <c r="F84" s="14" t="s">
        <v>1020</v>
      </c>
      <c r="G84" s="14" t="s">
        <v>1021</v>
      </c>
      <c r="H84" s="14" t="s">
        <v>165</v>
      </c>
      <c r="I84" s="14" t="s">
        <v>39</v>
      </c>
      <c r="J84" s="14" t="s">
        <v>40</v>
      </c>
      <c r="K84" s="14"/>
      <c r="L84" s="14" t="s">
        <v>42</v>
      </c>
      <c r="M84" s="14" t="s">
        <v>189</v>
      </c>
      <c r="N84" s="14" t="s">
        <v>1022</v>
      </c>
      <c r="O84" s="14" t="s">
        <v>1023</v>
      </c>
      <c r="P84" s="14" t="s">
        <v>154</v>
      </c>
      <c r="Q84" s="14" t="s">
        <v>1024</v>
      </c>
      <c r="R84" s="14" t="s">
        <v>1025</v>
      </c>
      <c r="S84" s="14" t="s">
        <v>1026</v>
      </c>
      <c r="T84" s="14" t="s">
        <v>395</v>
      </c>
      <c r="U84" s="14"/>
      <c r="V84" s="14"/>
      <c r="W84" s="14" t="s">
        <v>1027</v>
      </c>
      <c r="X84" s="14" t="s">
        <v>1028</v>
      </c>
      <c r="Y84" s="14" t="s">
        <v>201</v>
      </c>
      <c r="Z84" s="14" t="s">
        <v>1029</v>
      </c>
      <c r="AA84" s="14" t="s">
        <v>52</v>
      </c>
      <c r="AB84" s="14" t="s">
        <v>395</v>
      </c>
      <c r="AC84" s="14"/>
      <c r="AD84" s="14" t="s">
        <v>53</v>
      </c>
      <c r="AE84" s="14" t="s">
        <v>395</v>
      </c>
      <c r="AF84" s="14" t="s">
        <v>54</v>
      </c>
      <c r="AG84" s="14" t="s">
        <v>395</v>
      </c>
    </row>
    <row r="85" s="9" customFormat="1" ht="46" hidden="1" customHeight="1" spans="1:33">
      <c r="A85" s="13">
        <v>46022</v>
      </c>
      <c r="B85" s="5" t="s">
        <v>1030</v>
      </c>
      <c r="C85" s="5" t="s">
        <v>1031</v>
      </c>
      <c r="D85" s="14" t="s">
        <v>1032</v>
      </c>
      <c r="E85" s="14"/>
      <c r="F85" s="14" t="s">
        <v>1033</v>
      </c>
      <c r="G85" s="14" t="s">
        <v>1034</v>
      </c>
      <c r="H85" s="14" t="s">
        <v>124</v>
      </c>
      <c r="I85" s="14" t="s">
        <v>79</v>
      </c>
      <c r="J85" s="14" t="s">
        <v>40</v>
      </c>
      <c r="K85" s="14"/>
      <c r="L85" s="14" t="s">
        <v>150</v>
      </c>
      <c r="M85" s="14" t="s">
        <v>1035</v>
      </c>
      <c r="N85" s="14" t="s">
        <v>152</v>
      </c>
      <c r="O85" s="14" t="s">
        <v>1036</v>
      </c>
      <c r="P85" s="14"/>
      <c r="Q85" s="14" t="s">
        <v>1037</v>
      </c>
      <c r="R85" s="14" t="s">
        <v>114</v>
      </c>
      <c r="S85" s="14" t="s">
        <v>477</v>
      </c>
      <c r="T85" s="14" t="s">
        <v>156</v>
      </c>
      <c r="U85" s="14"/>
      <c r="V85" s="14"/>
      <c r="W85" s="14" t="s">
        <v>1038</v>
      </c>
      <c r="X85" s="14" t="s">
        <v>1039</v>
      </c>
      <c r="Y85" s="14" t="s">
        <v>201</v>
      </c>
      <c r="Z85" s="14" t="s">
        <v>1038</v>
      </c>
      <c r="AA85" s="14" t="s">
        <v>71</v>
      </c>
      <c r="AB85" s="14" t="s">
        <v>783</v>
      </c>
      <c r="AC85" s="14"/>
      <c r="AD85" s="14" t="s">
        <v>53</v>
      </c>
      <c r="AE85" s="14" t="s">
        <v>783</v>
      </c>
      <c r="AF85" s="14" t="s">
        <v>54</v>
      </c>
      <c r="AG85" s="14" t="s">
        <v>156</v>
      </c>
    </row>
    <row r="86" s="9" customFormat="1" ht="46" hidden="1" customHeight="1" spans="1:33">
      <c r="A86" s="13">
        <v>46022</v>
      </c>
      <c r="B86" s="5" t="s">
        <v>1040</v>
      </c>
      <c r="C86" s="5" t="s">
        <v>1041</v>
      </c>
      <c r="D86" s="14" t="s">
        <v>1042</v>
      </c>
      <c r="E86" s="14"/>
      <c r="F86" s="14" t="s">
        <v>1043</v>
      </c>
      <c r="G86" s="14" t="s">
        <v>1044</v>
      </c>
      <c r="H86" s="14" t="s">
        <v>78</v>
      </c>
      <c r="I86" s="14" t="s">
        <v>79</v>
      </c>
      <c r="J86" s="14" t="s">
        <v>40</v>
      </c>
      <c r="K86" s="14"/>
      <c r="L86" s="14" t="s">
        <v>166</v>
      </c>
      <c r="M86" s="14" t="s">
        <v>1045</v>
      </c>
      <c r="N86" s="14" t="s">
        <v>1046</v>
      </c>
      <c r="O86" s="14" t="s">
        <v>1047</v>
      </c>
      <c r="P86" s="14" t="s">
        <v>1048</v>
      </c>
      <c r="Q86" s="14" t="s">
        <v>1049</v>
      </c>
      <c r="R86" s="14" t="s">
        <v>98</v>
      </c>
      <c r="S86" s="14" t="s">
        <v>172</v>
      </c>
      <c r="T86" s="14" t="s">
        <v>156</v>
      </c>
      <c r="U86" s="14"/>
      <c r="V86" s="14"/>
      <c r="W86" s="14" t="s">
        <v>1050</v>
      </c>
      <c r="X86" s="14" t="s">
        <v>1051</v>
      </c>
      <c r="Y86" s="14" t="s">
        <v>159</v>
      </c>
      <c r="Z86" s="14" t="s">
        <v>1052</v>
      </c>
      <c r="AA86" s="14" t="s">
        <v>52</v>
      </c>
      <c r="AB86" s="14" t="s">
        <v>156</v>
      </c>
      <c r="AC86" s="14"/>
      <c r="AD86" s="14" t="s">
        <v>53</v>
      </c>
      <c r="AE86" s="14" t="s">
        <v>175</v>
      </c>
      <c r="AF86" s="14" t="s">
        <v>54</v>
      </c>
      <c r="AG86" s="14" t="s">
        <v>156</v>
      </c>
    </row>
    <row r="87" s="9" customFormat="1" ht="46" hidden="1" customHeight="1" spans="1:33">
      <c r="A87" s="13">
        <v>46022</v>
      </c>
      <c r="B87" s="5" t="s">
        <v>1053</v>
      </c>
      <c r="C87" s="5" t="s">
        <v>1054</v>
      </c>
      <c r="D87" s="14" t="s">
        <v>1055</v>
      </c>
      <c r="E87" s="14"/>
      <c r="F87" s="14" t="s">
        <v>1056</v>
      </c>
      <c r="G87" s="14" t="s">
        <v>1057</v>
      </c>
      <c r="H87" s="14" t="s">
        <v>78</v>
      </c>
      <c r="I87" s="14" t="s">
        <v>79</v>
      </c>
      <c r="J87" s="14" t="s">
        <v>40</v>
      </c>
      <c r="K87" s="14"/>
      <c r="L87" s="14" t="s">
        <v>166</v>
      </c>
      <c r="M87" s="14" t="s">
        <v>1058</v>
      </c>
      <c r="N87" s="14" t="s">
        <v>1059</v>
      </c>
      <c r="O87" s="14" t="s">
        <v>1060</v>
      </c>
      <c r="P87" s="14" t="s">
        <v>1061</v>
      </c>
      <c r="Q87" s="14" t="s">
        <v>1049</v>
      </c>
      <c r="R87" s="14" t="s">
        <v>98</v>
      </c>
      <c r="S87" s="14" t="s">
        <v>172</v>
      </c>
      <c r="T87" s="14" t="s">
        <v>156</v>
      </c>
      <c r="U87" s="14"/>
      <c r="V87" s="14"/>
      <c r="W87" s="14" t="s">
        <v>1062</v>
      </c>
      <c r="X87" s="14" t="s">
        <v>1063</v>
      </c>
      <c r="Y87" s="14" t="s">
        <v>159</v>
      </c>
      <c r="Z87" s="14" t="s">
        <v>1064</v>
      </c>
      <c r="AA87" s="14" t="s">
        <v>52</v>
      </c>
      <c r="AB87" s="14" t="s">
        <v>156</v>
      </c>
      <c r="AC87" s="14"/>
      <c r="AD87" s="14" t="s">
        <v>53</v>
      </c>
      <c r="AE87" s="14" t="s">
        <v>175</v>
      </c>
      <c r="AF87" s="14" t="s">
        <v>54</v>
      </c>
      <c r="AG87" s="14" t="s">
        <v>156</v>
      </c>
    </row>
    <row r="88" s="9" customFormat="1" ht="46" hidden="1" customHeight="1" spans="1:33">
      <c r="A88" s="13">
        <v>46022</v>
      </c>
      <c r="B88" s="5" t="s">
        <v>1065</v>
      </c>
      <c r="C88" s="5" t="s">
        <v>1066</v>
      </c>
      <c r="D88" s="14" t="s">
        <v>1067</v>
      </c>
      <c r="E88" s="14"/>
      <c r="F88" s="14" t="s">
        <v>1068</v>
      </c>
      <c r="G88" s="14" t="s">
        <v>1069</v>
      </c>
      <c r="H88" s="14" t="s">
        <v>165</v>
      </c>
      <c r="I88" s="14" t="s">
        <v>79</v>
      </c>
      <c r="J88" s="14" t="s">
        <v>40</v>
      </c>
      <c r="K88" s="14"/>
      <c r="L88" s="14" t="s">
        <v>166</v>
      </c>
      <c r="M88" s="14" t="s">
        <v>125</v>
      </c>
      <c r="N88" s="14" t="s">
        <v>1070</v>
      </c>
      <c r="O88" s="14"/>
      <c r="P88" s="14"/>
      <c r="Q88" s="14" t="s">
        <v>53</v>
      </c>
      <c r="R88" s="14" t="s">
        <v>114</v>
      </c>
      <c r="S88" s="14" t="s">
        <v>172</v>
      </c>
      <c r="T88" s="14" t="s">
        <v>982</v>
      </c>
      <c r="U88" s="14"/>
      <c r="V88" s="14"/>
      <c r="W88" s="14" t="s">
        <v>1071</v>
      </c>
      <c r="X88" s="14" t="s">
        <v>1072</v>
      </c>
      <c r="Y88" s="14" t="s">
        <v>102</v>
      </c>
      <c r="Z88" s="14" t="s">
        <v>1073</v>
      </c>
      <c r="AA88" s="14" t="s">
        <v>52</v>
      </c>
      <c r="AB88" s="14" t="s">
        <v>156</v>
      </c>
      <c r="AC88" s="14"/>
      <c r="AD88" s="14" t="s">
        <v>53</v>
      </c>
      <c r="AE88" s="14" t="s">
        <v>175</v>
      </c>
      <c r="AF88" s="14" t="s">
        <v>54</v>
      </c>
      <c r="AG88" s="14" t="s">
        <v>156</v>
      </c>
    </row>
    <row r="89" s="9" customFormat="1" ht="46" hidden="1" customHeight="1" spans="1:33">
      <c r="A89" s="13">
        <v>46022</v>
      </c>
      <c r="B89" s="5" t="s">
        <v>1074</v>
      </c>
      <c r="C89" s="5" t="s">
        <v>1075</v>
      </c>
      <c r="D89" s="14" t="s">
        <v>1076</v>
      </c>
      <c r="E89" s="14"/>
      <c r="F89" s="14" t="s">
        <v>1077</v>
      </c>
      <c r="G89" s="14" t="s">
        <v>292</v>
      </c>
      <c r="H89" s="14" t="s">
        <v>207</v>
      </c>
      <c r="I89" s="14" t="s">
        <v>208</v>
      </c>
      <c r="J89" s="14" t="s">
        <v>40</v>
      </c>
      <c r="K89" s="14"/>
      <c r="L89" s="14" t="s">
        <v>166</v>
      </c>
      <c r="M89" s="14" t="s">
        <v>1078</v>
      </c>
      <c r="N89" s="14" t="s">
        <v>1079</v>
      </c>
      <c r="O89" s="14" t="s">
        <v>148</v>
      </c>
      <c r="P89" s="14" t="s">
        <v>1080</v>
      </c>
      <c r="Q89" s="14" t="s">
        <v>1081</v>
      </c>
      <c r="R89" s="14" t="s">
        <v>114</v>
      </c>
      <c r="S89" s="14" t="s">
        <v>172</v>
      </c>
      <c r="T89" s="14" t="s">
        <v>156</v>
      </c>
      <c r="U89" s="14"/>
      <c r="V89" s="14"/>
      <c r="W89" s="14" t="s">
        <v>1082</v>
      </c>
      <c r="X89" s="14" t="s">
        <v>1083</v>
      </c>
      <c r="Y89" s="14" t="s">
        <v>159</v>
      </c>
      <c r="Z89" s="14" t="s">
        <v>1084</v>
      </c>
      <c r="AA89" s="14" t="s">
        <v>52</v>
      </c>
      <c r="AB89" s="14" t="s">
        <v>156</v>
      </c>
      <c r="AC89" s="14"/>
      <c r="AD89" s="14" t="s">
        <v>53</v>
      </c>
      <c r="AE89" s="14" t="s">
        <v>175</v>
      </c>
      <c r="AF89" s="14" t="s">
        <v>54</v>
      </c>
      <c r="AG89" s="14" t="s">
        <v>156</v>
      </c>
    </row>
    <row r="90" s="9" customFormat="1" ht="46" hidden="1" customHeight="1" spans="1:33">
      <c r="A90" s="13">
        <v>46022</v>
      </c>
      <c r="B90" s="5" t="s">
        <v>1085</v>
      </c>
      <c r="C90" s="5" t="s">
        <v>1086</v>
      </c>
      <c r="D90" s="14" t="s">
        <v>1087</v>
      </c>
      <c r="E90" s="14"/>
      <c r="F90" s="14" t="s">
        <v>1088</v>
      </c>
      <c r="G90" s="14" t="s">
        <v>292</v>
      </c>
      <c r="H90" s="14" t="s">
        <v>78</v>
      </c>
      <c r="I90" s="14" t="s">
        <v>79</v>
      </c>
      <c r="J90" s="14" t="s">
        <v>40</v>
      </c>
      <c r="K90" s="14"/>
      <c r="L90" s="14" t="s">
        <v>166</v>
      </c>
      <c r="M90" s="14" t="s">
        <v>1089</v>
      </c>
      <c r="N90" s="14" t="s">
        <v>1090</v>
      </c>
      <c r="O90" s="14" t="s">
        <v>344</v>
      </c>
      <c r="P90" s="14" t="s">
        <v>154</v>
      </c>
      <c r="Q90" s="14" t="s">
        <v>1049</v>
      </c>
      <c r="R90" s="14" t="s">
        <v>98</v>
      </c>
      <c r="S90" s="14" t="s">
        <v>1091</v>
      </c>
      <c r="T90" s="14" t="s">
        <v>156</v>
      </c>
      <c r="U90" s="14"/>
      <c r="V90" s="14"/>
      <c r="W90" s="14" t="s">
        <v>1092</v>
      </c>
      <c r="X90" s="14" t="s">
        <v>1093</v>
      </c>
      <c r="Y90" s="14" t="s">
        <v>102</v>
      </c>
      <c r="Z90" s="14" t="s">
        <v>1094</v>
      </c>
      <c r="AA90" s="14" t="s">
        <v>52</v>
      </c>
      <c r="AB90" s="14" t="s">
        <v>156</v>
      </c>
      <c r="AC90" s="14"/>
      <c r="AD90" s="14" t="s">
        <v>53</v>
      </c>
      <c r="AE90" s="14" t="s">
        <v>175</v>
      </c>
      <c r="AF90" s="14" t="s">
        <v>54</v>
      </c>
      <c r="AG90" s="14" t="s">
        <v>156</v>
      </c>
    </row>
    <row r="91" s="9" customFormat="1" ht="46" hidden="1" customHeight="1" spans="1:33">
      <c r="A91" s="13">
        <v>46022</v>
      </c>
      <c r="B91" s="5" t="s">
        <v>1095</v>
      </c>
      <c r="C91" s="5" t="s">
        <v>1096</v>
      </c>
      <c r="D91" s="14" t="s">
        <v>1097</v>
      </c>
      <c r="E91" s="14"/>
      <c r="F91" s="14" t="s">
        <v>1098</v>
      </c>
      <c r="G91" s="14" t="s">
        <v>148</v>
      </c>
      <c r="H91" s="14" t="s">
        <v>78</v>
      </c>
      <c r="I91" s="14" t="s">
        <v>79</v>
      </c>
      <c r="J91" s="14" t="s">
        <v>40</v>
      </c>
      <c r="K91" s="14"/>
      <c r="L91" s="14" t="s">
        <v>166</v>
      </c>
      <c r="M91" s="14" t="s">
        <v>1099</v>
      </c>
      <c r="N91" s="14" t="s">
        <v>1100</v>
      </c>
      <c r="O91" s="14" t="s">
        <v>714</v>
      </c>
      <c r="P91" s="14" t="s">
        <v>154</v>
      </c>
      <c r="Q91" s="14" t="s">
        <v>1049</v>
      </c>
      <c r="R91" s="14" t="s">
        <v>171</v>
      </c>
      <c r="S91" s="14" t="s">
        <v>172</v>
      </c>
      <c r="T91" s="14" t="s">
        <v>156</v>
      </c>
      <c r="U91" s="14"/>
      <c r="V91" s="14"/>
      <c r="W91" s="14" t="s">
        <v>1101</v>
      </c>
      <c r="X91" s="14" t="s">
        <v>1102</v>
      </c>
      <c r="Y91" s="14" t="s">
        <v>201</v>
      </c>
      <c r="Z91" s="14" t="s">
        <v>1101</v>
      </c>
      <c r="AA91" s="14" t="s">
        <v>52</v>
      </c>
      <c r="AB91" s="14" t="s">
        <v>156</v>
      </c>
      <c r="AC91" s="14"/>
      <c r="AD91" s="14" t="s">
        <v>53</v>
      </c>
      <c r="AE91" s="14" t="s">
        <v>175</v>
      </c>
      <c r="AF91" s="14" t="s">
        <v>54</v>
      </c>
      <c r="AG91" s="14" t="s">
        <v>156</v>
      </c>
    </row>
    <row r="92" s="9" customFormat="1" ht="46" hidden="1" customHeight="1" spans="1:33">
      <c r="A92" s="13">
        <v>46022</v>
      </c>
      <c r="B92" s="5" t="s">
        <v>1103</v>
      </c>
      <c r="C92" s="5" t="s">
        <v>1104</v>
      </c>
      <c r="D92" s="14" t="s">
        <v>1105</v>
      </c>
      <c r="E92" s="14"/>
      <c r="F92" s="14" t="s">
        <v>1106</v>
      </c>
      <c r="G92" s="14" t="s">
        <v>148</v>
      </c>
      <c r="H92" s="14" t="s">
        <v>207</v>
      </c>
      <c r="I92" s="14" t="s">
        <v>208</v>
      </c>
      <c r="J92" s="14" t="s">
        <v>40</v>
      </c>
      <c r="K92" s="14"/>
      <c r="L92" s="14" t="s">
        <v>166</v>
      </c>
      <c r="M92" s="14" t="s">
        <v>1107</v>
      </c>
      <c r="N92" s="14" t="s">
        <v>1108</v>
      </c>
      <c r="O92" s="14" t="s">
        <v>1109</v>
      </c>
      <c r="P92" s="14" t="s">
        <v>154</v>
      </c>
      <c r="Q92" s="14" t="s">
        <v>1081</v>
      </c>
      <c r="R92" s="14" t="s">
        <v>171</v>
      </c>
      <c r="S92" s="14" t="s">
        <v>172</v>
      </c>
      <c r="T92" s="14" t="s">
        <v>156</v>
      </c>
      <c r="U92" s="14"/>
      <c r="V92" s="14"/>
      <c r="W92" s="14" t="s">
        <v>1110</v>
      </c>
      <c r="X92" s="14" t="s">
        <v>1111</v>
      </c>
      <c r="Y92" s="14" t="s">
        <v>67</v>
      </c>
      <c r="Z92" s="14" t="s">
        <v>1112</v>
      </c>
      <c r="AA92" s="14" t="s">
        <v>52</v>
      </c>
      <c r="AB92" s="14" t="s">
        <v>156</v>
      </c>
      <c r="AC92" s="14"/>
      <c r="AD92" s="14" t="s">
        <v>53</v>
      </c>
      <c r="AE92" s="14" t="s">
        <v>175</v>
      </c>
      <c r="AF92" s="14" t="s">
        <v>54</v>
      </c>
      <c r="AG92" s="14" t="s">
        <v>156</v>
      </c>
    </row>
    <row r="93" s="9" customFormat="1" ht="46" hidden="1" customHeight="1" spans="1:33">
      <c r="A93" s="13">
        <v>46022</v>
      </c>
      <c r="B93" s="5" t="s">
        <v>1113</v>
      </c>
      <c r="C93" s="5" t="s">
        <v>1114</v>
      </c>
      <c r="D93" s="14" t="s">
        <v>1115</v>
      </c>
      <c r="E93" s="14"/>
      <c r="F93" s="14" t="s">
        <v>1116</v>
      </c>
      <c r="G93" s="14" t="s">
        <v>256</v>
      </c>
      <c r="H93" s="14" t="s">
        <v>165</v>
      </c>
      <c r="I93" s="14" t="s">
        <v>79</v>
      </c>
      <c r="J93" s="14" t="s">
        <v>40</v>
      </c>
      <c r="K93" s="14"/>
      <c r="L93" s="14" t="s">
        <v>166</v>
      </c>
      <c r="M93" s="14" t="s">
        <v>1045</v>
      </c>
      <c r="N93" s="14" t="s">
        <v>1117</v>
      </c>
      <c r="O93" s="14"/>
      <c r="P93" s="14"/>
      <c r="Q93" s="14" t="s">
        <v>1118</v>
      </c>
      <c r="R93" s="14" t="s">
        <v>171</v>
      </c>
      <c r="S93" s="14" t="s">
        <v>1119</v>
      </c>
      <c r="T93" s="14" t="s">
        <v>156</v>
      </c>
      <c r="U93" s="14"/>
      <c r="V93" s="14"/>
      <c r="W93" s="14" t="s">
        <v>1120</v>
      </c>
      <c r="X93" s="14" t="s">
        <v>1121</v>
      </c>
      <c r="Y93" s="14" t="s">
        <v>159</v>
      </c>
      <c r="Z93" s="14" t="s">
        <v>1122</v>
      </c>
      <c r="AA93" s="14" t="s">
        <v>52</v>
      </c>
      <c r="AB93" s="14" t="s">
        <v>156</v>
      </c>
      <c r="AC93" s="14"/>
      <c r="AD93" s="14" t="s">
        <v>53</v>
      </c>
      <c r="AE93" s="14" t="s">
        <v>156</v>
      </c>
      <c r="AF93" s="14" t="s">
        <v>54</v>
      </c>
      <c r="AG93" s="14" t="s">
        <v>156</v>
      </c>
    </row>
    <row r="94" s="9" customFormat="1" ht="46" hidden="1" customHeight="1" spans="1:33">
      <c r="A94" s="13">
        <v>46022</v>
      </c>
      <c r="B94" s="5" t="s">
        <v>1123</v>
      </c>
      <c r="C94" s="5" t="s">
        <v>1124</v>
      </c>
      <c r="D94" s="14" t="s">
        <v>1125</v>
      </c>
      <c r="E94" s="14"/>
      <c r="F94" s="14" t="s">
        <v>1126</v>
      </c>
      <c r="G94" s="14" t="s">
        <v>292</v>
      </c>
      <c r="H94" s="14" t="s">
        <v>78</v>
      </c>
      <c r="I94" s="14" t="s">
        <v>79</v>
      </c>
      <c r="J94" s="14" t="s">
        <v>40</v>
      </c>
      <c r="K94" s="14"/>
      <c r="L94" s="14" t="s">
        <v>166</v>
      </c>
      <c r="M94" s="14" t="s">
        <v>1127</v>
      </c>
      <c r="N94" s="14" t="s">
        <v>1046</v>
      </c>
      <c r="O94" s="14" t="s">
        <v>1128</v>
      </c>
      <c r="P94" s="14" t="s">
        <v>1129</v>
      </c>
      <c r="Q94" s="14" t="s">
        <v>1130</v>
      </c>
      <c r="R94" s="14" t="s">
        <v>1131</v>
      </c>
      <c r="S94" s="14" t="s">
        <v>172</v>
      </c>
      <c r="T94" s="14" t="s">
        <v>982</v>
      </c>
      <c r="U94" s="14"/>
      <c r="V94" s="14"/>
      <c r="W94" s="14" t="s">
        <v>1132</v>
      </c>
      <c r="X94" s="14" t="s">
        <v>1133</v>
      </c>
      <c r="Y94" s="14" t="s">
        <v>480</v>
      </c>
      <c r="Z94" s="14" t="s">
        <v>1134</v>
      </c>
      <c r="AA94" s="14" t="s">
        <v>52</v>
      </c>
      <c r="AB94" s="14" t="s">
        <v>156</v>
      </c>
      <c r="AC94" s="14"/>
      <c r="AD94" s="14" t="s">
        <v>53</v>
      </c>
      <c r="AE94" s="14" t="s">
        <v>175</v>
      </c>
      <c r="AF94" s="14" t="s">
        <v>54</v>
      </c>
      <c r="AG94" s="14" t="s">
        <v>982</v>
      </c>
    </row>
    <row r="95" s="9" customFormat="1" ht="46" hidden="1" customHeight="1" spans="1:33">
      <c r="A95" s="13">
        <v>46022</v>
      </c>
      <c r="B95" s="5" t="s">
        <v>1135</v>
      </c>
      <c r="C95" s="5" t="s">
        <v>1136</v>
      </c>
      <c r="D95" s="14" t="s">
        <v>1137</v>
      </c>
      <c r="E95" s="14"/>
      <c r="F95" s="14" t="s">
        <v>1138</v>
      </c>
      <c r="G95" s="14" t="s">
        <v>292</v>
      </c>
      <c r="H95" s="14" t="s">
        <v>78</v>
      </c>
      <c r="I95" s="14" t="s">
        <v>1139</v>
      </c>
      <c r="J95" s="14" t="s">
        <v>40</v>
      </c>
      <c r="K95" s="14"/>
      <c r="L95" s="14" t="s">
        <v>166</v>
      </c>
      <c r="M95" s="14" t="s">
        <v>1045</v>
      </c>
      <c r="N95" s="14" t="s">
        <v>1046</v>
      </c>
      <c r="O95" s="14" t="s">
        <v>1047</v>
      </c>
      <c r="P95" s="14" t="s">
        <v>154</v>
      </c>
      <c r="Q95" s="14" t="s">
        <v>1130</v>
      </c>
      <c r="R95" s="14" t="s">
        <v>1140</v>
      </c>
      <c r="S95" s="14" t="s">
        <v>172</v>
      </c>
      <c r="T95" s="14" t="s">
        <v>982</v>
      </c>
      <c r="U95" s="14"/>
      <c r="V95" s="14"/>
      <c r="W95" s="14" t="s">
        <v>1141</v>
      </c>
      <c r="X95" s="14" t="s">
        <v>1142</v>
      </c>
      <c r="Y95" s="14" t="s">
        <v>102</v>
      </c>
      <c r="Z95" s="14" t="s">
        <v>1143</v>
      </c>
      <c r="AA95" s="14" t="s">
        <v>52</v>
      </c>
      <c r="AB95" s="14" t="s">
        <v>156</v>
      </c>
      <c r="AC95" s="14"/>
      <c r="AD95" s="14" t="s">
        <v>53</v>
      </c>
      <c r="AE95" s="14" t="s">
        <v>175</v>
      </c>
      <c r="AF95" s="14" t="s">
        <v>54</v>
      </c>
      <c r="AG95" s="14" t="s">
        <v>982</v>
      </c>
    </row>
    <row r="96" s="9" customFormat="1" ht="46" hidden="1" customHeight="1" spans="1:33">
      <c r="A96" s="13">
        <v>46022</v>
      </c>
      <c r="B96" s="5" t="s">
        <v>1144</v>
      </c>
      <c r="C96" s="5" t="s">
        <v>1145</v>
      </c>
      <c r="D96" s="14" t="s">
        <v>1146</v>
      </c>
      <c r="E96" s="14"/>
      <c r="F96" s="14" t="s">
        <v>1147</v>
      </c>
      <c r="G96" s="14" t="s">
        <v>292</v>
      </c>
      <c r="H96" s="14" t="s">
        <v>78</v>
      </c>
      <c r="I96" s="14" t="s">
        <v>79</v>
      </c>
      <c r="J96" s="14" t="s">
        <v>40</v>
      </c>
      <c r="K96" s="14"/>
      <c r="L96" s="14" t="s">
        <v>166</v>
      </c>
      <c r="M96" s="14" t="s">
        <v>1148</v>
      </c>
      <c r="N96" s="14" t="s">
        <v>1100</v>
      </c>
      <c r="O96" s="14" t="s">
        <v>1047</v>
      </c>
      <c r="P96" s="14" t="s">
        <v>154</v>
      </c>
      <c r="Q96" s="14" t="s">
        <v>53</v>
      </c>
      <c r="R96" s="14" t="s">
        <v>1149</v>
      </c>
      <c r="S96" s="14" t="s">
        <v>172</v>
      </c>
      <c r="T96" s="14" t="s">
        <v>982</v>
      </c>
      <c r="U96" s="14"/>
      <c r="V96" s="14"/>
      <c r="W96" s="14" t="s">
        <v>1150</v>
      </c>
      <c r="X96" s="14" t="s">
        <v>1142</v>
      </c>
      <c r="Y96" s="14" t="s">
        <v>159</v>
      </c>
      <c r="Z96" s="14" t="s">
        <v>1143</v>
      </c>
      <c r="AA96" s="14" t="s">
        <v>52</v>
      </c>
      <c r="AB96" s="14" t="s">
        <v>156</v>
      </c>
      <c r="AC96" s="14"/>
      <c r="AD96" s="14" t="s">
        <v>53</v>
      </c>
      <c r="AE96" s="14" t="s">
        <v>175</v>
      </c>
      <c r="AF96" s="14" t="s">
        <v>54</v>
      </c>
      <c r="AG96" s="14" t="s">
        <v>982</v>
      </c>
    </row>
    <row r="97" s="9" customFormat="1" ht="46" hidden="1" customHeight="1" spans="1:33">
      <c r="A97" s="13">
        <v>46022</v>
      </c>
      <c r="B97" s="5" t="s">
        <v>1151</v>
      </c>
      <c r="C97" s="5" t="s">
        <v>1152</v>
      </c>
      <c r="D97" s="14" t="s">
        <v>1153</v>
      </c>
      <c r="E97" s="14"/>
      <c r="F97" s="14" t="s">
        <v>1154</v>
      </c>
      <c r="G97" s="14" t="s">
        <v>1155</v>
      </c>
      <c r="H97" s="14" t="s">
        <v>221</v>
      </c>
      <c r="I97" s="14" t="s">
        <v>79</v>
      </c>
      <c r="J97" s="14" t="s">
        <v>40</v>
      </c>
      <c r="K97" s="14"/>
      <c r="L97" s="14" t="s">
        <v>166</v>
      </c>
      <c r="M97" s="14" t="s">
        <v>1156</v>
      </c>
      <c r="N97" s="14" t="s">
        <v>1157</v>
      </c>
      <c r="O97" s="14" t="s">
        <v>1158</v>
      </c>
      <c r="P97" s="14" t="s">
        <v>154</v>
      </c>
      <c r="Q97" s="14" t="s">
        <v>53</v>
      </c>
      <c r="R97" s="14" t="s">
        <v>282</v>
      </c>
      <c r="S97" s="14" t="s">
        <v>172</v>
      </c>
      <c r="T97" s="14" t="s">
        <v>982</v>
      </c>
      <c r="U97" s="14"/>
      <c r="V97" s="14"/>
      <c r="W97" s="14" t="s">
        <v>1159</v>
      </c>
      <c r="X97" s="14" t="s">
        <v>1142</v>
      </c>
      <c r="Y97" s="14" t="s">
        <v>102</v>
      </c>
      <c r="Z97" s="14" t="s">
        <v>1159</v>
      </c>
      <c r="AA97" s="14" t="s">
        <v>52</v>
      </c>
      <c r="AB97" s="14" t="s">
        <v>156</v>
      </c>
      <c r="AC97" s="14"/>
      <c r="AD97" s="14" t="s">
        <v>53</v>
      </c>
      <c r="AE97" s="14" t="s">
        <v>175</v>
      </c>
      <c r="AF97" s="14" t="s">
        <v>54</v>
      </c>
      <c r="AG97" s="14" t="s">
        <v>982</v>
      </c>
    </row>
    <row r="98" s="9" customFormat="1" ht="46" hidden="1" customHeight="1" spans="1:33">
      <c r="A98" s="13">
        <v>46022</v>
      </c>
      <c r="B98" s="5" t="s">
        <v>1160</v>
      </c>
      <c r="C98" s="5" t="s">
        <v>1161</v>
      </c>
      <c r="D98" s="14" t="s">
        <v>1162</v>
      </c>
      <c r="E98" s="14"/>
      <c r="F98" s="14" t="s">
        <v>1163</v>
      </c>
      <c r="G98" s="14" t="s">
        <v>292</v>
      </c>
      <c r="H98" s="14" t="s">
        <v>78</v>
      </c>
      <c r="I98" s="14" t="s">
        <v>79</v>
      </c>
      <c r="J98" s="14" t="s">
        <v>40</v>
      </c>
      <c r="K98" s="14"/>
      <c r="L98" s="14" t="s">
        <v>166</v>
      </c>
      <c r="M98" s="14" t="s">
        <v>536</v>
      </c>
      <c r="N98" s="14" t="s">
        <v>1046</v>
      </c>
      <c r="O98" s="14" t="s">
        <v>1047</v>
      </c>
      <c r="P98" s="14"/>
      <c r="Q98" s="14" t="s">
        <v>1130</v>
      </c>
      <c r="R98" s="14" t="s">
        <v>1149</v>
      </c>
      <c r="S98" s="14" t="s">
        <v>172</v>
      </c>
      <c r="T98" s="14" t="s">
        <v>982</v>
      </c>
      <c r="U98" s="14"/>
      <c r="V98" s="14"/>
      <c r="W98" s="14" t="s">
        <v>1143</v>
      </c>
      <c r="X98" s="14" t="s">
        <v>1164</v>
      </c>
      <c r="Y98" s="14" t="s">
        <v>67</v>
      </c>
      <c r="Z98" s="14" t="s">
        <v>1165</v>
      </c>
      <c r="AA98" s="14" t="s">
        <v>52</v>
      </c>
      <c r="AB98" s="14" t="s">
        <v>156</v>
      </c>
      <c r="AC98" s="14"/>
      <c r="AD98" s="14" t="s">
        <v>53</v>
      </c>
      <c r="AE98" s="14" t="s">
        <v>175</v>
      </c>
      <c r="AF98" s="14" t="s">
        <v>54</v>
      </c>
      <c r="AG98" s="14" t="s">
        <v>982</v>
      </c>
    </row>
    <row r="99" s="9" customFormat="1" ht="46" hidden="1" customHeight="1" spans="1:33">
      <c r="A99" s="13">
        <v>46022</v>
      </c>
      <c r="B99" s="5" t="s">
        <v>1166</v>
      </c>
      <c r="C99" s="5" t="s">
        <v>1167</v>
      </c>
      <c r="D99" s="14" t="s">
        <v>1168</v>
      </c>
      <c r="E99" s="14"/>
      <c r="F99" s="14" t="s">
        <v>1169</v>
      </c>
      <c r="G99" s="14" t="s">
        <v>292</v>
      </c>
      <c r="H99" s="14" t="s">
        <v>78</v>
      </c>
      <c r="I99" s="14" t="s">
        <v>79</v>
      </c>
      <c r="J99" s="14" t="s">
        <v>40</v>
      </c>
      <c r="K99" s="14"/>
      <c r="L99" s="14" t="s">
        <v>166</v>
      </c>
      <c r="M99" s="14" t="s">
        <v>1170</v>
      </c>
      <c r="N99" s="14" t="s">
        <v>1171</v>
      </c>
      <c r="O99" s="14" t="s">
        <v>1172</v>
      </c>
      <c r="P99" s="14" t="s">
        <v>154</v>
      </c>
      <c r="Q99" s="14" t="s">
        <v>53</v>
      </c>
      <c r="R99" s="14" t="s">
        <v>282</v>
      </c>
      <c r="S99" s="14" t="s">
        <v>172</v>
      </c>
      <c r="T99" s="14" t="s">
        <v>982</v>
      </c>
      <c r="U99" s="14"/>
      <c r="V99" s="14"/>
      <c r="W99" s="14" t="s">
        <v>1173</v>
      </c>
      <c r="X99" s="14" t="s">
        <v>1142</v>
      </c>
      <c r="Y99" s="14" t="s">
        <v>102</v>
      </c>
      <c r="Z99" s="14" t="s">
        <v>1174</v>
      </c>
      <c r="AA99" s="14" t="s">
        <v>52</v>
      </c>
      <c r="AB99" s="14" t="s">
        <v>156</v>
      </c>
      <c r="AC99" s="14"/>
      <c r="AD99" s="14" t="s">
        <v>53</v>
      </c>
      <c r="AE99" s="14" t="s">
        <v>175</v>
      </c>
      <c r="AF99" s="14" t="s">
        <v>54</v>
      </c>
      <c r="AG99" s="14" t="s">
        <v>982</v>
      </c>
    </row>
    <row r="100" s="9" customFormat="1" ht="46" hidden="1" customHeight="1" spans="1:33">
      <c r="A100" s="13">
        <v>46022</v>
      </c>
      <c r="B100" s="5" t="s">
        <v>1175</v>
      </c>
      <c r="C100" s="5" t="s">
        <v>1176</v>
      </c>
      <c r="D100" s="14" t="s">
        <v>1177</v>
      </c>
      <c r="E100" s="14"/>
      <c r="F100" s="14" t="s">
        <v>1178</v>
      </c>
      <c r="G100" s="14" t="s">
        <v>1178</v>
      </c>
      <c r="H100" s="14" t="s">
        <v>78</v>
      </c>
      <c r="I100" s="14" t="s">
        <v>1139</v>
      </c>
      <c r="J100" s="14" t="s">
        <v>40</v>
      </c>
      <c r="K100" s="14"/>
      <c r="L100" s="14" t="s">
        <v>166</v>
      </c>
      <c r="M100" s="14" t="s">
        <v>1179</v>
      </c>
      <c r="N100" s="14" t="s">
        <v>1171</v>
      </c>
      <c r="O100" s="14" t="s">
        <v>1180</v>
      </c>
      <c r="P100" s="14" t="s">
        <v>154</v>
      </c>
      <c r="Q100" s="14" t="s">
        <v>53</v>
      </c>
      <c r="R100" s="14" t="s">
        <v>282</v>
      </c>
      <c r="S100" s="14" t="s">
        <v>172</v>
      </c>
      <c r="T100" s="14" t="s">
        <v>982</v>
      </c>
      <c r="U100" s="14"/>
      <c r="V100" s="14"/>
      <c r="W100" s="14" t="s">
        <v>1181</v>
      </c>
      <c r="X100" s="14" t="s">
        <v>1182</v>
      </c>
      <c r="Y100" s="14" t="s">
        <v>102</v>
      </c>
      <c r="Z100" s="14" t="s">
        <v>1183</v>
      </c>
      <c r="AA100" s="14" t="s">
        <v>52</v>
      </c>
      <c r="AB100" s="14" t="s">
        <v>156</v>
      </c>
      <c r="AC100" s="14"/>
      <c r="AD100" s="14" t="s">
        <v>53</v>
      </c>
      <c r="AE100" s="14" t="s">
        <v>175</v>
      </c>
      <c r="AF100" s="14" t="s">
        <v>54</v>
      </c>
      <c r="AG100" s="14" t="s">
        <v>982</v>
      </c>
    </row>
    <row r="101" s="9" customFormat="1" ht="46" hidden="1" customHeight="1" spans="1:33">
      <c r="A101" s="13">
        <v>46022</v>
      </c>
      <c r="B101" s="5" t="s">
        <v>1184</v>
      </c>
      <c r="C101" s="5" t="s">
        <v>1185</v>
      </c>
      <c r="D101" s="14" t="s">
        <v>1186</v>
      </c>
      <c r="E101" s="14"/>
      <c r="F101" s="14" t="s">
        <v>1187</v>
      </c>
      <c r="G101" s="14" t="s">
        <v>148</v>
      </c>
      <c r="H101" s="14" t="s">
        <v>343</v>
      </c>
      <c r="I101" s="14" t="s">
        <v>79</v>
      </c>
      <c r="J101" s="14" t="s">
        <v>40</v>
      </c>
      <c r="K101" s="14"/>
      <c r="L101" s="14" t="s">
        <v>166</v>
      </c>
      <c r="M101" s="14" t="s">
        <v>1188</v>
      </c>
      <c r="N101" s="14" t="s">
        <v>1189</v>
      </c>
      <c r="O101" s="14" t="s">
        <v>1190</v>
      </c>
      <c r="P101" s="14" t="s">
        <v>1191</v>
      </c>
      <c r="Q101" s="14" t="s">
        <v>1192</v>
      </c>
      <c r="R101" s="14" t="s">
        <v>1193</v>
      </c>
      <c r="S101" s="14" t="s">
        <v>172</v>
      </c>
      <c r="T101" s="14" t="s">
        <v>982</v>
      </c>
      <c r="U101" s="14"/>
      <c r="V101" s="14"/>
      <c r="W101" s="14" t="s">
        <v>1194</v>
      </c>
      <c r="X101" s="14" t="s">
        <v>1195</v>
      </c>
      <c r="Y101" s="14" t="s">
        <v>480</v>
      </c>
      <c r="Z101" s="14" t="s">
        <v>1196</v>
      </c>
      <c r="AA101" s="14" t="s">
        <v>52</v>
      </c>
      <c r="AB101" s="14" t="s">
        <v>156</v>
      </c>
      <c r="AC101" s="14"/>
      <c r="AD101" s="14" t="s">
        <v>53</v>
      </c>
      <c r="AE101" s="14" t="s">
        <v>175</v>
      </c>
      <c r="AF101" s="14" t="s">
        <v>54</v>
      </c>
      <c r="AG101" s="14" t="s">
        <v>982</v>
      </c>
    </row>
    <row r="102" s="9" customFormat="1" ht="46" hidden="1" customHeight="1" spans="1:33">
      <c r="A102" s="13">
        <v>46022</v>
      </c>
      <c r="B102" s="5" t="s">
        <v>1197</v>
      </c>
      <c r="C102" s="5" t="s">
        <v>1198</v>
      </c>
      <c r="D102" s="14" t="s">
        <v>1199</v>
      </c>
      <c r="E102" s="14"/>
      <c r="F102" s="14" t="s">
        <v>1200</v>
      </c>
      <c r="G102" s="14" t="s">
        <v>1201</v>
      </c>
      <c r="H102" s="14" t="s">
        <v>1202</v>
      </c>
      <c r="I102" s="14" t="s">
        <v>79</v>
      </c>
      <c r="J102" s="14" t="s">
        <v>40</v>
      </c>
      <c r="K102" s="14"/>
      <c r="L102" s="14" t="s">
        <v>166</v>
      </c>
      <c r="M102" s="14" t="s">
        <v>1203</v>
      </c>
      <c r="N102" s="14" t="s">
        <v>1199</v>
      </c>
      <c r="O102" s="14"/>
      <c r="P102" s="14"/>
      <c r="Q102" s="14" t="s">
        <v>1204</v>
      </c>
      <c r="R102" s="14" t="s">
        <v>1205</v>
      </c>
      <c r="S102" s="14" t="s">
        <v>1206</v>
      </c>
      <c r="T102" s="14" t="s">
        <v>982</v>
      </c>
      <c r="U102" s="14"/>
      <c r="V102" s="14"/>
      <c r="W102" s="14" t="s">
        <v>1207</v>
      </c>
      <c r="X102" s="14" t="s">
        <v>1208</v>
      </c>
      <c r="Y102" s="14" t="s">
        <v>159</v>
      </c>
      <c r="Z102" s="14" t="s">
        <v>1209</v>
      </c>
      <c r="AA102" s="14" t="s">
        <v>52</v>
      </c>
      <c r="AB102" s="14" t="s">
        <v>982</v>
      </c>
      <c r="AC102" s="14"/>
      <c r="AD102" s="14" t="s">
        <v>53</v>
      </c>
      <c r="AE102" s="14" t="s">
        <v>982</v>
      </c>
      <c r="AF102" s="14" t="s">
        <v>54</v>
      </c>
      <c r="AG102" s="14" t="s">
        <v>982</v>
      </c>
    </row>
    <row r="103" s="9" customFormat="1" ht="46" hidden="1" customHeight="1" spans="1:33">
      <c r="A103" s="13">
        <v>46022</v>
      </c>
      <c r="B103" s="5" t="s">
        <v>1210</v>
      </c>
      <c r="C103" s="5" t="s">
        <v>1211</v>
      </c>
      <c r="D103" s="14" t="s">
        <v>1212</v>
      </c>
      <c r="E103" s="14"/>
      <c r="F103" s="14" t="s">
        <v>1213</v>
      </c>
      <c r="G103" s="14" t="s">
        <v>1214</v>
      </c>
      <c r="H103" s="14" t="s">
        <v>78</v>
      </c>
      <c r="I103" s="14" t="s">
        <v>208</v>
      </c>
      <c r="J103" s="14" t="s">
        <v>40</v>
      </c>
      <c r="K103" s="14" t="s">
        <v>377</v>
      </c>
      <c r="L103" s="14" t="s">
        <v>1215</v>
      </c>
      <c r="M103" s="14" t="s">
        <v>1216</v>
      </c>
      <c r="N103" s="14" t="s">
        <v>1217</v>
      </c>
      <c r="O103" s="14" t="s">
        <v>1218</v>
      </c>
      <c r="P103" s="14"/>
      <c r="Q103" s="14" t="s">
        <v>1219</v>
      </c>
      <c r="R103" s="14" t="s">
        <v>1220</v>
      </c>
      <c r="S103" s="14" t="s">
        <v>1221</v>
      </c>
      <c r="T103" s="14" t="s">
        <v>982</v>
      </c>
      <c r="U103" s="14"/>
      <c r="V103" s="14"/>
      <c r="W103" s="14" t="s">
        <v>1222</v>
      </c>
      <c r="X103" s="14" t="s">
        <v>1223</v>
      </c>
      <c r="Y103" s="14" t="s">
        <v>84</v>
      </c>
      <c r="Z103" s="14" t="s">
        <v>1222</v>
      </c>
      <c r="AA103" s="14" t="s">
        <v>52</v>
      </c>
      <c r="AB103" s="14" t="s">
        <v>982</v>
      </c>
      <c r="AC103" s="14"/>
      <c r="AD103" s="14" t="s">
        <v>53</v>
      </c>
      <c r="AE103" s="14" t="s">
        <v>982</v>
      </c>
      <c r="AF103" s="14" t="s">
        <v>54</v>
      </c>
      <c r="AG103" s="14" t="s">
        <v>982</v>
      </c>
    </row>
    <row r="104" s="9" customFormat="1" ht="46" customHeight="1" spans="1:33">
      <c r="A104" s="15">
        <v>46021</v>
      </c>
      <c r="B104" s="16" t="s">
        <v>1224</v>
      </c>
      <c r="C104" s="16" t="s">
        <v>1225</v>
      </c>
      <c r="D104" s="17" t="s">
        <v>1226</v>
      </c>
      <c r="E104" s="16" t="s">
        <v>1227</v>
      </c>
      <c r="F104" s="17" t="s">
        <v>1228</v>
      </c>
      <c r="G104" s="17" t="s">
        <v>1229</v>
      </c>
      <c r="H104" s="17" t="s">
        <v>246</v>
      </c>
      <c r="I104" s="17" t="s">
        <v>39</v>
      </c>
      <c r="J104" s="17" t="s">
        <v>40</v>
      </c>
      <c r="K104" s="17"/>
      <c r="L104" s="17" t="s">
        <v>42</v>
      </c>
      <c r="M104" s="17" t="s">
        <v>1230</v>
      </c>
      <c r="N104" s="17" t="s">
        <v>1231</v>
      </c>
      <c r="O104" s="17"/>
      <c r="P104" s="17"/>
      <c r="Q104" s="17" t="s">
        <v>1232</v>
      </c>
      <c r="R104" s="17" t="s">
        <v>1233</v>
      </c>
      <c r="S104" s="17" t="s">
        <v>503</v>
      </c>
      <c r="T104" s="17" t="s">
        <v>66</v>
      </c>
      <c r="U104" s="17"/>
      <c r="V104" s="17"/>
      <c r="W104" s="17" t="s">
        <v>1234</v>
      </c>
      <c r="X104" s="17" t="s">
        <v>1235</v>
      </c>
      <c r="Y104" s="14" t="s">
        <v>201</v>
      </c>
      <c r="Z104" s="14" t="s">
        <v>1236</v>
      </c>
      <c r="AA104" s="14" t="s">
        <v>399</v>
      </c>
      <c r="AB104" s="14" t="s">
        <v>66</v>
      </c>
      <c r="AC104" s="14"/>
      <c r="AD104" s="14" t="s">
        <v>53</v>
      </c>
      <c r="AE104" s="14" t="s">
        <v>66</v>
      </c>
      <c r="AF104" s="14" t="s">
        <v>54</v>
      </c>
      <c r="AG104" s="14" t="s">
        <v>66</v>
      </c>
    </row>
    <row r="105" s="9" customFormat="1" ht="46" hidden="1" customHeight="1" spans="1:33">
      <c r="A105" s="13">
        <v>45990</v>
      </c>
      <c r="B105" s="5" t="s">
        <v>1237</v>
      </c>
      <c r="C105" s="5" t="s">
        <v>1238</v>
      </c>
      <c r="D105" s="14" t="s">
        <v>1239</v>
      </c>
      <c r="E105" s="14"/>
      <c r="F105" s="14" t="s">
        <v>1240</v>
      </c>
      <c r="G105" s="14" t="s">
        <v>292</v>
      </c>
      <c r="H105" s="14" t="s">
        <v>207</v>
      </c>
      <c r="I105" s="14" t="s">
        <v>208</v>
      </c>
      <c r="J105" s="14" t="s">
        <v>40</v>
      </c>
      <c r="K105" s="14"/>
      <c r="L105" s="14" t="s">
        <v>166</v>
      </c>
      <c r="M105" s="14" t="s">
        <v>1241</v>
      </c>
      <c r="N105" s="14" t="s">
        <v>1242</v>
      </c>
      <c r="O105" s="14" t="s">
        <v>148</v>
      </c>
      <c r="P105" s="14" t="s">
        <v>1243</v>
      </c>
      <c r="Q105" s="14" t="s">
        <v>1244</v>
      </c>
      <c r="R105" s="14" t="s">
        <v>141</v>
      </c>
      <c r="S105" s="14" t="s">
        <v>578</v>
      </c>
      <c r="T105" s="14" t="s">
        <v>66</v>
      </c>
      <c r="U105" s="14" t="s">
        <v>156</v>
      </c>
      <c r="V105" s="14"/>
      <c r="W105" s="14" t="s">
        <v>1245</v>
      </c>
      <c r="X105" s="14" t="s">
        <v>1246</v>
      </c>
      <c r="Y105" s="14" t="s">
        <v>159</v>
      </c>
      <c r="Z105" s="14" t="s">
        <v>1247</v>
      </c>
      <c r="AA105" s="14" t="s">
        <v>52</v>
      </c>
      <c r="AB105" s="14" t="s">
        <v>156</v>
      </c>
      <c r="AC105" s="14"/>
      <c r="AD105" s="14" t="s">
        <v>53</v>
      </c>
      <c r="AE105" s="14" t="s">
        <v>175</v>
      </c>
      <c r="AF105" s="14" t="s">
        <v>54</v>
      </c>
      <c r="AG105" s="14" t="s">
        <v>66</v>
      </c>
    </row>
    <row r="106" s="9" customFormat="1" ht="46" hidden="1" customHeight="1" spans="1:33">
      <c r="A106" s="13">
        <v>45967</v>
      </c>
      <c r="B106" s="5" t="s">
        <v>1248</v>
      </c>
      <c r="C106" s="5" t="s">
        <v>1249</v>
      </c>
      <c r="D106" s="14" t="s">
        <v>1250</v>
      </c>
      <c r="E106" s="14"/>
      <c r="F106" s="14" t="s">
        <v>1251</v>
      </c>
      <c r="G106" s="14" t="s">
        <v>1251</v>
      </c>
      <c r="H106" s="14" t="s">
        <v>976</v>
      </c>
      <c r="I106" s="14" t="s">
        <v>208</v>
      </c>
      <c r="J106" s="14" t="s">
        <v>40</v>
      </c>
      <c r="K106" s="14" t="s">
        <v>1252</v>
      </c>
      <c r="L106" s="14" t="s">
        <v>1253</v>
      </c>
      <c r="M106" s="14" t="s">
        <v>1254</v>
      </c>
      <c r="N106" s="14" t="s">
        <v>1255</v>
      </c>
      <c r="O106" s="14"/>
      <c r="P106" s="14"/>
      <c r="Q106" s="14" t="s">
        <v>1256</v>
      </c>
      <c r="R106" s="14" t="s">
        <v>1257</v>
      </c>
      <c r="S106" s="14" t="s">
        <v>886</v>
      </c>
      <c r="T106" s="14" t="s">
        <v>1258</v>
      </c>
      <c r="U106" s="14"/>
      <c r="V106" s="14"/>
      <c r="W106" s="14" t="s">
        <v>1259</v>
      </c>
      <c r="X106" s="14" t="s">
        <v>1260</v>
      </c>
      <c r="Y106" s="14" t="s">
        <v>87</v>
      </c>
      <c r="Z106" s="14" t="s">
        <v>1261</v>
      </c>
      <c r="AA106" s="14" t="s">
        <v>52</v>
      </c>
      <c r="AB106" s="14" t="s">
        <v>1262</v>
      </c>
      <c r="AC106" s="14"/>
      <c r="AD106" s="14" t="s">
        <v>53</v>
      </c>
      <c r="AE106" s="14" t="s">
        <v>1262</v>
      </c>
      <c r="AF106" s="14" t="s">
        <v>54</v>
      </c>
      <c r="AG106" s="14" t="s">
        <v>156</v>
      </c>
    </row>
    <row r="107" s="9" customFormat="1" ht="46" customHeight="1" spans="1:33">
      <c r="A107" s="15">
        <v>45962</v>
      </c>
      <c r="B107" s="16" t="s">
        <v>1263</v>
      </c>
      <c r="C107" s="16" t="s">
        <v>1264</v>
      </c>
      <c r="D107" s="17" t="s">
        <v>1265</v>
      </c>
      <c r="E107" s="16" t="s">
        <v>1227</v>
      </c>
      <c r="F107" s="17" t="s">
        <v>1266</v>
      </c>
      <c r="G107" s="17" t="s">
        <v>292</v>
      </c>
      <c r="H107" s="17" t="s">
        <v>78</v>
      </c>
      <c r="I107" s="17" t="s">
        <v>79</v>
      </c>
      <c r="J107" s="17" t="s">
        <v>40</v>
      </c>
      <c r="K107" s="17"/>
      <c r="L107" s="17" t="s">
        <v>166</v>
      </c>
      <c r="M107" s="17" t="s">
        <v>1267</v>
      </c>
      <c r="N107" s="17" t="s">
        <v>1046</v>
      </c>
      <c r="O107" s="17" t="s">
        <v>1047</v>
      </c>
      <c r="P107" s="17" t="s">
        <v>154</v>
      </c>
      <c r="Q107" s="17" t="s">
        <v>1130</v>
      </c>
      <c r="R107" s="17" t="s">
        <v>1268</v>
      </c>
      <c r="S107" s="17" t="s">
        <v>172</v>
      </c>
      <c r="T107" s="17" t="s">
        <v>982</v>
      </c>
      <c r="U107" s="17"/>
      <c r="V107" s="17"/>
      <c r="W107" s="17" t="s">
        <v>1269</v>
      </c>
      <c r="X107" s="17" t="s">
        <v>1270</v>
      </c>
      <c r="Y107" s="14" t="s">
        <v>159</v>
      </c>
      <c r="Z107" s="14" t="s">
        <v>1271</v>
      </c>
      <c r="AA107" s="14" t="s">
        <v>52</v>
      </c>
      <c r="AB107" s="14" t="s">
        <v>156</v>
      </c>
      <c r="AC107" s="14"/>
      <c r="AD107" s="14" t="s">
        <v>53</v>
      </c>
      <c r="AE107" s="14" t="s">
        <v>175</v>
      </c>
      <c r="AF107" s="14" t="s">
        <v>54</v>
      </c>
      <c r="AG107" s="14" t="s">
        <v>982</v>
      </c>
    </row>
    <row r="108" s="9" customFormat="1" ht="46" hidden="1" customHeight="1" spans="1:33">
      <c r="A108" s="13">
        <v>45961</v>
      </c>
      <c r="B108" s="5" t="s">
        <v>1272</v>
      </c>
      <c r="C108" s="5" t="s">
        <v>1273</v>
      </c>
      <c r="D108" s="14" t="s">
        <v>1274</v>
      </c>
      <c r="E108" s="14"/>
      <c r="F108" s="14" t="s">
        <v>1275</v>
      </c>
      <c r="G108" s="14" t="s">
        <v>292</v>
      </c>
      <c r="H108" s="14" t="s">
        <v>165</v>
      </c>
      <c r="I108" s="14" t="s">
        <v>79</v>
      </c>
      <c r="J108" s="14" t="s">
        <v>40</v>
      </c>
      <c r="K108" s="14"/>
      <c r="L108" s="14" t="s">
        <v>166</v>
      </c>
      <c r="M108" s="14" t="s">
        <v>189</v>
      </c>
      <c r="N108" s="14" t="s">
        <v>1276</v>
      </c>
      <c r="O108" s="14" t="s">
        <v>169</v>
      </c>
      <c r="P108" s="14" t="s">
        <v>1277</v>
      </c>
      <c r="Q108" s="14" t="s">
        <v>1278</v>
      </c>
      <c r="R108" s="14" t="s">
        <v>82</v>
      </c>
      <c r="S108" s="14" t="s">
        <v>172</v>
      </c>
      <c r="T108" s="14" t="s">
        <v>156</v>
      </c>
      <c r="U108" s="14"/>
      <c r="V108" s="14"/>
      <c r="W108" s="14" t="s">
        <v>1279</v>
      </c>
      <c r="X108" s="14" t="s">
        <v>1280</v>
      </c>
      <c r="Y108" s="14" t="s">
        <v>159</v>
      </c>
      <c r="Z108" s="14" t="s">
        <v>1281</v>
      </c>
      <c r="AA108" s="14" t="s">
        <v>52</v>
      </c>
      <c r="AB108" s="14" t="s">
        <v>156</v>
      </c>
      <c r="AC108" s="14"/>
      <c r="AD108" s="14" t="s">
        <v>53</v>
      </c>
      <c r="AE108" s="14" t="s">
        <v>175</v>
      </c>
      <c r="AF108" s="14" t="s">
        <v>54</v>
      </c>
      <c r="AG108" s="14" t="s">
        <v>156</v>
      </c>
    </row>
    <row r="109" s="9" customFormat="1" ht="46" hidden="1" customHeight="1" spans="1:33">
      <c r="A109" s="13">
        <v>45961</v>
      </c>
      <c r="B109" s="5" t="s">
        <v>1282</v>
      </c>
      <c r="C109" s="5" t="s">
        <v>1283</v>
      </c>
      <c r="D109" s="14" t="s">
        <v>1284</v>
      </c>
      <c r="E109" s="14"/>
      <c r="F109" s="14" t="s">
        <v>1285</v>
      </c>
      <c r="G109" s="14" t="s">
        <v>292</v>
      </c>
      <c r="H109" s="14" t="s">
        <v>165</v>
      </c>
      <c r="I109" s="14" t="s">
        <v>79</v>
      </c>
      <c r="J109" s="14" t="s">
        <v>40</v>
      </c>
      <c r="K109" s="14"/>
      <c r="L109" s="14" t="s">
        <v>166</v>
      </c>
      <c r="M109" s="14" t="s">
        <v>125</v>
      </c>
      <c r="N109" s="14" t="s">
        <v>1286</v>
      </c>
      <c r="O109" s="14" t="s">
        <v>1287</v>
      </c>
      <c r="P109" s="14" t="s">
        <v>1070</v>
      </c>
      <c r="Q109" s="14" t="s">
        <v>53</v>
      </c>
      <c r="R109" s="14" t="s">
        <v>114</v>
      </c>
      <c r="S109" s="14" t="s">
        <v>172</v>
      </c>
      <c r="T109" s="14" t="s">
        <v>156</v>
      </c>
      <c r="U109" s="14"/>
      <c r="V109" s="14"/>
      <c r="W109" s="14" t="s">
        <v>1288</v>
      </c>
      <c r="X109" s="14" t="s">
        <v>1289</v>
      </c>
      <c r="Y109" s="14" t="s">
        <v>201</v>
      </c>
      <c r="Z109" s="14" t="s">
        <v>1290</v>
      </c>
      <c r="AA109" s="14" t="s">
        <v>52</v>
      </c>
      <c r="AB109" s="14" t="s">
        <v>156</v>
      </c>
      <c r="AC109" s="14"/>
      <c r="AD109" s="14" t="s">
        <v>53</v>
      </c>
      <c r="AE109" s="14" t="s">
        <v>175</v>
      </c>
      <c r="AF109" s="14" t="s">
        <v>54</v>
      </c>
      <c r="AG109" s="14" t="s">
        <v>156</v>
      </c>
    </row>
    <row r="110" s="9" customFormat="1" ht="46" hidden="1" customHeight="1" spans="1:33">
      <c r="A110" s="13">
        <v>45961</v>
      </c>
      <c r="B110" s="5" t="s">
        <v>1291</v>
      </c>
      <c r="C110" s="5" t="s">
        <v>1292</v>
      </c>
      <c r="D110" s="14" t="s">
        <v>1293</v>
      </c>
      <c r="E110" s="14"/>
      <c r="F110" s="14" t="s">
        <v>1294</v>
      </c>
      <c r="G110" s="14" t="s">
        <v>256</v>
      </c>
      <c r="H110" s="14" t="s">
        <v>207</v>
      </c>
      <c r="I110" s="14" t="s">
        <v>79</v>
      </c>
      <c r="J110" s="14" t="s">
        <v>40</v>
      </c>
      <c r="K110" s="14"/>
      <c r="L110" s="14" t="s">
        <v>166</v>
      </c>
      <c r="M110" s="14" t="s">
        <v>43</v>
      </c>
      <c r="N110" s="14" t="s">
        <v>1295</v>
      </c>
      <c r="O110" s="14"/>
      <c r="P110" s="14"/>
      <c r="Q110" s="14" t="s">
        <v>281</v>
      </c>
      <c r="R110" s="14" t="s">
        <v>98</v>
      </c>
      <c r="S110" s="14" t="s">
        <v>1296</v>
      </c>
      <c r="T110" s="14" t="s">
        <v>156</v>
      </c>
      <c r="U110" s="14"/>
      <c r="V110" s="14"/>
      <c r="W110" s="14" t="s">
        <v>1297</v>
      </c>
      <c r="X110" s="14" t="s">
        <v>1298</v>
      </c>
      <c r="Y110" s="14" t="s">
        <v>159</v>
      </c>
      <c r="Z110" s="14" t="s">
        <v>1299</v>
      </c>
      <c r="AA110" s="14" t="s">
        <v>52</v>
      </c>
      <c r="AB110" s="14" t="s">
        <v>156</v>
      </c>
      <c r="AC110" s="14"/>
      <c r="AD110" s="14" t="s">
        <v>53</v>
      </c>
      <c r="AE110" s="14" t="s">
        <v>156</v>
      </c>
      <c r="AF110" s="14" t="s">
        <v>54</v>
      </c>
      <c r="AG110" s="14" t="s">
        <v>156</v>
      </c>
    </row>
    <row r="111" s="9" customFormat="1" ht="46" hidden="1" customHeight="1" spans="1:33">
      <c r="A111" s="13">
        <v>45960</v>
      </c>
      <c r="B111" s="5" t="s">
        <v>1300</v>
      </c>
      <c r="C111" s="5" t="s">
        <v>1301</v>
      </c>
      <c r="D111" s="14" t="s">
        <v>1302</v>
      </c>
      <c r="E111" s="14"/>
      <c r="F111" s="14" t="s">
        <v>1303</v>
      </c>
      <c r="G111" s="14" t="s">
        <v>1304</v>
      </c>
      <c r="H111" s="14" t="s">
        <v>78</v>
      </c>
      <c r="I111" s="14" t="s">
        <v>79</v>
      </c>
      <c r="J111" s="14" t="s">
        <v>40</v>
      </c>
      <c r="K111" s="14"/>
      <c r="L111" s="14" t="s">
        <v>166</v>
      </c>
      <c r="M111" s="14" t="s">
        <v>1305</v>
      </c>
      <c r="N111" s="14" t="s">
        <v>1100</v>
      </c>
      <c r="O111" s="14" t="s">
        <v>1047</v>
      </c>
      <c r="P111" s="14" t="s">
        <v>154</v>
      </c>
      <c r="Q111" s="14" t="s">
        <v>1306</v>
      </c>
      <c r="R111" s="14" t="s">
        <v>1307</v>
      </c>
      <c r="S111" s="14" t="s">
        <v>1308</v>
      </c>
      <c r="T111" s="14" t="s">
        <v>982</v>
      </c>
      <c r="U111" s="14" t="s">
        <v>156</v>
      </c>
      <c r="V111" s="14"/>
      <c r="W111" s="14" t="s">
        <v>1309</v>
      </c>
      <c r="X111" s="14" t="s">
        <v>1310</v>
      </c>
      <c r="Y111" s="14" t="s">
        <v>159</v>
      </c>
      <c r="Z111" s="14" t="s">
        <v>1311</v>
      </c>
      <c r="AA111" s="14" t="s">
        <v>52</v>
      </c>
      <c r="AB111" s="14" t="s">
        <v>156</v>
      </c>
      <c r="AC111" s="14"/>
      <c r="AD111" s="14" t="s">
        <v>53</v>
      </c>
      <c r="AE111" s="14" t="s">
        <v>175</v>
      </c>
      <c r="AF111" s="14" t="s">
        <v>54</v>
      </c>
      <c r="AG111" s="14" t="s">
        <v>156</v>
      </c>
    </row>
    <row r="112" s="9" customFormat="1" ht="46" hidden="1" customHeight="1" spans="1:33">
      <c r="A112" s="13">
        <v>45960</v>
      </c>
      <c r="B112" s="5" t="s">
        <v>1312</v>
      </c>
      <c r="C112" s="5" t="s">
        <v>1313</v>
      </c>
      <c r="D112" s="14" t="s">
        <v>1314</v>
      </c>
      <c r="E112" s="14"/>
      <c r="F112" s="14" t="s">
        <v>1315</v>
      </c>
      <c r="G112" s="14" t="s">
        <v>292</v>
      </c>
      <c r="H112" s="14" t="s">
        <v>165</v>
      </c>
      <c r="I112" s="14" t="s">
        <v>79</v>
      </c>
      <c r="J112" s="14" t="s">
        <v>40</v>
      </c>
      <c r="K112" s="14"/>
      <c r="L112" s="14" t="s">
        <v>166</v>
      </c>
      <c r="M112" s="14" t="s">
        <v>1316</v>
      </c>
      <c r="N112" s="14" t="s">
        <v>1317</v>
      </c>
      <c r="O112" s="14" t="s">
        <v>1318</v>
      </c>
      <c r="P112" s="14" t="s">
        <v>1319</v>
      </c>
      <c r="Q112" s="14" t="s">
        <v>392</v>
      </c>
      <c r="R112" s="14" t="s">
        <v>282</v>
      </c>
      <c r="S112" s="14" t="s">
        <v>172</v>
      </c>
      <c r="T112" s="14" t="s">
        <v>156</v>
      </c>
      <c r="U112" s="14" t="s">
        <v>982</v>
      </c>
      <c r="V112" s="14"/>
      <c r="W112" s="14" t="s">
        <v>1320</v>
      </c>
      <c r="X112" s="14" t="s">
        <v>1321</v>
      </c>
      <c r="Y112" s="14" t="s">
        <v>159</v>
      </c>
      <c r="Z112" s="14" t="s">
        <v>1322</v>
      </c>
      <c r="AA112" s="14" t="s">
        <v>52</v>
      </c>
      <c r="AB112" s="14" t="s">
        <v>156</v>
      </c>
      <c r="AC112" s="14"/>
      <c r="AD112" s="14" t="s">
        <v>53</v>
      </c>
      <c r="AE112" s="14" t="s">
        <v>175</v>
      </c>
      <c r="AF112" s="14" t="s">
        <v>54</v>
      </c>
      <c r="AG112" s="14" t="s">
        <v>156</v>
      </c>
    </row>
    <row r="113" s="9" customFormat="1" ht="46" hidden="1" customHeight="1" spans="1:33">
      <c r="A113" s="13">
        <v>45960</v>
      </c>
      <c r="B113" s="5" t="s">
        <v>1323</v>
      </c>
      <c r="C113" s="5" t="s">
        <v>1324</v>
      </c>
      <c r="D113" s="14" t="s">
        <v>1325</v>
      </c>
      <c r="E113" s="14"/>
      <c r="F113" s="14" t="s">
        <v>1326</v>
      </c>
      <c r="G113" s="14" t="s">
        <v>1327</v>
      </c>
      <c r="H113" s="14" t="s">
        <v>165</v>
      </c>
      <c r="I113" s="14" t="s">
        <v>79</v>
      </c>
      <c r="J113" s="14" t="s">
        <v>40</v>
      </c>
      <c r="K113" s="14" t="s">
        <v>551</v>
      </c>
      <c r="L113" s="14" t="s">
        <v>166</v>
      </c>
      <c r="M113" s="14" t="s">
        <v>1328</v>
      </c>
      <c r="N113" s="14" t="s">
        <v>181</v>
      </c>
      <c r="O113" s="14" t="s">
        <v>169</v>
      </c>
      <c r="P113" s="14" t="s">
        <v>1329</v>
      </c>
      <c r="Q113" s="14" t="s">
        <v>392</v>
      </c>
      <c r="R113" s="14" t="s">
        <v>282</v>
      </c>
      <c r="S113" s="14" t="s">
        <v>172</v>
      </c>
      <c r="T113" s="14" t="s">
        <v>982</v>
      </c>
      <c r="U113" s="14" t="s">
        <v>156</v>
      </c>
      <c r="V113" s="14"/>
      <c r="W113" s="14" t="s">
        <v>1330</v>
      </c>
      <c r="X113" s="14" t="s">
        <v>1331</v>
      </c>
      <c r="Y113" s="14" t="s">
        <v>159</v>
      </c>
      <c r="Z113" s="14" t="s">
        <v>1332</v>
      </c>
      <c r="AA113" s="14" t="s">
        <v>52</v>
      </c>
      <c r="AB113" s="14" t="s">
        <v>156</v>
      </c>
      <c r="AC113" s="14"/>
      <c r="AD113" s="14" t="s">
        <v>53</v>
      </c>
      <c r="AE113" s="14" t="s">
        <v>175</v>
      </c>
      <c r="AF113" s="14" t="s">
        <v>54</v>
      </c>
      <c r="AG113" s="14" t="s">
        <v>156</v>
      </c>
    </row>
    <row r="114" s="9" customFormat="1" ht="46" hidden="1" customHeight="1" spans="1:33">
      <c r="A114" s="13">
        <v>45960</v>
      </c>
      <c r="B114" s="5" t="s">
        <v>1333</v>
      </c>
      <c r="C114" s="5" t="s">
        <v>1334</v>
      </c>
      <c r="D114" s="14" t="s">
        <v>1335</v>
      </c>
      <c r="E114" s="14"/>
      <c r="F114" s="14" t="s">
        <v>1336</v>
      </c>
      <c r="G114" s="14" t="s">
        <v>1337</v>
      </c>
      <c r="H114" s="14" t="s">
        <v>165</v>
      </c>
      <c r="I114" s="14" t="s">
        <v>79</v>
      </c>
      <c r="J114" s="14" t="s">
        <v>40</v>
      </c>
      <c r="K114" s="14"/>
      <c r="L114" s="14" t="s">
        <v>42</v>
      </c>
      <c r="M114" s="14" t="s">
        <v>279</v>
      </c>
      <c r="N114" s="14" t="s">
        <v>1338</v>
      </c>
      <c r="O114" s="14"/>
      <c r="P114" s="14"/>
      <c r="Q114" s="14" t="s">
        <v>1339</v>
      </c>
      <c r="R114" s="14" t="s">
        <v>1340</v>
      </c>
      <c r="S114" s="14" t="s">
        <v>436</v>
      </c>
      <c r="T114" s="14" t="s">
        <v>66</v>
      </c>
      <c r="U114" s="14"/>
      <c r="V114" s="14"/>
      <c r="W114" s="14" t="s">
        <v>1341</v>
      </c>
      <c r="X114" s="14" t="s">
        <v>1342</v>
      </c>
      <c r="Y114" s="14" t="s">
        <v>756</v>
      </c>
      <c r="Z114" s="14" t="s">
        <v>1343</v>
      </c>
      <c r="AA114" s="14" t="s">
        <v>71</v>
      </c>
      <c r="AB114" s="14" t="s">
        <v>66</v>
      </c>
      <c r="AC114" s="14"/>
      <c r="AD114" s="14" t="s">
        <v>53</v>
      </c>
      <c r="AE114" s="14" t="s">
        <v>66</v>
      </c>
      <c r="AF114" s="14" t="s">
        <v>54</v>
      </c>
      <c r="AG114" s="14" t="str">
        <f t="shared" ref="AG114:AG125" si="0">AE114</f>
        <v>万赛</v>
      </c>
    </row>
    <row r="115" s="9" customFormat="1" ht="46" customHeight="1" spans="1:33">
      <c r="A115" s="15">
        <v>45960</v>
      </c>
      <c r="B115" s="16" t="s">
        <v>1344</v>
      </c>
      <c r="C115" s="16" t="s">
        <v>1345</v>
      </c>
      <c r="D115" s="17" t="s">
        <v>1346</v>
      </c>
      <c r="E115" s="16" t="s">
        <v>1227</v>
      </c>
      <c r="F115" s="17" t="s">
        <v>1347</v>
      </c>
      <c r="G115" s="17" t="s">
        <v>1347</v>
      </c>
      <c r="H115" s="17" t="s">
        <v>78</v>
      </c>
      <c r="I115" s="17" t="s">
        <v>39</v>
      </c>
      <c r="J115" s="17" t="s">
        <v>40</v>
      </c>
      <c r="K115" s="17"/>
      <c r="L115" s="17" t="s">
        <v>845</v>
      </c>
      <c r="M115" s="17" t="s">
        <v>1348</v>
      </c>
      <c r="N115" s="17" t="s">
        <v>1346</v>
      </c>
      <c r="O115" s="17" t="s">
        <v>236</v>
      </c>
      <c r="P115" s="17"/>
      <c r="Q115" s="17" t="s">
        <v>53</v>
      </c>
      <c r="R115" s="17" t="s">
        <v>866</v>
      </c>
      <c r="S115" s="17" t="s">
        <v>296</v>
      </c>
      <c r="T115" s="17" t="s">
        <v>849</v>
      </c>
      <c r="U115" s="17"/>
      <c r="V115" s="17"/>
      <c r="W115" s="17" t="s">
        <v>1349</v>
      </c>
      <c r="X115" s="17" t="s">
        <v>1350</v>
      </c>
      <c r="Y115" s="14" t="s">
        <v>67</v>
      </c>
      <c r="Z115" s="14" t="s">
        <v>1349</v>
      </c>
      <c r="AA115" s="14" t="s">
        <v>52</v>
      </c>
      <c r="AB115" s="14" t="s">
        <v>849</v>
      </c>
      <c r="AC115" s="14"/>
      <c r="AD115" s="14" t="s">
        <v>53</v>
      </c>
      <c r="AE115" s="14" t="s">
        <v>849</v>
      </c>
      <c r="AF115" s="14" t="s">
        <v>54</v>
      </c>
      <c r="AG115" s="14" t="str">
        <f t="shared" si="0"/>
        <v>赵宇瑄</v>
      </c>
    </row>
    <row r="116" s="9" customFormat="1" ht="46" hidden="1" customHeight="1" spans="1:33">
      <c r="A116" s="13">
        <v>45960</v>
      </c>
      <c r="B116" s="5" t="s">
        <v>1351</v>
      </c>
      <c r="C116" s="5" t="s">
        <v>1352</v>
      </c>
      <c r="D116" s="14" t="s">
        <v>1353</v>
      </c>
      <c r="E116" s="14"/>
      <c r="F116" s="14" t="s">
        <v>1354</v>
      </c>
      <c r="G116" s="14" t="s">
        <v>1355</v>
      </c>
      <c r="H116" s="14" t="s">
        <v>78</v>
      </c>
      <c r="I116" s="14" t="s">
        <v>39</v>
      </c>
      <c r="J116" s="14" t="s">
        <v>40</v>
      </c>
      <c r="K116" s="14"/>
      <c r="L116" s="14" t="s">
        <v>845</v>
      </c>
      <c r="M116" s="14" t="s">
        <v>776</v>
      </c>
      <c r="N116" s="14" t="s">
        <v>1356</v>
      </c>
      <c r="O116" s="14"/>
      <c r="P116" s="14"/>
      <c r="Q116" s="14" t="s">
        <v>1357</v>
      </c>
      <c r="R116" s="14" t="s">
        <v>1358</v>
      </c>
      <c r="S116" s="14" t="s">
        <v>1359</v>
      </c>
      <c r="T116" s="14" t="s">
        <v>850</v>
      </c>
      <c r="U116" s="14"/>
      <c r="V116" s="14"/>
      <c r="W116" s="14" t="s">
        <v>1360</v>
      </c>
      <c r="X116" s="14" t="s">
        <v>1361</v>
      </c>
      <c r="Y116" s="14" t="s">
        <v>201</v>
      </c>
      <c r="Z116" s="14" t="s">
        <v>742</v>
      </c>
      <c r="AA116" s="14" t="s">
        <v>71</v>
      </c>
      <c r="AB116" s="14" t="s">
        <v>850</v>
      </c>
      <c r="AC116" s="14"/>
      <c r="AD116" s="14" t="s">
        <v>53</v>
      </c>
      <c r="AE116" s="14" t="s">
        <v>850</v>
      </c>
      <c r="AF116" s="14" t="s">
        <v>54</v>
      </c>
      <c r="AG116" s="14" t="str">
        <f t="shared" si="0"/>
        <v>穆华清</v>
      </c>
    </row>
    <row r="117" s="9" customFormat="1" ht="46" hidden="1" customHeight="1" spans="1:33">
      <c r="A117" s="13">
        <v>45960</v>
      </c>
      <c r="B117" s="5" t="s">
        <v>1362</v>
      </c>
      <c r="C117" s="5" t="s">
        <v>1363</v>
      </c>
      <c r="D117" s="14" t="s">
        <v>1364</v>
      </c>
      <c r="E117" s="14"/>
      <c r="F117" s="14" t="s">
        <v>1365</v>
      </c>
      <c r="G117" s="14" t="s">
        <v>1366</v>
      </c>
      <c r="H117" s="14" t="s">
        <v>833</v>
      </c>
      <c r="I117" s="14" t="s">
        <v>39</v>
      </c>
      <c r="J117" s="14" t="s">
        <v>40</v>
      </c>
      <c r="K117" s="14"/>
      <c r="L117" s="14" t="s">
        <v>42</v>
      </c>
      <c r="M117" s="14" t="s">
        <v>167</v>
      </c>
      <c r="N117" s="14" t="s">
        <v>1367</v>
      </c>
      <c r="O117" s="14" t="s">
        <v>1368</v>
      </c>
      <c r="P117" s="14"/>
      <c r="Q117" s="14" t="s">
        <v>1369</v>
      </c>
      <c r="R117" s="14" t="s">
        <v>114</v>
      </c>
      <c r="S117" s="14" t="s">
        <v>115</v>
      </c>
      <c r="T117" s="14" t="s">
        <v>48</v>
      </c>
      <c r="U117" s="14"/>
      <c r="V117" s="14"/>
      <c r="W117" s="14" t="s">
        <v>1370</v>
      </c>
      <c r="X117" s="14" t="s">
        <v>1371</v>
      </c>
      <c r="Y117" s="14" t="s">
        <v>67</v>
      </c>
      <c r="Z117" s="14" t="s">
        <v>1372</v>
      </c>
      <c r="AA117" s="14" t="s">
        <v>52</v>
      </c>
      <c r="AB117" s="14" t="s">
        <v>48</v>
      </c>
      <c r="AC117" s="14"/>
      <c r="AD117" s="14" t="s">
        <v>53</v>
      </c>
      <c r="AE117" s="14" t="s">
        <v>48</v>
      </c>
      <c r="AF117" s="14" t="s">
        <v>54</v>
      </c>
      <c r="AG117" s="14" t="str">
        <f t="shared" si="0"/>
        <v>唐作栋</v>
      </c>
    </row>
    <row r="118" s="9" customFormat="1" ht="46" hidden="1" customHeight="1" spans="1:33">
      <c r="A118" s="13">
        <v>45960</v>
      </c>
      <c r="B118" s="5" t="s">
        <v>1373</v>
      </c>
      <c r="C118" s="5" t="s">
        <v>1374</v>
      </c>
      <c r="D118" s="14" t="s">
        <v>1375</v>
      </c>
      <c r="E118" s="14"/>
      <c r="F118" s="14" t="s">
        <v>1376</v>
      </c>
      <c r="G118" s="14" t="s">
        <v>1377</v>
      </c>
      <c r="H118" s="14" t="s">
        <v>165</v>
      </c>
      <c r="I118" s="14" t="s">
        <v>39</v>
      </c>
      <c r="J118" s="14" t="s">
        <v>40</v>
      </c>
      <c r="K118" s="14"/>
      <c r="L118" s="14" t="s">
        <v>845</v>
      </c>
      <c r="M118" s="14" t="s">
        <v>279</v>
      </c>
      <c r="N118" s="14" t="s">
        <v>1378</v>
      </c>
      <c r="O118" s="14"/>
      <c r="P118" s="14" t="s">
        <v>1379</v>
      </c>
      <c r="Q118" s="14" t="s">
        <v>53</v>
      </c>
      <c r="R118" s="14" t="s">
        <v>1380</v>
      </c>
      <c r="S118" s="14" t="s">
        <v>1381</v>
      </c>
      <c r="T118" s="14" t="s">
        <v>849</v>
      </c>
      <c r="U118" s="14"/>
      <c r="V118" s="14"/>
      <c r="W118" s="14" t="s">
        <v>1382</v>
      </c>
      <c r="X118" s="14" t="s">
        <v>1383</v>
      </c>
      <c r="Y118" s="14" t="s">
        <v>480</v>
      </c>
      <c r="Z118" s="14" t="s">
        <v>1383</v>
      </c>
      <c r="AA118" s="14" t="s">
        <v>52</v>
      </c>
      <c r="AB118" s="14" t="s">
        <v>849</v>
      </c>
      <c r="AC118" s="14"/>
      <c r="AD118" s="14" t="s">
        <v>53</v>
      </c>
      <c r="AE118" s="14" t="s">
        <v>849</v>
      </c>
      <c r="AF118" s="14" t="s">
        <v>54</v>
      </c>
      <c r="AG118" s="14" t="str">
        <f t="shared" si="0"/>
        <v>赵宇瑄</v>
      </c>
    </row>
    <row r="119" s="9" customFormat="1" ht="46" hidden="1" customHeight="1" spans="1:33">
      <c r="A119" s="13">
        <v>45960</v>
      </c>
      <c r="B119" s="5" t="s">
        <v>1384</v>
      </c>
      <c r="C119" s="5" t="s">
        <v>1385</v>
      </c>
      <c r="D119" s="14" t="s">
        <v>1386</v>
      </c>
      <c r="E119" s="14"/>
      <c r="F119" s="14" t="s">
        <v>1387</v>
      </c>
      <c r="G119" s="14" t="s">
        <v>1388</v>
      </c>
      <c r="H119" s="14" t="s">
        <v>343</v>
      </c>
      <c r="I119" s="14" t="s">
        <v>39</v>
      </c>
      <c r="J119" s="14" t="s">
        <v>40</v>
      </c>
      <c r="K119" s="14"/>
      <c r="L119" s="14" t="s">
        <v>42</v>
      </c>
      <c r="M119" s="14" t="s">
        <v>1389</v>
      </c>
      <c r="N119" s="14" t="s">
        <v>1390</v>
      </c>
      <c r="O119" s="14" t="s">
        <v>127</v>
      </c>
      <c r="P119" s="14"/>
      <c r="Q119" s="14" t="s">
        <v>1391</v>
      </c>
      <c r="R119" s="14" t="s">
        <v>282</v>
      </c>
      <c r="S119" s="14" t="s">
        <v>129</v>
      </c>
      <c r="T119" s="14" t="s">
        <v>48</v>
      </c>
      <c r="U119" s="14" t="s">
        <v>116</v>
      </c>
      <c r="V119" s="14"/>
      <c r="W119" s="14" t="s">
        <v>1392</v>
      </c>
      <c r="X119" s="14" t="s">
        <v>1393</v>
      </c>
      <c r="Y119" s="14" t="s">
        <v>201</v>
      </c>
      <c r="Z119" s="14" t="s">
        <v>1394</v>
      </c>
      <c r="AA119" s="14" t="s">
        <v>71</v>
      </c>
      <c r="AB119" s="14" t="s">
        <v>48</v>
      </c>
      <c r="AC119" s="14"/>
      <c r="AD119" s="14" t="s">
        <v>53</v>
      </c>
      <c r="AE119" s="14" t="s">
        <v>48</v>
      </c>
      <c r="AF119" s="14" t="s">
        <v>54</v>
      </c>
      <c r="AG119" s="14" t="str">
        <f t="shared" si="0"/>
        <v>唐作栋</v>
      </c>
    </row>
    <row r="120" s="9" customFormat="1" ht="46" hidden="1" customHeight="1" spans="1:33">
      <c r="A120" s="13">
        <v>45960</v>
      </c>
      <c r="B120" s="5" t="s">
        <v>1395</v>
      </c>
      <c r="C120" s="5" t="s">
        <v>1396</v>
      </c>
      <c r="D120" s="14" t="s">
        <v>1397</v>
      </c>
      <c r="E120" s="14"/>
      <c r="F120" s="14" t="s">
        <v>1398</v>
      </c>
      <c r="G120" s="14" t="s">
        <v>1399</v>
      </c>
      <c r="H120" s="14" t="s">
        <v>343</v>
      </c>
      <c r="I120" s="14" t="s">
        <v>39</v>
      </c>
      <c r="J120" s="14" t="s">
        <v>40</v>
      </c>
      <c r="K120" s="14"/>
      <c r="L120" s="14" t="s">
        <v>42</v>
      </c>
      <c r="M120" s="14" t="s">
        <v>209</v>
      </c>
      <c r="N120" s="14" t="s">
        <v>1400</v>
      </c>
      <c r="O120" s="14" t="s">
        <v>1401</v>
      </c>
      <c r="P120" s="14" t="s">
        <v>1402</v>
      </c>
      <c r="Q120" s="14" t="s">
        <v>1403</v>
      </c>
      <c r="R120" s="14" t="s">
        <v>114</v>
      </c>
      <c r="S120" s="14" t="s">
        <v>129</v>
      </c>
      <c r="T120" s="14" t="s">
        <v>48</v>
      </c>
      <c r="U120" s="14"/>
      <c r="V120" s="14"/>
      <c r="W120" s="14" t="s">
        <v>1404</v>
      </c>
      <c r="X120" s="14" t="s">
        <v>1405</v>
      </c>
      <c r="Y120" s="14" t="s">
        <v>201</v>
      </c>
      <c r="Z120" s="14" t="s">
        <v>1406</v>
      </c>
      <c r="AA120" s="14" t="s">
        <v>71</v>
      </c>
      <c r="AB120" s="14" t="s">
        <v>48</v>
      </c>
      <c r="AC120" s="14"/>
      <c r="AD120" s="14" t="s">
        <v>53</v>
      </c>
      <c r="AE120" s="14" t="s">
        <v>48</v>
      </c>
      <c r="AF120" s="14" t="s">
        <v>54</v>
      </c>
      <c r="AG120" s="14" t="str">
        <f t="shared" si="0"/>
        <v>唐作栋</v>
      </c>
    </row>
    <row r="121" s="9" customFormat="1" ht="46" hidden="1" customHeight="1" spans="1:33">
      <c r="A121" s="13">
        <v>45960</v>
      </c>
      <c r="B121" s="5" t="s">
        <v>1407</v>
      </c>
      <c r="C121" s="5" t="s">
        <v>1408</v>
      </c>
      <c r="D121" s="14" t="s">
        <v>1409</v>
      </c>
      <c r="E121" s="14"/>
      <c r="F121" s="14" t="s">
        <v>1410</v>
      </c>
      <c r="G121" s="14" t="s">
        <v>1411</v>
      </c>
      <c r="H121" s="14" t="s">
        <v>343</v>
      </c>
      <c r="I121" s="14" t="s">
        <v>39</v>
      </c>
      <c r="J121" s="14" t="s">
        <v>40</v>
      </c>
      <c r="K121" s="14"/>
      <c r="L121" s="14" t="s">
        <v>42</v>
      </c>
      <c r="M121" s="14" t="s">
        <v>1412</v>
      </c>
      <c r="N121" s="14" t="s">
        <v>1413</v>
      </c>
      <c r="O121" s="14"/>
      <c r="P121" s="14"/>
      <c r="Q121" s="14" t="s">
        <v>1414</v>
      </c>
      <c r="R121" s="14" t="s">
        <v>514</v>
      </c>
      <c r="S121" s="14" t="s">
        <v>503</v>
      </c>
      <c r="T121" s="14" t="s">
        <v>48</v>
      </c>
      <c r="U121" s="14"/>
      <c r="V121" s="14"/>
      <c r="W121" s="14" t="s">
        <v>1415</v>
      </c>
      <c r="X121" s="14" t="s">
        <v>1416</v>
      </c>
      <c r="Y121" s="14" t="s">
        <v>201</v>
      </c>
      <c r="Z121" s="14" t="s">
        <v>1415</v>
      </c>
      <c r="AA121" s="14" t="s">
        <v>71</v>
      </c>
      <c r="AB121" s="14" t="s">
        <v>48</v>
      </c>
      <c r="AC121" s="14"/>
      <c r="AD121" s="14" t="s">
        <v>53</v>
      </c>
      <c r="AE121" s="14" t="s">
        <v>48</v>
      </c>
      <c r="AF121" s="14" t="s">
        <v>54</v>
      </c>
      <c r="AG121" s="14" t="str">
        <f t="shared" si="0"/>
        <v>唐作栋</v>
      </c>
    </row>
    <row r="122" s="9" customFormat="1" ht="46" hidden="1" customHeight="1" spans="1:33">
      <c r="A122" s="13">
        <v>45960</v>
      </c>
      <c r="B122" s="5" t="s">
        <v>1417</v>
      </c>
      <c r="C122" s="5" t="s">
        <v>1418</v>
      </c>
      <c r="D122" s="14" t="s">
        <v>1419</v>
      </c>
      <c r="E122" s="14"/>
      <c r="F122" s="14" t="s">
        <v>1420</v>
      </c>
      <c r="G122" s="14" t="s">
        <v>1421</v>
      </c>
      <c r="H122" s="14" t="s">
        <v>343</v>
      </c>
      <c r="I122" s="14" t="s">
        <v>39</v>
      </c>
      <c r="J122" s="14" t="s">
        <v>40</v>
      </c>
      <c r="K122" s="14"/>
      <c r="L122" s="14" t="s">
        <v>42</v>
      </c>
      <c r="M122" s="14" t="s">
        <v>1422</v>
      </c>
      <c r="N122" s="14" t="s">
        <v>1413</v>
      </c>
      <c r="O122" s="14"/>
      <c r="P122" s="14"/>
      <c r="Q122" s="14" t="s">
        <v>1403</v>
      </c>
      <c r="R122" s="14" t="s">
        <v>98</v>
      </c>
      <c r="S122" s="14" t="s">
        <v>503</v>
      </c>
      <c r="T122" s="14" t="s">
        <v>48</v>
      </c>
      <c r="U122" s="14"/>
      <c r="V122" s="14"/>
      <c r="W122" s="14" t="s">
        <v>1423</v>
      </c>
      <c r="X122" s="14" t="s">
        <v>1416</v>
      </c>
      <c r="Y122" s="14" t="s">
        <v>201</v>
      </c>
      <c r="Z122" s="14" t="s">
        <v>1415</v>
      </c>
      <c r="AA122" s="14" t="s">
        <v>71</v>
      </c>
      <c r="AB122" s="14" t="s">
        <v>48</v>
      </c>
      <c r="AC122" s="14"/>
      <c r="AD122" s="14" t="s">
        <v>53</v>
      </c>
      <c r="AE122" s="14" t="s">
        <v>48</v>
      </c>
      <c r="AF122" s="14" t="s">
        <v>54</v>
      </c>
      <c r="AG122" s="14" t="str">
        <f t="shared" si="0"/>
        <v>唐作栋</v>
      </c>
    </row>
    <row r="123" s="9" customFormat="1" ht="46" hidden="1" customHeight="1" spans="1:33">
      <c r="A123" s="13">
        <v>45960</v>
      </c>
      <c r="B123" s="5" t="s">
        <v>1424</v>
      </c>
      <c r="C123" s="5" t="s">
        <v>1425</v>
      </c>
      <c r="D123" s="14" t="s">
        <v>1426</v>
      </c>
      <c r="E123" s="14"/>
      <c r="F123" s="14" t="s">
        <v>1427</v>
      </c>
      <c r="G123" s="14" t="s">
        <v>1428</v>
      </c>
      <c r="H123" s="14" t="s">
        <v>343</v>
      </c>
      <c r="I123" s="14" t="s">
        <v>39</v>
      </c>
      <c r="J123" s="14" t="s">
        <v>40</v>
      </c>
      <c r="K123" s="14"/>
      <c r="L123" s="14" t="s">
        <v>42</v>
      </c>
      <c r="M123" s="14" t="s">
        <v>1429</v>
      </c>
      <c r="N123" s="14" t="s">
        <v>1413</v>
      </c>
      <c r="O123" s="14"/>
      <c r="P123" s="14"/>
      <c r="Q123" s="14" t="s">
        <v>1430</v>
      </c>
      <c r="R123" s="14" t="s">
        <v>171</v>
      </c>
      <c r="S123" s="14" t="s">
        <v>296</v>
      </c>
      <c r="T123" s="14" t="s">
        <v>48</v>
      </c>
      <c r="U123" s="14"/>
      <c r="V123" s="14"/>
      <c r="W123" s="14" t="s">
        <v>1423</v>
      </c>
      <c r="X123" s="14" t="s">
        <v>1431</v>
      </c>
      <c r="Y123" s="14" t="s">
        <v>201</v>
      </c>
      <c r="Z123" s="14" t="s">
        <v>1415</v>
      </c>
      <c r="AA123" s="14" t="s">
        <v>71</v>
      </c>
      <c r="AB123" s="14" t="s">
        <v>48</v>
      </c>
      <c r="AC123" s="14"/>
      <c r="AD123" s="14" t="s">
        <v>53</v>
      </c>
      <c r="AE123" s="14" t="s">
        <v>48</v>
      </c>
      <c r="AF123" s="14" t="s">
        <v>54</v>
      </c>
      <c r="AG123" s="14" t="str">
        <f t="shared" si="0"/>
        <v>唐作栋</v>
      </c>
    </row>
    <row r="124" s="9" customFormat="1" ht="46" hidden="1" customHeight="1" spans="1:33">
      <c r="A124" s="13">
        <v>45960</v>
      </c>
      <c r="B124" s="5" t="s">
        <v>1432</v>
      </c>
      <c r="C124" s="5" t="s">
        <v>1433</v>
      </c>
      <c r="D124" s="14" t="s">
        <v>1434</v>
      </c>
      <c r="E124" s="14"/>
      <c r="F124" s="14" t="s">
        <v>1435</v>
      </c>
      <c r="G124" s="14" t="s">
        <v>1436</v>
      </c>
      <c r="H124" s="14" t="s">
        <v>343</v>
      </c>
      <c r="I124" s="14" t="s">
        <v>39</v>
      </c>
      <c r="J124" s="14" t="s">
        <v>40</v>
      </c>
      <c r="K124" s="14"/>
      <c r="L124" s="14" t="s">
        <v>42</v>
      </c>
      <c r="M124" s="14" t="s">
        <v>209</v>
      </c>
      <c r="N124" s="14" t="s">
        <v>1413</v>
      </c>
      <c r="O124" s="14"/>
      <c r="P124" s="14"/>
      <c r="Q124" s="14" t="s">
        <v>1430</v>
      </c>
      <c r="R124" s="14" t="s">
        <v>114</v>
      </c>
      <c r="S124" s="14" t="s">
        <v>296</v>
      </c>
      <c r="T124" s="14" t="s">
        <v>48</v>
      </c>
      <c r="U124" s="14"/>
      <c r="V124" s="14"/>
      <c r="W124" s="14" t="s">
        <v>1437</v>
      </c>
      <c r="X124" s="14" t="s">
        <v>1438</v>
      </c>
      <c r="Y124" s="14" t="s">
        <v>201</v>
      </c>
      <c r="Z124" s="14" t="s">
        <v>1439</v>
      </c>
      <c r="AA124" s="14" t="s">
        <v>71</v>
      </c>
      <c r="AB124" s="14" t="s">
        <v>48</v>
      </c>
      <c r="AC124" s="14"/>
      <c r="AD124" s="14" t="s">
        <v>53</v>
      </c>
      <c r="AE124" s="14" t="s">
        <v>48</v>
      </c>
      <c r="AF124" s="14" t="s">
        <v>54</v>
      </c>
      <c r="AG124" s="14" t="str">
        <f t="shared" si="0"/>
        <v>唐作栋</v>
      </c>
    </row>
    <row r="125" s="9" customFormat="1" ht="46" hidden="1" customHeight="1" spans="1:33">
      <c r="A125" s="13">
        <v>45960</v>
      </c>
      <c r="B125" s="5" t="s">
        <v>1440</v>
      </c>
      <c r="C125" s="5" t="s">
        <v>1441</v>
      </c>
      <c r="D125" s="14" t="s">
        <v>1442</v>
      </c>
      <c r="E125" s="14"/>
      <c r="F125" s="14" t="s">
        <v>1443</v>
      </c>
      <c r="G125" s="14" t="s">
        <v>1444</v>
      </c>
      <c r="H125" s="14" t="s">
        <v>78</v>
      </c>
      <c r="I125" s="14" t="s">
        <v>39</v>
      </c>
      <c r="J125" s="14" t="s">
        <v>40</v>
      </c>
      <c r="K125" s="14"/>
      <c r="L125" s="14" t="s">
        <v>150</v>
      </c>
      <c r="M125" s="14" t="s">
        <v>1445</v>
      </c>
      <c r="N125" s="14" t="s">
        <v>1446</v>
      </c>
      <c r="O125" s="14"/>
      <c r="P125" s="14"/>
      <c r="Q125" s="14" t="s">
        <v>1403</v>
      </c>
      <c r="R125" s="14" t="s">
        <v>1447</v>
      </c>
      <c r="S125" s="14" t="s">
        <v>115</v>
      </c>
      <c r="T125" s="14" t="s">
        <v>677</v>
      </c>
      <c r="U125" s="14"/>
      <c r="V125" s="14"/>
      <c r="W125" s="14" t="s">
        <v>1448</v>
      </c>
      <c r="X125" s="14" t="s">
        <v>1449</v>
      </c>
      <c r="Y125" s="14" t="s">
        <v>201</v>
      </c>
      <c r="Z125" s="14" t="s">
        <v>1448</v>
      </c>
      <c r="AA125" s="14" t="s">
        <v>52</v>
      </c>
      <c r="AB125" s="14" t="s">
        <v>677</v>
      </c>
      <c r="AC125" s="14"/>
      <c r="AD125" s="14" t="s">
        <v>53</v>
      </c>
      <c r="AE125" s="14" t="s">
        <v>677</v>
      </c>
      <c r="AF125" s="14" t="s">
        <v>54</v>
      </c>
      <c r="AG125" s="14" t="str">
        <f t="shared" si="0"/>
        <v>周斌</v>
      </c>
    </row>
    <row r="126" s="9" customFormat="1" ht="46" hidden="1" customHeight="1" spans="1:33">
      <c r="A126" s="13">
        <v>45960</v>
      </c>
      <c r="B126" s="5" t="s">
        <v>1450</v>
      </c>
      <c r="C126" s="5" t="s">
        <v>1451</v>
      </c>
      <c r="D126" s="14" t="s">
        <v>1452</v>
      </c>
      <c r="E126" s="14"/>
      <c r="F126" s="14" t="s">
        <v>1453</v>
      </c>
      <c r="G126" s="14" t="s">
        <v>1454</v>
      </c>
      <c r="H126" s="14" t="s">
        <v>207</v>
      </c>
      <c r="I126" s="14" t="s">
        <v>39</v>
      </c>
      <c r="J126" s="14" t="s">
        <v>40</v>
      </c>
      <c r="K126" s="14"/>
      <c r="L126" s="14" t="s">
        <v>1455</v>
      </c>
      <c r="M126" s="14" t="s">
        <v>1456</v>
      </c>
      <c r="N126" s="14" t="s">
        <v>1457</v>
      </c>
      <c r="O126" s="14" t="s">
        <v>1458</v>
      </c>
      <c r="P126" s="14" t="s">
        <v>1459</v>
      </c>
      <c r="Q126" s="14" t="s">
        <v>1460</v>
      </c>
      <c r="R126" s="14" t="s">
        <v>1461</v>
      </c>
      <c r="S126" s="14" t="s">
        <v>129</v>
      </c>
      <c r="T126" s="14" t="s">
        <v>1462</v>
      </c>
      <c r="U126" s="14"/>
      <c r="V126" s="14"/>
      <c r="W126" s="14" t="s">
        <v>1463</v>
      </c>
      <c r="X126" s="14" t="s">
        <v>1464</v>
      </c>
      <c r="Y126" s="14" t="s">
        <v>542</v>
      </c>
      <c r="Z126" s="14" t="s">
        <v>1465</v>
      </c>
      <c r="AA126" s="14" t="s">
        <v>71</v>
      </c>
      <c r="AB126" s="14" t="s">
        <v>1466</v>
      </c>
      <c r="AC126" s="14"/>
      <c r="AD126" s="14" t="s">
        <v>53</v>
      </c>
      <c r="AE126" s="14" t="s">
        <v>1466</v>
      </c>
      <c r="AF126" s="14" t="s">
        <v>54</v>
      </c>
      <c r="AG126" s="14" t="s">
        <v>156</v>
      </c>
    </row>
    <row r="127" s="9" customFormat="1" ht="46" hidden="1" customHeight="1" spans="1:33">
      <c r="A127" s="13">
        <v>45960</v>
      </c>
      <c r="B127" s="5" t="s">
        <v>1467</v>
      </c>
      <c r="C127" s="5" t="s">
        <v>1468</v>
      </c>
      <c r="D127" s="14" t="s">
        <v>1469</v>
      </c>
      <c r="E127" s="14"/>
      <c r="F127" s="14" t="s">
        <v>1470</v>
      </c>
      <c r="G127" s="14" t="s">
        <v>1471</v>
      </c>
      <c r="H127" s="14" t="s">
        <v>124</v>
      </c>
      <c r="I127" s="14" t="s">
        <v>39</v>
      </c>
      <c r="J127" s="14" t="s">
        <v>1472</v>
      </c>
      <c r="K127" s="14" t="s">
        <v>40</v>
      </c>
      <c r="L127" s="14" t="s">
        <v>150</v>
      </c>
      <c r="M127" s="14" t="s">
        <v>1348</v>
      </c>
      <c r="N127" s="14" t="s">
        <v>1473</v>
      </c>
      <c r="O127" s="14" t="s">
        <v>1458</v>
      </c>
      <c r="P127" s="14"/>
      <c r="Q127" s="14" t="s">
        <v>1474</v>
      </c>
      <c r="R127" s="14" t="s">
        <v>514</v>
      </c>
      <c r="S127" s="14" t="s">
        <v>83</v>
      </c>
      <c r="T127" s="14" t="s">
        <v>1475</v>
      </c>
      <c r="U127" s="14"/>
      <c r="V127" s="14"/>
      <c r="W127" s="14" t="s">
        <v>1476</v>
      </c>
      <c r="X127" s="14" t="s">
        <v>1477</v>
      </c>
      <c r="Y127" s="14" t="s">
        <v>159</v>
      </c>
      <c r="Z127" s="14" t="s">
        <v>1478</v>
      </c>
      <c r="AA127" s="14" t="s">
        <v>71</v>
      </c>
      <c r="AB127" s="14" t="s">
        <v>783</v>
      </c>
      <c r="AC127" s="14"/>
      <c r="AD127" s="14" t="s">
        <v>53</v>
      </c>
      <c r="AE127" s="14" t="s">
        <v>1462</v>
      </c>
      <c r="AF127" s="14" t="s">
        <v>54</v>
      </c>
      <c r="AG127" s="14" t="s">
        <v>156</v>
      </c>
    </row>
    <row r="128" s="9" customFormat="1" ht="46" hidden="1" customHeight="1" spans="1:33">
      <c r="A128" s="13">
        <v>45960</v>
      </c>
      <c r="B128" s="5" t="s">
        <v>1479</v>
      </c>
      <c r="C128" s="5" t="s">
        <v>1480</v>
      </c>
      <c r="D128" s="14" t="s">
        <v>1481</v>
      </c>
      <c r="E128" s="14"/>
      <c r="F128" s="14" t="s">
        <v>1482</v>
      </c>
      <c r="G128" s="14" t="s">
        <v>1483</v>
      </c>
      <c r="H128" s="14" t="s">
        <v>149</v>
      </c>
      <c r="I128" s="14" t="s">
        <v>39</v>
      </c>
      <c r="J128" s="14" t="s">
        <v>40</v>
      </c>
      <c r="K128" s="14" t="s">
        <v>109</v>
      </c>
      <c r="L128" s="14" t="s">
        <v>845</v>
      </c>
      <c r="M128" s="14" t="s">
        <v>1484</v>
      </c>
      <c r="N128" s="14" t="s">
        <v>1485</v>
      </c>
      <c r="O128" s="14" t="s">
        <v>1180</v>
      </c>
      <c r="P128" s="14" t="s">
        <v>154</v>
      </c>
      <c r="Q128" s="14" t="s">
        <v>53</v>
      </c>
      <c r="R128" s="14" t="s">
        <v>944</v>
      </c>
      <c r="S128" s="14" t="s">
        <v>142</v>
      </c>
      <c r="T128" s="14" t="s">
        <v>850</v>
      </c>
      <c r="U128" s="14" t="s">
        <v>849</v>
      </c>
      <c r="V128" s="14" t="s">
        <v>274</v>
      </c>
      <c r="W128" s="14" t="s">
        <v>1486</v>
      </c>
      <c r="X128" s="14" t="s">
        <v>54</v>
      </c>
      <c r="Y128" s="14" t="s">
        <v>274</v>
      </c>
      <c r="Z128" s="14" t="s">
        <v>1487</v>
      </c>
      <c r="AA128" s="14" t="s">
        <v>52</v>
      </c>
      <c r="AB128" s="14" t="s">
        <v>850</v>
      </c>
      <c r="AC128" s="14"/>
      <c r="AD128" s="14" t="s">
        <v>53</v>
      </c>
      <c r="AE128" s="14" t="s">
        <v>72</v>
      </c>
      <c r="AF128" s="14" t="s">
        <v>54</v>
      </c>
      <c r="AG128" s="14" t="s">
        <v>850</v>
      </c>
    </row>
    <row r="129" s="9" customFormat="1" ht="46" hidden="1" customHeight="1" spans="1:33">
      <c r="A129" s="13">
        <v>45952</v>
      </c>
      <c r="B129" s="5" t="s">
        <v>1488</v>
      </c>
      <c r="C129" s="5" t="s">
        <v>1489</v>
      </c>
      <c r="D129" s="14" t="s">
        <v>1490</v>
      </c>
      <c r="E129" s="14"/>
      <c r="F129" s="14" t="s">
        <v>1491</v>
      </c>
      <c r="G129" s="14" t="s">
        <v>148</v>
      </c>
      <c r="H129" s="14" t="s">
        <v>354</v>
      </c>
      <c r="I129" s="14" t="s">
        <v>883</v>
      </c>
      <c r="J129" s="14" t="s">
        <v>40</v>
      </c>
      <c r="K129" s="14"/>
      <c r="L129" s="14" t="s">
        <v>845</v>
      </c>
      <c r="M129" s="14" t="s">
        <v>1492</v>
      </c>
      <c r="N129" s="14" t="s">
        <v>1493</v>
      </c>
      <c r="O129" s="14"/>
      <c r="P129" s="14"/>
      <c r="Q129" s="14" t="s">
        <v>53</v>
      </c>
      <c r="R129" s="14" t="s">
        <v>1494</v>
      </c>
      <c r="S129" s="14" t="s">
        <v>335</v>
      </c>
      <c r="T129" s="14" t="s">
        <v>849</v>
      </c>
      <c r="U129" s="14"/>
      <c r="V129" s="14"/>
      <c r="W129" s="14" t="s">
        <v>1495</v>
      </c>
      <c r="X129" s="14" t="s">
        <v>1496</v>
      </c>
      <c r="Y129" s="14" t="s">
        <v>84</v>
      </c>
      <c r="Z129" s="14" t="s">
        <v>1495</v>
      </c>
      <c r="AA129" s="14" t="s">
        <v>52</v>
      </c>
      <c r="AB129" s="14" t="s">
        <v>849</v>
      </c>
      <c r="AC129" s="14"/>
      <c r="AD129" s="14" t="s">
        <v>53</v>
      </c>
      <c r="AE129" s="14" t="s">
        <v>849</v>
      </c>
      <c r="AF129" s="14" t="s">
        <v>54</v>
      </c>
      <c r="AG129" s="14" t="s">
        <v>849</v>
      </c>
    </row>
    <row r="130" s="9" customFormat="1" ht="46" hidden="1" customHeight="1" spans="1:33">
      <c r="A130" s="13">
        <v>45900</v>
      </c>
      <c r="B130" s="5" t="s">
        <v>1497</v>
      </c>
      <c r="C130" s="5" t="s">
        <v>1498</v>
      </c>
      <c r="D130" s="14" t="s">
        <v>1499</v>
      </c>
      <c r="E130" s="14"/>
      <c r="F130" s="14" t="s">
        <v>1500</v>
      </c>
      <c r="G130" s="14" t="s">
        <v>1501</v>
      </c>
      <c r="H130" s="14" t="s">
        <v>819</v>
      </c>
      <c r="I130" s="14" t="s">
        <v>883</v>
      </c>
      <c r="J130" s="14" t="s">
        <v>40</v>
      </c>
      <c r="K130" s="14"/>
      <c r="L130" s="14" t="s">
        <v>166</v>
      </c>
      <c r="M130" s="14" t="s">
        <v>125</v>
      </c>
      <c r="N130" s="14" t="s">
        <v>1502</v>
      </c>
      <c r="O130" s="14" t="s">
        <v>1503</v>
      </c>
      <c r="P130" s="14" t="s">
        <v>1504</v>
      </c>
      <c r="Q130" s="14" t="s">
        <v>1505</v>
      </c>
      <c r="R130" s="14" t="s">
        <v>1506</v>
      </c>
      <c r="S130" s="14" t="s">
        <v>115</v>
      </c>
      <c r="T130" s="14" t="s">
        <v>982</v>
      </c>
      <c r="U130" s="14"/>
      <c r="V130" s="14"/>
      <c r="W130" s="14" t="s">
        <v>1507</v>
      </c>
      <c r="X130" s="14" t="s">
        <v>1508</v>
      </c>
      <c r="Y130" s="14" t="s">
        <v>159</v>
      </c>
      <c r="Z130" s="14" t="s">
        <v>1507</v>
      </c>
      <c r="AA130" s="14" t="s">
        <v>71</v>
      </c>
      <c r="AB130" s="14" t="s">
        <v>156</v>
      </c>
      <c r="AC130" s="14"/>
      <c r="AD130" s="14" t="s">
        <v>53</v>
      </c>
      <c r="AE130" s="14" t="s">
        <v>1509</v>
      </c>
      <c r="AF130" s="14" t="s">
        <v>54</v>
      </c>
      <c r="AG130" s="14" t="s">
        <v>982</v>
      </c>
    </row>
    <row r="131" s="9" customFormat="1" ht="46" hidden="1" customHeight="1" spans="1:33">
      <c r="A131" s="13">
        <v>45662</v>
      </c>
      <c r="B131" s="5" t="s">
        <v>1510</v>
      </c>
      <c r="C131" s="5" t="s">
        <v>1511</v>
      </c>
      <c r="D131" s="14" t="s">
        <v>1512</v>
      </c>
      <c r="E131" s="14"/>
      <c r="F131" s="14" t="s">
        <v>1513</v>
      </c>
      <c r="G131" s="14" t="s">
        <v>1514</v>
      </c>
      <c r="H131" s="14" t="s">
        <v>94</v>
      </c>
      <c r="I131" s="14" t="s">
        <v>95</v>
      </c>
      <c r="J131" s="14" t="s">
        <v>40</v>
      </c>
      <c r="K131" s="14"/>
      <c r="L131" s="14" t="s">
        <v>845</v>
      </c>
      <c r="M131" s="14" t="s">
        <v>1515</v>
      </c>
      <c r="N131" s="14" t="s">
        <v>953</v>
      </c>
      <c r="O131" s="14" t="s">
        <v>954</v>
      </c>
      <c r="P131" s="14"/>
      <c r="Q131" s="14" t="s">
        <v>53</v>
      </c>
      <c r="R131" s="14" t="s">
        <v>1257</v>
      </c>
      <c r="S131" s="14" t="s">
        <v>477</v>
      </c>
      <c r="T131" s="14" t="s">
        <v>850</v>
      </c>
      <c r="U131" s="14" t="s">
        <v>849</v>
      </c>
      <c r="V131" s="14"/>
      <c r="W131" s="14" t="s">
        <v>1516</v>
      </c>
      <c r="X131" s="14" t="s">
        <v>1517</v>
      </c>
      <c r="Y131" s="14" t="s">
        <v>84</v>
      </c>
      <c r="Z131" s="14" t="s">
        <v>1518</v>
      </c>
      <c r="AA131" s="14" t="s">
        <v>52</v>
      </c>
      <c r="AB131" s="14" t="s">
        <v>849</v>
      </c>
      <c r="AC131" s="14"/>
      <c r="AD131" s="14" t="s">
        <v>53</v>
      </c>
      <c r="AE131" s="14" t="s">
        <v>849</v>
      </c>
      <c r="AF131" s="14" t="s">
        <v>54</v>
      </c>
      <c r="AG131" s="14" t="s">
        <v>849</v>
      </c>
    </row>
    <row r="132" s="9" customFormat="1" ht="46" hidden="1" customHeight="1" spans="1:33">
      <c r="A132" s="13">
        <v>45659</v>
      </c>
      <c r="B132" s="5" t="s">
        <v>1519</v>
      </c>
      <c r="C132" s="5" t="s">
        <v>1520</v>
      </c>
      <c r="D132" s="14" t="s">
        <v>1521</v>
      </c>
      <c r="E132" s="14"/>
      <c r="F132" s="14" t="s">
        <v>1522</v>
      </c>
      <c r="G132" s="14" t="s">
        <v>1523</v>
      </c>
      <c r="H132" s="14" t="s">
        <v>903</v>
      </c>
      <c r="I132" s="14" t="s">
        <v>95</v>
      </c>
      <c r="J132" s="14" t="s">
        <v>40</v>
      </c>
      <c r="K132" s="14"/>
      <c r="L132" s="14" t="s">
        <v>845</v>
      </c>
      <c r="M132" s="14" t="s">
        <v>125</v>
      </c>
      <c r="N132" s="14" t="s">
        <v>1524</v>
      </c>
      <c r="O132" s="14"/>
      <c r="P132" s="14"/>
      <c r="Q132" s="14" t="s">
        <v>1403</v>
      </c>
      <c r="R132" s="14" t="s">
        <v>1525</v>
      </c>
      <c r="S132" s="14" t="s">
        <v>689</v>
      </c>
      <c r="T132" s="14" t="s">
        <v>850</v>
      </c>
      <c r="U132" s="14"/>
      <c r="V132" s="14"/>
      <c r="W132" s="14" t="s">
        <v>1526</v>
      </c>
      <c r="X132" s="14" t="s">
        <v>1527</v>
      </c>
      <c r="Y132" s="14" t="s">
        <v>542</v>
      </c>
      <c r="Z132" s="14" t="s">
        <v>1528</v>
      </c>
      <c r="AA132" s="14" t="s">
        <v>71</v>
      </c>
      <c r="AB132" s="14" t="s">
        <v>850</v>
      </c>
      <c r="AC132" s="14"/>
      <c r="AD132" s="14" t="s">
        <v>53</v>
      </c>
      <c r="AE132" s="14" t="s">
        <v>1509</v>
      </c>
      <c r="AF132" s="14" t="s">
        <v>54</v>
      </c>
      <c r="AG132" s="14" t="s">
        <v>850</v>
      </c>
    </row>
    <row r="133" s="9" customFormat="1" ht="46" hidden="1" customHeight="1" spans="1:33">
      <c r="A133" s="13">
        <v>45657</v>
      </c>
      <c r="B133" s="5" t="s">
        <v>1479</v>
      </c>
      <c r="C133" s="5" t="s">
        <v>1529</v>
      </c>
      <c r="D133" s="14" t="s">
        <v>1530</v>
      </c>
      <c r="E133" s="14"/>
      <c r="F133" s="14" t="s">
        <v>1531</v>
      </c>
      <c r="G133" s="14" t="s">
        <v>148</v>
      </c>
      <c r="H133" s="14" t="s">
        <v>149</v>
      </c>
      <c r="I133" s="14" t="s">
        <v>808</v>
      </c>
      <c r="J133" s="14" t="s">
        <v>40</v>
      </c>
      <c r="K133" s="14" t="s">
        <v>109</v>
      </c>
      <c r="L133" s="14" t="s">
        <v>42</v>
      </c>
      <c r="M133" s="14" t="s">
        <v>167</v>
      </c>
      <c r="N133" s="14" t="s">
        <v>154</v>
      </c>
      <c r="O133" s="14"/>
      <c r="P133" s="14"/>
      <c r="Q133" s="14" t="s">
        <v>53</v>
      </c>
      <c r="R133" s="14" t="s">
        <v>1340</v>
      </c>
      <c r="S133" s="14" t="s">
        <v>637</v>
      </c>
      <c r="T133" s="14" t="s">
        <v>66</v>
      </c>
      <c r="U133" s="14" t="s">
        <v>515</v>
      </c>
      <c r="V133" s="14" t="s">
        <v>201</v>
      </c>
      <c r="W133" s="14" t="s">
        <v>1532</v>
      </c>
      <c r="X133" s="14" t="s">
        <v>1533</v>
      </c>
      <c r="Y133" s="14" t="s">
        <v>201</v>
      </c>
      <c r="Z133" s="14" t="s">
        <v>1534</v>
      </c>
      <c r="AA133" s="14" t="s">
        <v>71</v>
      </c>
      <c r="AB133" s="14" t="s">
        <v>66</v>
      </c>
      <c r="AC133" s="14"/>
      <c r="AD133" s="14" t="s">
        <v>53</v>
      </c>
      <c r="AE133" s="14" t="s">
        <v>72</v>
      </c>
      <c r="AF133" s="14" t="s">
        <v>54</v>
      </c>
      <c r="AG133" s="14" t="s">
        <v>66</v>
      </c>
    </row>
    <row r="134" s="9" customFormat="1" ht="46" hidden="1" customHeight="1" spans="1:33">
      <c r="A134" s="13">
        <v>45398</v>
      </c>
      <c r="B134" s="5" t="s">
        <v>1535</v>
      </c>
      <c r="C134" s="5" t="s">
        <v>1536</v>
      </c>
      <c r="D134" s="14" t="s">
        <v>1537</v>
      </c>
      <c r="E134" s="14"/>
      <c r="F134" s="14" t="s">
        <v>1538</v>
      </c>
      <c r="G134" s="14" t="s">
        <v>1539</v>
      </c>
      <c r="H134" s="14" t="s">
        <v>94</v>
      </c>
      <c r="I134" s="14" t="s">
        <v>95</v>
      </c>
      <c r="J134" s="14" t="s">
        <v>40</v>
      </c>
      <c r="K134" s="14"/>
      <c r="L134" s="14" t="s">
        <v>42</v>
      </c>
      <c r="M134" s="14" t="s">
        <v>1429</v>
      </c>
      <c r="N134" s="14" t="s">
        <v>1540</v>
      </c>
      <c r="O134" s="14"/>
      <c r="P134" s="14"/>
      <c r="Q134" s="14" t="s">
        <v>1414</v>
      </c>
      <c r="R134" s="14" t="s">
        <v>1541</v>
      </c>
      <c r="S134" s="14" t="s">
        <v>296</v>
      </c>
      <c r="T134" s="14" t="s">
        <v>48</v>
      </c>
      <c r="U134" s="14"/>
      <c r="V134" s="14"/>
      <c r="W134" s="14" t="s">
        <v>1542</v>
      </c>
      <c r="X134" s="14" t="s">
        <v>1543</v>
      </c>
      <c r="Y134" s="14" t="s">
        <v>201</v>
      </c>
      <c r="Z134" s="14" t="s">
        <v>1542</v>
      </c>
      <c r="AA134" s="14" t="s">
        <v>71</v>
      </c>
      <c r="AB134" s="14" t="s">
        <v>48</v>
      </c>
      <c r="AC134" s="14"/>
      <c r="AD134" s="14" t="s">
        <v>53</v>
      </c>
      <c r="AE134" s="14" t="s">
        <v>48</v>
      </c>
      <c r="AF134" s="14" t="s">
        <v>54</v>
      </c>
      <c r="AG134" s="14" t="s">
        <v>48</v>
      </c>
    </row>
    <row r="135" s="9" customFormat="1" ht="46" hidden="1" customHeight="1" spans="1:33">
      <c r="A135" s="13">
        <v>45375</v>
      </c>
      <c r="B135" s="5" t="s">
        <v>1544</v>
      </c>
      <c r="C135" s="5" t="s">
        <v>1545</v>
      </c>
      <c r="D135" s="14" t="s">
        <v>1546</v>
      </c>
      <c r="E135" s="14"/>
      <c r="F135" s="14" t="s">
        <v>1547</v>
      </c>
      <c r="G135" s="14" t="s">
        <v>1548</v>
      </c>
      <c r="H135" s="14" t="s">
        <v>94</v>
      </c>
      <c r="I135" s="14" t="s">
        <v>95</v>
      </c>
      <c r="J135" s="14" t="s">
        <v>40</v>
      </c>
      <c r="K135" s="14"/>
      <c r="L135" s="14" t="s">
        <v>845</v>
      </c>
      <c r="M135" s="14" t="s">
        <v>151</v>
      </c>
      <c r="N135" s="14" t="s">
        <v>1549</v>
      </c>
      <c r="O135" s="14" t="s">
        <v>1550</v>
      </c>
      <c r="P135" s="14"/>
      <c r="Q135" s="14" t="s">
        <v>53</v>
      </c>
      <c r="R135" s="14" t="s">
        <v>1551</v>
      </c>
      <c r="S135" s="14" t="s">
        <v>477</v>
      </c>
      <c r="T135" s="14" t="s">
        <v>850</v>
      </c>
      <c r="U135" s="14"/>
      <c r="V135" s="14"/>
      <c r="W135" s="14" t="s">
        <v>1552</v>
      </c>
      <c r="X135" s="14" t="s">
        <v>1553</v>
      </c>
      <c r="Y135" s="14" t="s">
        <v>159</v>
      </c>
      <c r="Z135" s="14" t="s">
        <v>1554</v>
      </c>
      <c r="AA135" s="14" t="s">
        <v>71</v>
      </c>
      <c r="AB135" s="14" t="s">
        <v>850</v>
      </c>
      <c r="AC135" s="14"/>
      <c r="AD135" s="14" t="s">
        <v>53</v>
      </c>
      <c r="AE135" s="14" t="s">
        <v>850</v>
      </c>
      <c r="AF135" s="14" t="s">
        <v>54</v>
      </c>
      <c r="AG135" s="14" t="s">
        <v>850</v>
      </c>
    </row>
  </sheetData>
  <autoFilter xmlns:etc="http://www.wps.cn/officeDocument/2017/etCustomData" ref="A1:AG135" etc:filterBottomFollowUsedRange="0">
    <filterColumn colId="3">
      <colorFilter dxfId="0"/>
    </filterColumn>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2"/>
  <sheetViews>
    <sheetView workbookViewId="0">
      <selection activeCell="B22" sqref="B22"/>
    </sheetView>
  </sheetViews>
  <sheetFormatPr defaultColWidth="8.72727272727273" defaultRowHeight="14" outlineLevelCol="1"/>
  <cols>
    <col min="1" max="1" width="14.6363636363636"/>
    <col min="2" max="3" width="18.1818181818182"/>
  </cols>
  <sheetData>
    <row r="1" spans="1:2">
      <c r="A1" t="s">
        <v>0</v>
      </c>
      <c r="B1" t="s">
        <v>1555</v>
      </c>
    </row>
    <row r="3" spans="1:2">
      <c r="A3" t="s">
        <v>32</v>
      </c>
      <c r="B3" t="s">
        <v>1556</v>
      </c>
    </row>
    <row r="4" spans="1:2">
      <c r="A4" t="s">
        <v>982</v>
      </c>
      <c r="B4">
        <v>1</v>
      </c>
    </row>
    <row r="5" spans="1:2">
      <c r="A5" t="s">
        <v>116</v>
      </c>
      <c r="B5">
        <v>10</v>
      </c>
    </row>
    <row r="6" spans="1:2">
      <c r="A6" t="s">
        <v>395</v>
      </c>
      <c r="B6">
        <v>9</v>
      </c>
    </row>
    <row r="7" spans="1:2">
      <c r="A7" t="s">
        <v>48</v>
      </c>
      <c r="B7">
        <v>11</v>
      </c>
    </row>
    <row r="8" spans="1:2">
      <c r="A8" t="s">
        <v>66</v>
      </c>
      <c r="B8">
        <v>1</v>
      </c>
    </row>
    <row r="9" spans="1:2">
      <c r="A9" t="s">
        <v>156</v>
      </c>
      <c r="B9">
        <v>10</v>
      </c>
    </row>
    <row r="10" spans="1:2">
      <c r="A10" t="s">
        <v>515</v>
      </c>
      <c r="B10">
        <v>3</v>
      </c>
    </row>
    <row r="11" spans="1:2">
      <c r="A11" t="s">
        <v>849</v>
      </c>
      <c r="B11">
        <v>14</v>
      </c>
    </row>
    <row r="12" spans="1:2">
      <c r="A12" t="s">
        <v>677</v>
      </c>
      <c r="B12">
        <v>14</v>
      </c>
    </row>
    <row r="13" spans="1:2">
      <c r="A13" t="s">
        <v>1557</v>
      </c>
      <c r="B13">
        <v>73</v>
      </c>
    </row>
    <row r="22" ht="19" customHeight="1"/>
    <row r="23" ht="19" customHeight="1"/>
    <row r="24" ht="19" customHeight="1"/>
    <row r="25" ht="19" customHeight="1"/>
    <row r="26" ht="19" customHeight="1"/>
    <row r="27" ht="19" customHeight="1"/>
    <row r="28" ht="19" customHeight="1"/>
    <row r="29" ht="19" customHeight="1"/>
    <row r="30" ht="19" customHeight="1"/>
    <row r="31" ht="19" customHeight="1"/>
    <row r="32" ht="19" customHeight="1"/>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
  <sheetViews>
    <sheetView workbookViewId="0">
      <selection activeCell="C8" sqref="C8"/>
    </sheetView>
  </sheetViews>
  <sheetFormatPr defaultColWidth="8.72727272727273" defaultRowHeight="14" outlineLevelCol="6"/>
  <cols>
    <col min="1" max="2" width="12.6363636363636" style="1" customWidth="1"/>
    <col min="3" max="3" width="14.9090909090909" style="1" customWidth="1"/>
    <col min="4" max="6" width="14.9090909090909" style="2" customWidth="1"/>
    <col min="7" max="7" width="13.4545454545455" customWidth="1"/>
  </cols>
  <sheetData>
    <row r="1" ht="30" customHeight="1" spans="1:7">
      <c r="A1" s="3" t="s">
        <v>1558</v>
      </c>
      <c r="B1" s="3" t="s">
        <v>1559</v>
      </c>
      <c r="C1" s="3" t="s">
        <v>1560</v>
      </c>
      <c r="D1" s="4" t="s">
        <v>1561</v>
      </c>
      <c r="E1" s="4" t="s">
        <v>1562</v>
      </c>
      <c r="F1" s="4" t="s">
        <v>1563</v>
      </c>
      <c r="G1" s="3" t="s">
        <v>1564</v>
      </c>
    </row>
    <row r="2" ht="28" customHeight="1" spans="1:7">
      <c r="A2" s="5" t="s">
        <v>982</v>
      </c>
      <c r="B2" s="5">
        <v>13</v>
      </c>
      <c r="C2" s="5">
        <f>VLOOKUP(A2,Sheet1!$A$3:$B$12,2,FALSE)</f>
        <v>1</v>
      </c>
      <c r="D2" s="6">
        <v>8</v>
      </c>
      <c r="E2" s="7">
        <f>C2/B2</f>
        <v>0.0769230769230769</v>
      </c>
      <c r="F2" s="6">
        <v>9</v>
      </c>
      <c r="G2" s="6">
        <f>D2*0.5+F2*0.5</f>
        <v>8.5</v>
      </c>
    </row>
    <row r="3" ht="28" customHeight="1" spans="1:7">
      <c r="A3" s="5" t="s">
        <v>116</v>
      </c>
      <c r="B3" s="5">
        <v>11</v>
      </c>
      <c r="C3" s="5">
        <v>11</v>
      </c>
      <c r="D3" s="6">
        <v>3</v>
      </c>
      <c r="E3" s="7">
        <f t="shared" ref="E3:E11" si="0">C3/B3</f>
        <v>1</v>
      </c>
      <c r="F3" s="6">
        <v>1</v>
      </c>
      <c r="G3" s="8">
        <f t="shared" ref="G3:G11" si="1">D3*0.5+F3*0.5</f>
        <v>2</v>
      </c>
    </row>
    <row r="4" ht="28" customHeight="1" spans="1:7">
      <c r="A4" s="5" t="s">
        <v>850</v>
      </c>
      <c r="B4" s="5">
        <v>4</v>
      </c>
      <c r="C4" s="5">
        <v>0</v>
      </c>
      <c r="D4" s="6">
        <v>10</v>
      </c>
      <c r="E4" s="7">
        <v>0</v>
      </c>
      <c r="F4" s="6">
        <v>10</v>
      </c>
      <c r="G4" s="6">
        <f t="shared" si="1"/>
        <v>10</v>
      </c>
    </row>
    <row r="5" ht="28" customHeight="1" spans="1:7">
      <c r="A5" s="5" t="s">
        <v>395</v>
      </c>
      <c r="B5" s="5">
        <v>11</v>
      </c>
      <c r="C5" s="5">
        <v>10</v>
      </c>
      <c r="D5" s="6">
        <v>5</v>
      </c>
      <c r="E5" s="7">
        <f t="shared" si="0"/>
        <v>0.909090909090909</v>
      </c>
      <c r="F5" s="6">
        <v>4</v>
      </c>
      <c r="G5" s="6">
        <f t="shared" si="1"/>
        <v>4.5</v>
      </c>
    </row>
    <row r="6" ht="28" customHeight="1" spans="1:7">
      <c r="A6" s="5" t="s">
        <v>48</v>
      </c>
      <c r="B6" s="5">
        <v>24</v>
      </c>
      <c r="C6" s="5">
        <f>VLOOKUP(A6,Sheet1!$A$3:$B$12,2,FALSE)</f>
        <v>11</v>
      </c>
      <c r="D6" s="6">
        <v>3</v>
      </c>
      <c r="E6" s="7">
        <f t="shared" si="0"/>
        <v>0.458333333333333</v>
      </c>
      <c r="F6" s="6">
        <v>6</v>
      </c>
      <c r="G6" s="6">
        <f t="shared" si="1"/>
        <v>4.5</v>
      </c>
    </row>
    <row r="7" ht="28" customHeight="1" spans="1:7">
      <c r="A7" s="5" t="s">
        <v>66</v>
      </c>
      <c r="B7" s="5">
        <v>7</v>
      </c>
      <c r="C7" s="5">
        <f>VLOOKUP(A7,Sheet1!$A$3:$B$12,2,FALSE)</f>
        <v>1</v>
      </c>
      <c r="D7" s="6">
        <v>8</v>
      </c>
      <c r="E7" s="7">
        <f t="shared" si="0"/>
        <v>0.142857142857143</v>
      </c>
      <c r="F7" s="6">
        <v>8</v>
      </c>
      <c r="G7" s="6">
        <f t="shared" si="1"/>
        <v>8</v>
      </c>
    </row>
    <row r="8" ht="28" customHeight="1" spans="1:7">
      <c r="A8" s="5" t="s">
        <v>156</v>
      </c>
      <c r="B8" s="5">
        <v>28</v>
      </c>
      <c r="C8" s="5">
        <f>VLOOKUP(A8,Sheet1!$A$3:$B$12,2,FALSE)</f>
        <v>10</v>
      </c>
      <c r="D8" s="6">
        <v>5</v>
      </c>
      <c r="E8" s="7">
        <f t="shared" si="0"/>
        <v>0.357142857142857</v>
      </c>
      <c r="F8" s="6">
        <v>7</v>
      </c>
      <c r="G8" s="6">
        <f t="shared" si="1"/>
        <v>6</v>
      </c>
    </row>
    <row r="9" ht="28" customHeight="1" spans="1:7">
      <c r="A9" s="5" t="s">
        <v>515</v>
      </c>
      <c r="B9" s="5">
        <v>3</v>
      </c>
      <c r="C9" s="5">
        <f>VLOOKUP(A9,Sheet1!$A$3:$B$12,2,FALSE)</f>
        <v>3</v>
      </c>
      <c r="D9" s="6">
        <v>7</v>
      </c>
      <c r="E9" s="7">
        <f t="shared" si="0"/>
        <v>1</v>
      </c>
      <c r="F9" s="6">
        <v>1</v>
      </c>
      <c r="G9" s="6">
        <f t="shared" si="1"/>
        <v>4</v>
      </c>
    </row>
    <row r="10" ht="28" customHeight="1" spans="1:7">
      <c r="A10" s="5" t="s">
        <v>849</v>
      </c>
      <c r="B10" s="5">
        <v>18</v>
      </c>
      <c r="C10" s="5">
        <v>15</v>
      </c>
      <c r="D10" s="6">
        <v>1</v>
      </c>
      <c r="E10" s="7">
        <f t="shared" si="0"/>
        <v>0.833333333333333</v>
      </c>
      <c r="F10" s="6">
        <v>5</v>
      </c>
      <c r="G10" s="8">
        <f t="shared" si="1"/>
        <v>3</v>
      </c>
    </row>
    <row r="11" ht="28" customHeight="1" spans="1:7">
      <c r="A11" s="5" t="s">
        <v>677</v>
      </c>
      <c r="B11" s="5">
        <v>15</v>
      </c>
      <c r="C11" s="5">
        <f>VLOOKUP(A11,Sheet1!$A$3:$B$12,2,FALSE)</f>
        <v>14</v>
      </c>
      <c r="D11" s="6">
        <v>2</v>
      </c>
      <c r="E11" s="7">
        <f t="shared" si="0"/>
        <v>0.933333333333333</v>
      </c>
      <c r="F11" s="6">
        <v>3</v>
      </c>
      <c r="G11" s="8">
        <f t="shared" si="1"/>
        <v>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vt:i4>
      </vt:variant>
    </vt:vector>
  </HeadingPairs>
  <TitlesOfParts>
    <vt:vector size="3" baseType="lpstr">
      <vt:lpstr>exportReport</vt:lpstr>
      <vt:lpstr>Sheet1</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刘柯</cp:lastModifiedBy>
  <dcterms:created xsi:type="dcterms:W3CDTF">2026-04-08T08:36:00Z</dcterms:created>
  <dcterms:modified xsi:type="dcterms:W3CDTF">2026-04-09T02:41:24Z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9352BA12C743462ABFA98CE65BD64EF5_13</vt:lpwstr>
  </property>
  <property fmtid="{D5CDD505-2E9C-101B-9397-08002B2CF9AE}" pid="4" name="KSOProductBuildVer">
    <vt:lpwstr>2052-12.1.0.25225</vt:lpwstr>
  </property>
  <property fmtid="{D5CDD505-2E9C-101B-9397-08002B2CF9AE}" pid="5" name="CalculationRule">
    <vt:i4>0</vt:i4>
  </property>
</Properties>
</file>