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firstSheet="1" activeTab="1"/>
  </bookViews>
  <sheets>
    <sheet name="汇总表" sheetId="3" state="hidden" r:id="rId1"/>
    <sheet name="掘进机" sheetId="1" r:id="rId2"/>
    <sheet name="Sheet1" sheetId="5" state="hidden" r:id="rId3"/>
    <sheet name="Sheet2" sheetId="6" state="hidden" r:id="rId4"/>
    <sheet name="特种装备" sheetId="2" r:id="rId5"/>
  </sheets>
  <definedNames>
    <definedName name="_xlnm._FilterDatabase" localSheetId="4" hidden="1">特种装备!$A$4:$M$13</definedName>
    <definedName name="_xlnm._FilterDatabase" localSheetId="1" hidden="1">掘进机!$A$2:$M$4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<sst xmlns="http://schemas.openxmlformats.org/spreadsheetml/2006/main" count="182" uniqueCount="85">
  <si>
    <t>竞争对手</t>
  </si>
  <si>
    <t>承揽设备数量</t>
  </si>
  <si>
    <t>备注</t>
  </si>
  <si>
    <t>铁建重工</t>
  </si>
  <si>
    <t>中铁装备/中铁技服</t>
  </si>
  <si>
    <t>中交天和</t>
  </si>
  <si>
    <t>上海隧道</t>
  </si>
  <si>
    <t>宏润建设</t>
  </si>
  <si>
    <t>浙江物产</t>
  </si>
  <si>
    <t>上海申通</t>
  </si>
  <si>
    <t>唐兴装备</t>
  </si>
  <si>
    <t>海瑞克</t>
  </si>
  <si>
    <t>合计</t>
  </si>
  <si>
    <t>序号</t>
  </si>
  <si>
    <t>项目名称</t>
  </si>
  <si>
    <t>项目所在地</t>
  </si>
  <si>
    <t>所属行业</t>
  </si>
  <si>
    <t>所属事业部</t>
  </si>
  <si>
    <t>设备名称</t>
  </si>
  <si>
    <t>型号规格</t>
  </si>
  <si>
    <t>业务模式
（销售/租赁）</t>
  </si>
  <si>
    <t>台/套数</t>
  </si>
  <si>
    <t>承揽单位</t>
  </si>
  <si>
    <t>承揽确定时间
（中标、竞谈或合同签订）</t>
  </si>
  <si>
    <r>
      <t>承揽合同额（</t>
    </r>
    <r>
      <rPr>
        <b/>
        <sz val="11"/>
        <color rgb="FFFF0000"/>
        <rFont val="宋体"/>
        <charset val="134"/>
      </rPr>
      <t>万元</t>
    </r>
    <r>
      <rPr>
        <b/>
        <sz val="11"/>
        <color theme="1"/>
        <rFont val="宋体"/>
        <charset val="134"/>
      </rPr>
      <t>）</t>
    </r>
  </si>
  <si>
    <t>上海基础合流污水一期复线工程（总管部分）FXZ1.6标</t>
  </si>
  <si>
    <t>上海</t>
  </si>
  <si>
    <t>轨道交通</t>
  </si>
  <si>
    <t>掘进机事业部</t>
  </si>
  <si>
    <t>土压平衡盾构机</t>
  </si>
  <si>
    <t>ZTE6150</t>
  </si>
  <si>
    <t>销售</t>
  </si>
  <si>
    <t>中铁装备</t>
  </si>
  <si>
    <t>上海市机械施工集团上海市轨道交通19号线2台ZTE6760采购合同</t>
  </si>
  <si>
    <t>ZTE6760</t>
  </si>
  <si>
    <t>十六局集团杭州轨道15号线DZ151&amp;DZ153维修改造合同</t>
  </si>
  <si>
    <t>杭州</t>
  </si>
  <si>
    <t>ZTE6410</t>
  </si>
  <si>
    <t>维修改造</t>
  </si>
  <si>
    <t>上海轨道交通部分线路盾构设备检测及推进施工监控项目投标文件</t>
  </si>
  <si>
    <t>盾构机有偿服务</t>
  </si>
  <si>
    <t>\</t>
  </si>
  <si>
    <t>上海地铁盾构设备工程有限公司</t>
  </si>
  <si>
    <t>总额</t>
  </si>
  <si>
    <t>其他</t>
  </si>
  <si>
    <t>2025年</t>
  </si>
  <si>
    <t>2024年</t>
  </si>
  <si>
    <t>年份</t>
  </si>
  <si>
    <t>其他单位</t>
  </si>
  <si>
    <t>总计</t>
  </si>
  <si>
    <t>金额</t>
  </si>
  <si>
    <t>占比</t>
  </si>
  <si>
    <t>数量</t>
  </si>
  <si>
    <t>2026年竞争对手经营承揽情况统计表</t>
  </si>
  <si>
    <r>
      <rPr>
        <b/>
        <sz val="11"/>
        <color theme="1"/>
        <rFont val="宋体"/>
        <charset val="134"/>
      </rPr>
      <t>承揽合同额
（</t>
    </r>
    <r>
      <rPr>
        <b/>
        <sz val="11"/>
        <color rgb="FFFF0000"/>
        <rFont val="宋体"/>
        <charset val="134"/>
      </rPr>
      <t>万元</t>
    </r>
    <r>
      <rPr>
        <b/>
        <sz val="11"/>
        <color theme="1"/>
        <rFont val="宋体"/>
        <charset val="134"/>
      </rPr>
      <t>）</t>
    </r>
  </si>
  <si>
    <t>十一局四公司温福铁路搅拌站采购合同</t>
  </si>
  <si>
    <t>温州</t>
  </si>
  <si>
    <t>铁路</t>
  </si>
  <si>
    <t>特种装备事业部</t>
  </si>
  <si>
    <t>搅拌站</t>
  </si>
  <si>
    <t>HZS240</t>
  </si>
  <si>
    <t>十一局一公司温福铁路凿岩、锚杆台车等采购合同</t>
  </si>
  <si>
    <t>福建</t>
  </si>
  <si>
    <t>特装设备</t>
  </si>
  <si>
    <t>中铁二十四局福建公司温福铁路1批特种装备采购合同</t>
  </si>
  <si>
    <t>十一局一公司温福铁路搅拌站采购合同</t>
  </si>
  <si>
    <t>HZS180K/240K</t>
  </si>
  <si>
    <t>二十局集团长赣铁路湿喷台车设备采购合同</t>
  </si>
  <si>
    <t>萍乡</t>
  </si>
  <si>
    <t>湿喷台车</t>
  </si>
  <si>
    <t>HPS4517AG</t>
  </si>
  <si>
    <t>温福高铁</t>
  </si>
  <si>
    <t>宁德</t>
  </si>
  <si>
    <t>三臂凿岩台车</t>
  </si>
  <si>
    <t>江西鑫通</t>
  </si>
  <si>
    <t>福建马坑铁矿</t>
  </si>
  <si>
    <t>龙岩</t>
  </si>
  <si>
    <t>矿山</t>
  </si>
  <si>
    <t>液压掘进台车</t>
  </si>
  <si>
    <t>CYTJ45</t>
  </si>
  <si>
    <t>华泰重工</t>
  </si>
  <si>
    <t>中铁2局温福高铁项目2标</t>
  </si>
  <si>
    <t>三臂凿岩台车、锚杆台车、湿喷机等等</t>
  </si>
  <si>
    <t>中铁3局温福高铁项目5标</t>
  </si>
  <si>
    <t>福州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</si>
</sst>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0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.5"/>
      <color rgb="FF333333"/>
      <name val="宋体"/>
      <charset val="134"/>
    </font>
    <font>
      <sz val="10.5"/>
      <color rgb="FF333333"/>
      <name val="Arial"/>
      <charset val="134"/>
    </font>
    <font>
      <b/>
      <sz val="11"/>
      <color theme="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85" zoomScaleNormal="85" workbookViewId="0">
      <selection activeCell="B2" sqref="B2:C11"/>
    </sheetView>
  </sheetViews>
  <sheetFormatPr defaultColWidth="8.725" defaultRowHeight="13.5" outlineLevelCol="2"/>
  <cols>
    <col min="1" max="1" width="33.1416666666667" style="2" customWidth="1"/>
    <col min="2" max="2" width="14.6583333333333" style="2" customWidth="1"/>
    <col min="3" max="3" width="25.3666666666667" style="2" customWidth="1"/>
  </cols>
  <sheetData>
    <row r="1" ht="32" customHeight="1" spans="1:3">
      <c r="A1" s="14" t="s">
        <v>0</v>
      </c>
      <c r="B1" s="14" t="s">
        <v>1</v>
      </c>
      <c r="C1" s="14" t="s">
        <v>2</v>
      </c>
    </row>
    <row r="2" ht="48" customHeight="1" spans="1:3">
      <c r="A2" s="14" t="s">
        <v>3</v>
      </c>
      <c r="B2" s="14"/>
      <c r="C2" s="14"/>
    </row>
    <row r="3" ht="48" customHeight="1" spans="1:3">
      <c r="A3" s="14" t="s">
        <v>4</v>
      </c>
      <c r="B3" s="14"/>
      <c r="C3" s="14"/>
    </row>
    <row r="4" ht="48" customHeight="1" spans="1:3">
      <c r="A4" s="14" t="s">
        <v>5</v>
      </c>
      <c r="B4" s="14"/>
      <c r="C4" s="14"/>
    </row>
    <row r="5" ht="48" customHeight="1" spans="1:3">
      <c r="A5" s="14" t="s">
        <v>6</v>
      </c>
      <c r="B5" s="14"/>
      <c r="C5" s="14"/>
    </row>
    <row r="6" ht="48" customHeight="1" spans="1:3">
      <c r="A6" s="14" t="s">
        <v>7</v>
      </c>
      <c r="B6" s="14"/>
      <c r="C6" s="14"/>
    </row>
    <row r="7" ht="48" customHeight="1" spans="1:3">
      <c r="A7" s="14" t="s">
        <v>8</v>
      </c>
      <c r="B7" s="14"/>
      <c r="C7" s="15"/>
    </row>
    <row r="8" ht="48" customHeight="1" spans="1:3">
      <c r="A8" s="14" t="s">
        <v>9</v>
      </c>
      <c r="B8" s="14"/>
      <c r="C8" s="14"/>
    </row>
    <row r="9" ht="48" customHeight="1" spans="1:3">
      <c r="A9" s="14" t="s">
        <v>10</v>
      </c>
      <c r="B9" s="14"/>
      <c r="C9" s="14"/>
    </row>
    <row r="10" ht="48" customHeight="1" spans="1:3">
      <c r="A10" s="14" t="s">
        <v>11</v>
      </c>
      <c r="B10" s="14"/>
      <c r="C10" s="14"/>
    </row>
    <row r="11" ht="48" customHeight="1" spans="1:3">
      <c r="A11" s="14" t="s">
        <v>12</v>
      </c>
      <c r="B11" s="14"/>
      <c r="C11" s="14"/>
    </row>
    <row r="12" ht="29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zoomScale="85" zoomScaleNormal="85" workbookViewId="0">
      <selection activeCell="K26" sqref="K26"/>
    </sheetView>
  </sheetViews>
  <sheetFormatPr defaultColWidth="9" defaultRowHeight="13.5" outlineLevelRow="4"/>
  <cols>
    <col min="1" max="1" width="11.0416666666667" style="2" customWidth="1"/>
    <col min="2" max="2" width="26.7583333333333" style="2" customWidth="1"/>
    <col min="3" max="3" width="19.875" style="2" customWidth="1"/>
    <col min="4" max="4" width="12.625" style="2" customWidth="1"/>
    <col min="5" max="5" width="14.5" style="2" customWidth="1"/>
    <col min="6" max="6" width="17.2583333333333" style="2" customWidth="1"/>
    <col min="7" max="7" width="16.875" style="2" customWidth="1"/>
    <col min="8" max="8" width="19.2583333333333" style="2" customWidth="1"/>
    <col min="9" max="9" width="9.125" style="2" customWidth="1"/>
    <col min="10" max="10" width="21.625" style="2" customWidth="1"/>
    <col min="11" max="11" width="26.7583333333333" style="2" customWidth="1"/>
    <col min="12" max="12" width="26.1666666666667" style="2" customWidth="1"/>
    <col min="13" max="13" width="18.875" style="2" customWidth="1"/>
  </cols>
  <sheetData>
    <row r="1" ht="45" customHeight="1" spans="1:13">
      <c r="A1" s="4" t="s">
        <v>13</v>
      </c>
      <c r="B1" s="4" t="s">
        <v>14</v>
      </c>
      <c r="C1" s="5" t="s">
        <v>15</v>
      </c>
      <c r="D1" s="5" t="s">
        <v>16</v>
      </c>
      <c r="E1" s="5" t="s">
        <v>17</v>
      </c>
      <c r="F1" s="4" t="s">
        <v>18</v>
      </c>
      <c r="G1" s="4" t="s">
        <v>19</v>
      </c>
      <c r="H1" s="5" t="s">
        <v>20</v>
      </c>
      <c r="I1" s="4" t="s">
        <v>21</v>
      </c>
      <c r="J1" s="4" t="s">
        <v>22</v>
      </c>
      <c r="K1" s="5" t="s">
        <v>23</v>
      </c>
      <c r="L1" s="22" t="s">
        <v>24</v>
      </c>
      <c r="M1" s="4" t="s">
        <v>2</v>
      </c>
    </row>
    <row r="2" s="1" customFormat="1" ht="74" customHeight="1" spans="1:13">
      <c r="A2" s="23">
        <v>1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>
        <v>1</v>
      </c>
      <c r="J2" s="7" t="s">
        <v>32</v>
      </c>
      <c r="K2" s="11">
        <v>46023</v>
      </c>
      <c r="L2" s="24">
        <v>2920</v>
      </c>
      <c r="M2" s="25"/>
    </row>
    <row r="3" s="1" customFormat="1" ht="74" customHeight="1" spans="1:13">
      <c r="A3" s="23">
        <v>2</v>
      </c>
      <c r="B3" s="7" t="s">
        <v>33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34</v>
      </c>
      <c r="H3" s="7" t="s">
        <v>31</v>
      </c>
      <c r="I3" s="7">
        <v>2</v>
      </c>
      <c r="J3" s="7" t="s">
        <v>3</v>
      </c>
      <c r="K3" s="11">
        <v>46023</v>
      </c>
      <c r="L3" s="24">
        <v>6160</v>
      </c>
      <c r="M3" s="25"/>
    </row>
    <row r="4" s="1" customFormat="1" ht="74" customHeight="1" spans="1:13">
      <c r="A4" s="23">
        <v>3</v>
      </c>
      <c r="B4" s="7" t="s">
        <v>35</v>
      </c>
      <c r="C4" s="7" t="s">
        <v>36</v>
      </c>
      <c r="D4" s="7" t="s">
        <v>27</v>
      </c>
      <c r="E4" s="7" t="s">
        <v>28</v>
      </c>
      <c r="F4" s="7" t="s">
        <v>29</v>
      </c>
      <c r="G4" s="7" t="s">
        <v>37</v>
      </c>
      <c r="H4" s="7" t="s">
        <v>38</v>
      </c>
      <c r="I4" s="7">
        <v>2</v>
      </c>
      <c r="J4" s="7" t="s">
        <v>3</v>
      </c>
      <c r="K4" s="11">
        <v>46023</v>
      </c>
      <c r="L4" s="24">
        <v>300</v>
      </c>
      <c r="M4" s="25"/>
    </row>
    <row r="5" s="1" customFormat="1" ht="74" customHeight="1" spans="1:13">
      <c r="A5" s="23">
        <v>4</v>
      </c>
      <c r="B5" s="7" t="s">
        <v>39</v>
      </c>
      <c r="C5" s="7" t="s">
        <v>26</v>
      </c>
      <c r="D5" s="7" t="s">
        <v>27</v>
      </c>
      <c r="E5" s="7" t="s">
        <v>28</v>
      </c>
      <c r="F5" s="7" t="s">
        <v>40</v>
      </c>
      <c r="G5" s="7" t="s">
        <v>41</v>
      </c>
      <c r="H5" s="7" t="s">
        <v>41</v>
      </c>
      <c r="I5" s="7">
        <v>1</v>
      </c>
      <c r="J5" s="7" t="s">
        <v>42</v>
      </c>
      <c r="K5" s="11">
        <v>46054</v>
      </c>
      <c r="L5" s="24">
        <v>3098</v>
      </c>
      <c r="M5" s="25"/>
    </row>
  </sheetData>
  <dataValidations count="2">
    <dataValidation allowBlank="1" showInputMessage="1" showErrorMessage="1" sqref="E1"/>
    <dataValidation type="list" allowBlank="1" showInputMessage="1" showErrorMessage="1" sqref="E2:E1048576">
      <formula1>"掘进机事业部,特种装备事业部,矿山装备事业部"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Q17"/>
  <sheetViews>
    <sheetView topLeftCell="A7" workbookViewId="0">
      <selection activeCell="C21" sqref="C21"/>
    </sheetView>
  </sheetViews>
  <sheetFormatPr defaultColWidth="8.725" defaultRowHeight="13.5"/>
  <cols>
    <col min="7" max="7" width="8.90833333333333" customWidth="1"/>
    <col min="8" max="8" width="9.45833333333333" customWidth="1"/>
    <col min="16" max="17" width="12.8166666666667"/>
  </cols>
  <sheetData>
    <row r="8" spans="4:17">
      <c r="G8" s="14">
        <v>2024</v>
      </c>
      <c r="H8" s="14"/>
      <c r="I8" s="14">
        <v>2025</v>
      </c>
      <c r="J8" s="14"/>
      <c r="K8" t="s">
        <v>43</v>
      </c>
    </row>
    <row r="9" ht="29" customHeight="1" spans="4:17">
      <c r="F9" s="19" t="s">
        <v>3</v>
      </c>
      <c r="G9" s="14">
        <v>32</v>
      </c>
      <c r="H9" s="14">
        <v>84744</v>
      </c>
      <c r="I9" s="14">
        <v>23</v>
      </c>
      <c r="J9" s="14">
        <v>47561</v>
      </c>
    </row>
    <row r="10" ht="29" customHeight="1" spans="4:17">
      <c r="F10" s="14" t="s">
        <v>32</v>
      </c>
      <c r="G10" s="20">
        <v>29</v>
      </c>
      <c r="H10" s="20">
        <v>67562</v>
      </c>
      <c r="I10" s="2">
        <v>31</v>
      </c>
      <c r="J10" s="2">
        <v>89211</v>
      </c>
    </row>
    <row r="12" spans="4:17">
      <c r="G12">
        <v>19</v>
      </c>
      <c r="H12">
        <v>30959</v>
      </c>
      <c r="I12">
        <v>11</v>
      </c>
    </row>
    <row r="14" ht="24" customHeight="1"/>
    <row r="15" ht="34" customHeight="1" spans="4:17">
      <c r="D15" s="14"/>
      <c r="E15" s="14" t="s">
        <v>3</v>
      </c>
      <c r="F15" s="14" t="s">
        <v>32</v>
      </c>
      <c r="G15" s="14" t="s">
        <v>44</v>
      </c>
      <c r="H15" s="14" t="s">
        <v>43</v>
      </c>
      <c r="I15" s="21"/>
      <c r="J15" s="14"/>
      <c r="K15" s="14" t="s">
        <v>3</v>
      </c>
      <c r="L15" s="14" t="s">
        <v>32</v>
      </c>
      <c r="M15" s="14" t="s">
        <v>44</v>
      </c>
      <c r="N15" s="14" t="s">
        <v>43</v>
      </c>
    </row>
    <row r="16" ht="34" customHeight="1" spans="4:17">
      <c r="D16" s="14" t="s">
        <v>45</v>
      </c>
      <c r="E16" s="14">
        <v>47561</v>
      </c>
      <c r="F16" s="14">
        <v>45318</v>
      </c>
      <c r="G16" s="14">
        <f>H16-F16-E16</f>
        <v>63492</v>
      </c>
      <c r="H16" s="14">
        <v>156371</v>
      </c>
      <c r="I16" s="21"/>
      <c r="J16" s="14" t="s">
        <v>45</v>
      </c>
      <c r="K16" s="14">
        <v>23</v>
      </c>
      <c r="L16" s="14">
        <v>11</v>
      </c>
      <c r="M16" s="14">
        <f>N16-K16-L16</f>
        <v>20</v>
      </c>
      <c r="N16" s="14">
        <v>54</v>
      </c>
      <c r="P16">
        <f>K16/N16</f>
        <v>0.425925925925926</v>
      </c>
      <c r="Q16">
        <f>L16/N16</f>
        <v>0.203703703703704</v>
      </c>
    </row>
    <row r="17" ht="34" customHeight="1" spans="4:17">
      <c r="D17" s="14" t="s">
        <v>46</v>
      </c>
      <c r="E17" s="14">
        <v>81124</v>
      </c>
      <c r="F17" s="14">
        <v>30959</v>
      </c>
      <c r="G17" s="14">
        <f>H17-E17-F17</f>
        <v>36972</v>
      </c>
      <c r="H17" s="14">
        <v>149055</v>
      </c>
      <c r="I17" s="21"/>
      <c r="J17" s="14" t="s">
        <v>46</v>
      </c>
      <c r="K17" s="14">
        <v>32</v>
      </c>
      <c r="L17" s="14">
        <v>19</v>
      </c>
      <c r="M17" s="14">
        <f>N17-L17-K17</f>
        <v>12</v>
      </c>
      <c r="N17" s="14">
        <v>63</v>
      </c>
      <c r="P17">
        <f>K17/N17</f>
        <v>0.507936507936508</v>
      </c>
      <c r="Q17">
        <f>L17/N17</f>
        <v>0.301587301587302</v>
      </c>
    </row>
  </sheetData>
  <mergeCells count="2">
    <mergeCell ref="G8:H8"/>
    <mergeCell ref="I8:J8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zoomScale="85" zoomScaleNormal="85" workbookViewId="0">
      <selection activeCell="O9" sqref="O9"/>
    </sheetView>
  </sheetViews>
  <sheetFormatPr defaultColWidth="8.725" defaultRowHeight="13.5"/>
  <cols>
    <col min="2" max="8" width="9.725" customWidth="1"/>
    <col min="12" max="15" width="9.40833333333333" customWidth="1"/>
    <col min="17" max="17" width="11.725"/>
  </cols>
  <sheetData>
    <row r="1" ht="60" customHeight="1" spans="1:18">
      <c r="A1" s="14" t="s">
        <v>47</v>
      </c>
      <c r="B1" s="14" t="s">
        <v>3</v>
      </c>
      <c r="C1" s="14"/>
      <c r="D1" s="14" t="s">
        <v>32</v>
      </c>
      <c r="E1" s="14"/>
      <c r="F1" s="14" t="s">
        <v>48</v>
      </c>
      <c r="G1" s="14"/>
      <c r="H1" s="14" t="s">
        <v>49</v>
      </c>
      <c r="I1" s="16"/>
      <c r="J1" s="17"/>
      <c r="K1" s="14" t="s">
        <v>47</v>
      </c>
      <c r="L1" s="14" t="s">
        <v>3</v>
      </c>
      <c r="M1" s="14"/>
      <c r="N1" s="14" t="s">
        <v>32</v>
      </c>
      <c r="O1" s="14"/>
      <c r="P1" s="14" t="s">
        <v>48</v>
      </c>
      <c r="Q1" s="14"/>
      <c r="R1" s="14" t="s">
        <v>49</v>
      </c>
    </row>
    <row r="2" ht="60" customHeight="1" spans="1:18">
      <c r="A2" s="14"/>
      <c r="B2" s="14" t="s">
        <v>50</v>
      </c>
      <c r="C2" s="14" t="s">
        <v>51</v>
      </c>
      <c r="D2" s="14" t="s">
        <v>50</v>
      </c>
      <c r="E2" s="14" t="s">
        <v>51</v>
      </c>
      <c r="F2" s="14" t="s">
        <v>50</v>
      </c>
      <c r="G2" s="14" t="s">
        <v>51</v>
      </c>
      <c r="H2" s="14"/>
      <c r="I2" s="16"/>
      <c r="J2" s="17"/>
      <c r="K2" s="14"/>
      <c r="L2" s="14" t="s">
        <v>52</v>
      </c>
      <c r="M2" s="14" t="s">
        <v>51</v>
      </c>
      <c r="N2" s="14" t="s">
        <v>52</v>
      </c>
      <c r="O2" s="14" t="s">
        <v>51</v>
      </c>
      <c r="P2" s="14" t="s">
        <v>52</v>
      </c>
      <c r="Q2" s="14" t="s">
        <v>51</v>
      </c>
      <c r="R2" s="14"/>
    </row>
    <row r="3" ht="60" customHeight="1" spans="1:18">
      <c r="A3" s="14" t="s">
        <v>45</v>
      </c>
      <c r="B3" s="14">
        <v>47561</v>
      </c>
      <c r="C3" s="18">
        <f>B3/H3</f>
        <v>0.3041548624745</v>
      </c>
      <c r="D3" s="14">
        <v>45318</v>
      </c>
      <c r="E3" s="18">
        <f>D3/H3</f>
        <v>0.289810770539294</v>
      </c>
      <c r="F3" s="14">
        <f>H3-D3-B3</f>
        <v>63492</v>
      </c>
      <c r="G3" s="18">
        <f>F3/H3</f>
        <v>0.406034366986206</v>
      </c>
      <c r="H3" s="14">
        <v>156371</v>
      </c>
      <c r="I3" s="16"/>
      <c r="J3" s="17"/>
      <c r="K3" s="14" t="s">
        <v>45</v>
      </c>
      <c r="L3" s="14">
        <v>23</v>
      </c>
      <c r="M3" s="18">
        <f>L3/R3</f>
        <v>0.425925925925926</v>
      </c>
      <c r="N3" s="14">
        <v>11</v>
      </c>
      <c r="O3" s="18">
        <f>N3/R3</f>
        <v>0.203703703703704</v>
      </c>
      <c r="P3" s="14">
        <f>R3-L3-N3</f>
        <v>20</v>
      </c>
      <c r="Q3" s="18">
        <f>P3/R3</f>
        <v>0.37037037037037</v>
      </c>
      <c r="R3" s="14">
        <v>54</v>
      </c>
    </row>
    <row r="4" ht="60" customHeight="1" spans="1:18">
      <c r="A4" s="14" t="s">
        <v>46</v>
      </c>
      <c r="B4" s="14">
        <v>81124</v>
      </c>
      <c r="C4" s="18">
        <f>B4/H4</f>
        <v>0.544255476166516</v>
      </c>
      <c r="D4" s="14">
        <v>30959</v>
      </c>
      <c r="E4" s="18">
        <f>D4/H4</f>
        <v>0.207701855019959</v>
      </c>
      <c r="F4" s="14">
        <f>H4-B4-D4</f>
        <v>36972</v>
      </c>
      <c r="G4" s="18">
        <f>F4/H4</f>
        <v>0.248042668813525</v>
      </c>
      <c r="H4" s="14">
        <v>149055</v>
      </c>
      <c r="I4" s="16"/>
      <c r="J4" s="17"/>
      <c r="K4" s="14" t="s">
        <v>46</v>
      </c>
      <c r="L4" s="14">
        <v>32</v>
      </c>
      <c r="M4" s="18">
        <f>L4/R4</f>
        <v>0.507936507936508</v>
      </c>
      <c r="N4" s="14">
        <v>19</v>
      </c>
      <c r="O4" s="18">
        <f>N4/R4</f>
        <v>0.301587301587302</v>
      </c>
      <c r="P4" s="14">
        <f>R4-N4-L4</f>
        <v>12</v>
      </c>
      <c r="Q4" s="18">
        <f>P4/R4</f>
        <v>0.19047619047619</v>
      </c>
      <c r="R4" s="14">
        <v>63</v>
      </c>
    </row>
    <row r="7" spans="1:18">
      <c r="G7">
        <f>C3-E3</f>
        <v>0.0143440919352054</v>
      </c>
    </row>
    <row r="9" spans="1:18">
      <c r="O9">
        <f>M3-O3</f>
        <v>0.222222222222222</v>
      </c>
    </row>
  </sheetData>
  <mergeCells count="10">
    <mergeCell ref="B1:C1"/>
    <mergeCell ref="D1:E1"/>
    <mergeCell ref="F1:G1"/>
    <mergeCell ref="L1:M1"/>
    <mergeCell ref="N1:O1"/>
    <mergeCell ref="P1:Q1"/>
    <mergeCell ref="A1:A2"/>
    <mergeCell ref="H1:H2"/>
    <mergeCell ref="K1:K2"/>
    <mergeCell ref="R1:R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zoomScale="70" zoomScaleNormal="70" topLeftCell="A4" workbookViewId="0">
      <selection activeCell="K13" sqref="K13"/>
    </sheetView>
  </sheetViews>
  <sheetFormatPr defaultColWidth="9" defaultRowHeight="13.5"/>
  <cols>
    <col min="1" max="1" width="10" style="2" customWidth="1"/>
    <col min="2" max="2" width="26.7583333333333" style="2" customWidth="1"/>
    <col min="3" max="3" width="19.875" style="2" customWidth="1"/>
    <col min="4" max="4" width="12.625" style="2" customWidth="1"/>
    <col min="5" max="5" width="14.5" style="2" customWidth="1"/>
    <col min="6" max="6" width="17.2583333333333" style="2" customWidth="1"/>
    <col min="7" max="7" width="16.875" style="2" customWidth="1"/>
    <col min="8" max="8" width="19.2583333333333" style="2" customWidth="1"/>
    <col min="9" max="9" width="9.125" style="2" customWidth="1"/>
    <col min="10" max="10" width="21.625" style="2" customWidth="1"/>
    <col min="11" max="11" width="26.7583333333333" style="2" customWidth="1"/>
    <col min="12" max="12" width="15.5" style="2" customWidth="1"/>
    <col min="13" max="13" width="18.875" style="2" customWidth="1"/>
  </cols>
  <sheetData>
    <row r="1" ht="35" customHeight="1" spans="1:13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35" customHeight="1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30" customHeight="1" spans="1:13">
      <c r="A3" s="4" t="s">
        <v>13</v>
      </c>
      <c r="B3" s="4" t="s">
        <v>14</v>
      </c>
      <c r="C3" s="5" t="s">
        <v>15</v>
      </c>
      <c r="D3" s="5" t="s">
        <v>16</v>
      </c>
      <c r="E3" s="5" t="s">
        <v>17</v>
      </c>
      <c r="F3" s="4" t="s">
        <v>18</v>
      </c>
      <c r="G3" s="4" t="s">
        <v>19</v>
      </c>
      <c r="H3" s="5" t="s">
        <v>20</v>
      </c>
      <c r="I3" s="4" t="s">
        <v>21</v>
      </c>
      <c r="J3" s="4" t="s">
        <v>22</v>
      </c>
      <c r="K3" s="5" t="s">
        <v>23</v>
      </c>
      <c r="L3" s="5" t="s">
        <v>54</v>
      </c>
      <c r="M3" s="6" t="s">
        <v>2</v>
      </c>
    </row>
    <row r="4" ht="29.1" customHeight="1" spans="1:13">
      <c r="A4" s="4"/>
      <c r="B4" s="4"/>
      <c r="C4" s="4"/>
      <c r="D4" s="5"/>
      <c r="E4" s="5"/>
      <c r="F4" s="4"/>
      <c r="G4" s="4"/>
      <c r="H4" s="4"/>
      <c r="I4" s="4"/>
      <c r="J4" s="4"/>
      <c r="K4" s="5"/>
      <c r="L4" s="5"/>
      <c r="M4" s="6"/>
    </row>
    <row r="5" s="1" customFormat="1" ht="67" customHeight="1" spans="1:13">
      <c r="A5" s="7">
        <v>1</v>
      </c>
      <c r="B5" s="8" t="s">
        <v>55</v>
      </c>
      <c r="C5" s="9" t="s">
        <v>56</v>
      </c>
      <c r="D5" s="7" t="s">
        <v>57</v>
      </c>
      <c r="E5" s="7" t="s">
        <v>58</v>
      </c>
      <c r="F5" s="10" t="s">
        <v>59</v>
      </c>
      <c r="G5" s="10" t="s">
        <v>60</v>
      </c>
      <c r="H5" s="7" t="s">
        <v>31</v>
      </c>
      <c r="I5" s="10">
        <v>2</v>
      </c>
      <c r="J5" s="10" t="s">
        <v>3</v>
      </c>
      <c r="K5" s="11">
        <v>46023</v>
      </c>
      <c r="L5" s="7">
        <v>350</v>
      </c>
      <c r="M5" s="12"/>
    </row>
    <row r="6" s="1" customFormat="1" ht="67" customHeight="1" spans="1:13">
      <c r="A6" s="7">
        <v>2</v>
      </c>
      <c r="B6" s="8" t="s">
        <v>61</v>
      </c>
      <c r="C6" s="9" t="s">
        <v>62</v>
      </c>
      <c r="D6" s="7" t="s">
        <v>57</v>
      </c>
      <c r="E6" s="7" t="s">
        <v>58</v>
      </c>
      <c r="F6" s="7" t="s">
        <v>63</v>
      </c>
      <c r="G6" s="10" t="s">
        <v>41</v>
      </c>
      <c r="H6" s="7" t="s">
        <v>31</v>
      </c>
      <c r="I6" s="10">
        <v>9</v>
      </c>
      <c r="J6" s="10" t="s">
        <v>3</v>
      </c>
      <c r="K6" s="11">
        <v>46023</v>
      </c>
      <c r="L6" s="7">
        <v>3056</v>
      </c>
      <c r="M6" s="12"/>
    </row>
    <row r="7" s="1" customFormat="1" ht="67" customHeight="1" spans="1:13">
      <c r="A7" s="7">
        <v>3</v>
      </c>
      <c r="B7" s="8" t="s">
        <v>64</v>
      </c>
      <c r="C7" s="13" t="s">
        <v>62</v>
      </c>
      <c r="D7" s="7" t="s">
        <v>57</v>
      </c>
      <c r="E7" s="7" t="s">
        <v>58</v>
      </c>
      <c r="F7" s="7" t="s">
        <v>63</v>
      </c>
      <c r="G7" s="10" t="s">
        <v>41</v>
      </c>
      <c r="H7" s="7" t="s">
        <v>31</v>
      </c>
      <c r="I7" s="10">
        <v>9</v>
      </c>
      <c r="J7" s="10" t="s">
        <v>3</v>
      </c>
      <c r="K7" s="11">
        <v>46023</v>
      </c>
      <c r="L7" s="7">
        <v>4426</v>
      </c>
      <c r="M7" s="12"/>
    </row>
    <row r="8" s="1" customFormat="1" ht="67" customHeight="1" spans="1:13">
      <c r="A8" s="7">
        <v>4</v>
      </c>
      <c r="B8" s="8" t="s">
        <v>65</v>
      </c>
      <c r="C8" s="13" t="s">
        <v>62</v>
      </c>
      <c r="D8" s="7" t="s">
        <v>57</v>
      </c>
      <c r="E8" s="7" t="s">
        <v>58</v>
      </c>
      <c r="F8" s="10" t="s">
        <v>59</v>
      </c>
      <c r="G8" s="10" t="s">
        <v>66</v>
      </c>
      <c r="H8" s="7" t="s">
        <v>31</v>
      </c>
      <c r="I8" s="10">
        <v>4</v>
      </c>
      <c r="J8" s="10" t="s">
        <v>3</v>
      </c>
      <c r="K8" s="11">
        <v>46023</v>
      </c>
      <c r="L8" s="7">
        <v>625.5</v>
      </c>
      <c r="M8" s="12"/>
    </row>
    <row r="9" s="1" customFormat="1" ht="67" customHeight="1" spans="1:13">
      <c r="A9" s="7">
        <v>5</v>
      </c>
      <c r="B9" s="8" t="s">
        <v>67</v>
      </c>
      <c r="C9" s="9" t="s">
        <v>68</v>
      </c>
      <c r="D9" s="7" t="s">
        <v>57</v>
      </c>
      <c r="E9" s="7" t="s">
        <v>58</v>
      </c>
      <c r="F9" s="10" t="s">
        <v>69</v>
      </c>
      <c r="G9" s="10" t="s">
        <v>70</v>
      </c>
      <c r="H9" s="7" t="s">
        <v>31</v>
      </c>
      <c r="I9" s="10">
        <v>1</v>
      </c>
      <c r="J9" s="10" t="s">
        <v>3</v>
      </c>
      <c r="K9" s="11">
        <v>46023</v>
      </c>
      <c r="L9" s="7">
        <v>98</v>
      </c>
      <c r="M9" s="12"/>
    </row>
    <row r="10" s="1" customFormat="1" ht="67" customHeight="1" spans="1:13">
      <c r="A10" s="7">
        <v>6</v>
      </c>
      <c r="B10" s="8" t="s">
        <v>71</v>
      </c>
      <c r="C10" s="9" t="s">
        <v>72</v>
      </c>
      <c r="D10" s="7" t="s">
        <v>57</v>
      </c>
      <c r="E10" s="7" t="s">
        <v>58</v>
      </c>
      <c r="F10" s="10" t="s">
        <v>73</v>
      </c>
      <c r="G10" s="10"/>
      <c r="H10" s="7" t="s">
        <v>31</v>
      </c>
      <c r="I10" s="10">
        <v>3</v>
      </c>
      <c r="J10" s="10" t="s">
        <v>74</v>
      </c>
      <c r="K10" s="11">
        <v>46023</v>
      </c>
      <c r="L10" s="7">
        <v>1830</v>
      </c>
      <c r="M10" s="12"/>
    </row>
    <row r="11" s="1" customFormat="1" ht="67" customHeight="1" spans="1:13">
      <c r="A11" s="7">
        <v>7</v>
      </c>
      <c r="B11" s="8" t="s">
        <v>75</v>
      </c>
      <c r="C11" s="9" t="s">
        <v>76</v>
      </c>
      <c r="D11" s="7" t="s">
        <v>77</v>
      </c>
      <c r="E11" s="7" t="s">
        <v>58</v>
      </c>
      <c r="F11" s="10" t="s">
        <v>78</v>
      </c>
      <c r="G11" s="10" t="s">
        <v>79</v>
      </c>
      <c r="H11" s="7" t="s">
        <v>31</v>
      </c>
      <c r="I11" s="10">
        <v>3</v>
      </c>
      <c r="J11" s="10" t="s">
        <v>80</v>
      </c>
      <c r="K11" s="11">
        <v>46054</v>
      </c>
      <c r="L11" s="7">
        <v>375</v>
      </c>
      <c r="M11" s="14"/>
    </row>
    <row r="12" ht="67" customHeight="1" spans="1:13">
      <c r="A12" s="7">
        <v>8</v>
      </c>
      <c r="B12" s="14" t="s">
        <v>81</v>
      </c>
      <c r="C12" s="14" t="s">
        <v>72</v>
      </c>
      <c r="D12" s="7" t="s">
        <v>57</v>
      </c>
      <c r="E12" s="7" t="s">
        <v>58</v>
      </c>
      <c r="F12" s="15" t="s">
        <v>82</v>
      </c>
      <c r="G12" s="14"/>
      <c r="H12" s="14" t="s">
        <v>31</v>
      </c>
      <c r="I12" s="14">
        <v>8</v>
      </c>
      <c r="J12" s="14" t="s">
        <v>32</v>
      </c>
      <c r="K12" s="11">
        <v>46054</v>
      </c>
      <c r="L12" s="14">
        <v>9400</v>
      </c>
      <c r="M12" s="14"/>
    </row>
    <row r="13" ht="67" customHeight="1" spans="1:13">
      <c r="A13" s="7">
        <v>9</v>
      </c>
      <c r="B13" s="14" t="s">
        <v>83</v>
      </c>
      <c r="C13" s="14" t="s">
        <v>84</v>
      </c>
      <c r="D13" s="7" t="s">
        <v>57</v>
      </c>
      <c r="E13" s="7" t="s">
        <v>58</v>
      </c>
      <c r="F13" s="15" t="s">
        <v>82</v>
      </c>
      <c r="G13" s="14"/>
      <c r="H13" s="14" t="s">
        <v>31</v>
      </c>
      <c r="I13" s="14">
        <v>1</v>
      </c>
      <c r="J13" s="14" t="s">
        <v>32</v>
      </c>
      <c r="K13" s="11">
        <v>46054</v>
      </c>
      <c r="L13" s="14">
        <v>1200</v>
      </c>
      <c r="M13" s="14"/>
    </row>
  </sheetData>
  <mergeCells count="14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1:M2"/>
  </mergeCells>
  <dataValidations count="2">
    <dataValidation type="list" allowBlank="1" showInputMessage="1" showErrorMessage="1" sqref="E1:E2 E5:E1048576">
      <formula1>"掘进机事业部,特种装备事业部,矿山装备事业部"</formula1>
    </dataValidation>
    <dataValidation allowBlank="1" showInputMessage="1" showErrorMessage="1" sqref="E3:E4"/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铁建重工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汇总表</vt:lpstr>
      <vt:lpstr>掘进机</vt:lpstr>
      <vt:lpstr>Sheet1</vt:lpstr>
      <vt:lpstr>Sheet2</vt:lpstr>
      <vt:lpstr>特种装备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王兆君</dc:creator>
  <cp:lastModifiedBy>FAIRY</cp:lastModifiedBy>
  <dcterms:created xsi:type="dcterms:W3CDTF">2024-07-30T10:47:00Z</dcterms:created>
  <dcterms:modified xsi:type="dcterms:W3CDTF">2026-03-26T14:05:54Z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ED08312A39D64308ABC4B3A079201F38_13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