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000" tabRatio="737"/>
  </bookViews>
  <sheets>
    <sheet name="在手合同台账（主办）" sheetId="10" r:id="rId1"/>
    <sheet name="在手合同台账（协办)" sheetId="66" r:id="rId2"/>
    <sheet name="Sheet2" sheetId="68" r:id="rId3"/>
    <sheet name="Sheet1" sheetId="67" r:id="rId4"/>
    <sheet name="在手合同台账 (主办项目)" sheetId="61" state="hidden" r:id="rId5"/>
  </sheets>
  <definedNames>
    <definedName name="_xlnm._FilterDatabase" localSheetId="1" hidden="1">'在手合同台账（协办)'!$A$3:$AH$31</definedName>
    <definedName name="_xlnm._FilterDatabase" localSheetId="4" hidden="1">'在手合同台账 (主办项目)'!$A$4:$XDY$106</definedName>
    <definedName name="_xlnm._FilterDatabase" localSheetId="0" hidden="1">'在手合同台账（主办）'!$A$3:$AH$101</definedName>
    <definedName name="r_DWZDM_r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<sst xmlns="http://schemas.openxmlformats.org/spreadsheetml/2006/main" count="1963" uniqueCount="518">
  <si>
    <t>序号</t>
  </si>
  <si>
    <t>产品线</t>
  </si>
  <si>
    <t>项目名称</t>
  </si>
  <si>
    <t>局机关</t>
  </si>
  <si>
    <t>客户单位</t>
  </si>
  <si>
    <t>合同编号</t>
  </si>
  <si>
    <t>工号</t>
  </si>
  <si>
    <t>责任人</t>
  </si>
  <si>
    <t>经营小组</t>
  </si>
  <si>
    <t>合同合计总价</t>
  </si>
  <si>
    <t>执行比例</t>
  </si>
  <si>
    <t>营业收入</t>
  </si>
  <si>
    <t>2026年收入预测</t>
  </si>
  <si>
    <t>应回款金额</t>
  </si>
  <si>
    <t>实际已回款金额</t>
  </si>
  <si>
    <t>逾期欠款</t>
  </si>
  <si>
    <t>账面应收账款</t>
  </si>
  <si>
    <t>未到期金额</t>
  </si>
  <si>
    <t>剩余可回款金额</t>
  </si>
  <si>
    <t>校对列</t>
  </si>
  <si>
    <t>已确认收入合同金额
（含税）</t>
  </si>
  <si>
    <t>尚未确认收入</t>
  </si>
  <si>
    <t>2026年剩余可实现收入</t>
  </si>
  <si>
    <t>2026年剩余可实现收入
（主协办拆分后）</t>
  </si>
  <si>
    <t>存量</t>
  </si>
  <si>
    <t>新增</t>
  </si>
  <si>
    <t>合计</t>
  </si>
  <si>
    <t>考核备注</t>
  </si>
  <si>
    <t>逾期账龄</t>
  </si>
  <si>
    <t>尚未确认收入金额（含税）</t>
  </si>
  <si>
    <t>尚未确认收入金额（含税）(主协办拆分后）</t>
  </si>
  <si>
    <t>3个月内</t>
  </si>
  <si>
    <t>3-6个月</t>
  </si>
  <si>
    <t>6-12个月</t>
  </si>
  <si>
    <t>1-3年</t>
  </si>
  <si>
    <t>3年以上</t>
  </si>
  <si>
    <t>特种装备</t>
  </si>
  <si>
    <t>甬舟铁路凿岩台车、多功能钻机</t>
  </si>
  <si>
    <t>中铁十一局</t>
  </si>
  <si>
    <t>中铁十一局集团第四工程有限公司</t>
  </si>
  <si>
    <t>C2000010001100004011002025006</t>
  </si>
  <si>
    <t>万赛</t>
  </si>
  <si>
    <t>宁波经营小组</t>
  </si>
  <si>
    <t>温福铁路搅拌站采购</t>
  </si>
  <si>
    <t>C2000010001100004011002025019</t>
  </si>
  <si>
    <t>袁志凌</t>
  </si>
  <si>
    <t>杭州经营小组</t>
  </si>
  <si>
    <t>掘进机</t>
  </si>
  <si>
    <t>杭州城轨交通SG18-8标</t>
  </si>
  <si>
    <t>中铁十一局城轨公司</t>
  </si>
  <si>
    <t>CRCHI-GZ-2025-002</t>
  </si>
  <si>
    <t>唐作栋</t>
  </si>
  <si>
    <t>杭州市城市轨道交通18号线</t>
  </si>
  <si>
    <t>T11CG-HZ18HX13-2025-ZL-001</t>
  </si>
  <si>
    <t>T11CG-HZ18HX13-2025-ZL-002</t>
  </si>
  <si>
    <t>DZ852维修改造合同</t>
  </si>
  <si>
    <t>中铁十一局上海青浦分公司</t>
  </si>
  <si>
    <t>CRCHI-WXGZ-2024-004</t>
  </si>
  <si>
    <t>YBX24022</t>
  </si>
  <si>
    <t>赵宇瑄</t>
  </si>
  <si>
    <t>上海经营小组</t>
  </si>
  <si>
    <t>杭州轨道快线土建施工SGJC-4标</t>
  </si>
  <si>
    <t>中铁十二局</t>
  </si>
  <si>
    <t>中铁十二局集团第四工程有限公司</t>
  </si>
  <si>
    <t>CRCHI-TD-2020-017（作废合同编号：CRCHI-CJ-2019-008）</t>
  </si>
  <si>
    <t>DL748/DL747</t>
  </si>
  <si>
    <t>漳汕铁路</t>
  </si>
  <si>
    <t>中铁十二局集团第二工程有限公司</t>
  </si>
  <si>
    <t>CR122-SBB-2024-014-MM014</t>
  </si>
  <si>
    <t>杨志胜</t>
  </si>
  <si>
    <t>建筑经营小组</t>
  </si>
  <si>
    <t>漳汕铁路漳汕铁路项目1台MT141-FLB3采购</t>
  </si>
  <si>
    <t>CR122-SBB-2025-006-MM006</t>
  </si>
  <si>
    <t>温福铁路</t>
  </si>
  <si>
    <t>中铁十二局集团第三工程有限公司</t>
  </si>
  <si>
    <t>温福1标三分部设备购置205-001</t>
  </si>
  <si>
    <t>周斌</t>
  </si>
  <si>
    <t>铁道经营小组</t>
  </si>
  <si>
    <t>杭州地铁12号线DZ659、DZ660盾构机维修改造合同</t>
  </si>
  <si>
    <t>中铁十二局集团有限公司杭州地铁12号线一期工程土建施工SG12-2标段项目经理部</t>
  </si>
  <si>
    <t>ZT12-4HZDT12-02</t>
  </si>
  <si>
    <t>杭州地铁12号线DZ038、DZ039盾构机维修</t>
  </si>
  <si>
    <t>ZT12-4HZDT12-01</t>
  </si>
  <si>
    <t>DG1563/DG1564</t>
  </si>
  <si>
    <t>长赣高铁特装设备采购合同</t>
  </si>
  <si>
    <t>ZT12-CGJXZQ8-001、002、003、006、007、008</t>
  </si>
  <si>
    <t>ZT12-CGJXZQ8-004、005、009</t>
  </si>
  <si>
    <t>长赣高铁8标</t>
  </si>
  <si>
    <t>CG0803-DJ-001</t>
  </si>
  <si>
    <t>上海地铁崇明线</t>
  </si>
  <si>
    <t>中铁十二局集团第七工程有限公司</t>
  </si>
  <si>
    <t>CRCC1207-SHDTCM-2023-003（变更前CRCC1207-SHDTCM-2023-002）（CRCCFL-1-JY-2024-105-02）</t>
  </si>
  <si>
    <t>DL756X2/DL758X2</t>
  </si>
  <si>
    <t>中铁建大桥局2台ZYS113&amp;1台SCDZ133维修改造合同</t>
  </si>
  <si>
    <t>中铁建大桥局</t>
  </si>
  <si>
    <t>中铁建大桥工程局集团第四工程有限公司</t>
  </si>
  <si>
    <t>DQJHF04-SDDJCG-202501-维修-001</t>
  </si>
  <si>
    <t>长赣铁路项目钻锚注一体机采购</t>
  </si>
  <si>
    <t>中铁建大桥工程局集团第五工程有限公司</t>
  </si>
  <si>
    <t>CGJX10-2-JXSBCG-2026-07</t>
  </si>
  <si>
    <t>温福铁路2台ZYS113&amp;2台MT141</t>
  </si>
  <si>
    <t>DQJHF04-SDDJCG-202501（温福）</t>
  </si>
  <si>
    <t>中铁十四局二公司长赣铁路1批特种装备采购合同</t>
  </si>
  <si>
    <t>中铁十四局</t>
  </si>
  <si>
    <t>中铁十四局集团第二工程有限公司</t>
  </si>
  <si>
    <t>1402-SW-25021</t>
  </si>
  <si>
    <t>中铁十四局隧道公司长赣铁路1批特种装备采购合同</t>
  </si>
  <si>
    <t>中铁十四局集团隧道工程有限公司</t>
  </si>
  <si>
    <t>ZTSSJ-SDGS-SB-2025-1211</t>
  </si>
  <si>
    <t>长赣铁路隧道施工大机设备采购合同补充协议</t>
  </si>
  <si>
    <t>ZTSSJ-SDGS-SB-2025-1211-补1</t>
  </si>
  <si>
    <t>箱涵精调装置采购合同</t>
  </si>
  <si>
    <t>中铁十四局集团大盾构工程有限公司</t>
  </si>
  <si>
    <t>QTHT-D-SHJCX2-00077</t>
  </si>
  <si>
    <t>甬舟公路复线二期</t>
  </si>
  <si>
    <t>CRCC1417-DGJZZZ-DZ666-2026-01</t>
  </si>
  <si>
    <t>沈腾飞</t>
  </si>
  <si>
    <t>合流污水一期复线工程</t>
  </si>
  <si>
    <t>1412-SHHL-SBZL-2025-001</t>
  </si>
  <si>
    <t>西渝高铁</t>
  </si>
  <si>
    <t>中铁十五局</t>
  </si>
  <si>
    <t>中铁十五局集团第二工程有限公司</t>
  </si>
  <si>
    <t>CR15G2C-SBCG-2024-11</t>
  </si>
  <si>
    <t>义龙庆高速</t>
  </si>
  <si>
    <t>CR15G2C-SBCG-2024-16</t>
  </si>
  <si>
    <t>杭州机场高铁搅拌站采购</t>
  </si>
  <si>
    <t>中铁十五局城市轨道交通工程公司</t>
  </si>
  <si>
    <t>CR15-HZJCGT4-JD-202301-(1F)</t>
  </si>
  <si>
    <t>萧山机场铁路焊接式筒仓采购</t>
  </si>
  <si>
    <t>CR15-HZJCGT4-JD-202308-(1F)</t>
  </si>
  <si>
    <t>彭泽廊道项目散料运输设备购销合同</t>
  </si>
  <si>
    <t>CR15G2C-TL（房建、市政）彭泽廊道项目-SBCG-2025-001</t>
  </si>
  <si>
    <t>陈浩</t>
  </si>
  <si>
    <t>义龙庆高速公路2台湿喷台车设备维修改造</t>
  </si>
  <si>
    <t>GR15G2C-GL-YLQ2B-SBGZ-2024-001</t>
  </si>
  <si>
    <t>WX24015/WX24016</t>
  </si>
  <si>
    <t>嘉闵线</t>
  </si>
  <si>
    <t>中铁十六局</t>
  </si>
  <si>
    <t>中铁十六局轨道公司</t>
  </si>
  <si>
    <t>CRCC-16J-JMWZ-2024-008</t>
  </si>
  <si>
    <t>DL1558</t>
  </si>
  <si>
    <t>DL1559</t>
  </si>
  <si>
    <t>嘉闵线（ 轴向纠偏自动驾驶系统）</t>
  </si>
  <si>
    <t>扩大杭嘉湖南排后续西部通道（西线）工程东段隧洞项目</t>
  </si>
  <si>
    <t>中铁十六局集团地铁工程有限公司</t>
  </si>
  <si>
    <t>CRCC-16J-HZNP-202406-12</t>
  </si>
  <si>
    <t>杭州轨道15号线DZ151&amp;DZ153维修改造合同</t>
  </si>
  <si>
    <t>中铁十六局集团有限公司</t>
  </si>
  <si>
    <t>ZT16J-HZDTSG15-13-DGJWXGZ-02</t>
  </si>
  <si>
    <t>十六局杭州地铁15号线机械设备维修改造合同</t>
  </si>
  <si>
    <t>ZT16J-HZDTSG15-13-DGJWXGZ-01</t>
  </si>
  <si>
    <t>杭淳开高速公路</t>
  </si>
  <si>
    <t>中铁十六局集团第三工程有限公司</t>
  </si>
  <si>
    <t>ZT163HSB-SBCG-20251113</t>
  </si>
  <si>
    <t>扩大杭嘉湖南排后续西部通道</t>
  </si>
  <si>
    <t>中铁十八局</t>
  </si>
  <si>
    <t>中铁十八局集团隧道工程有限公司</t>
  </si>
  <si>
    <t>11-SHB-2024-城西南排-11-001</t>
  </si>
  <si>
    <t>DZ1395</t>
  </si>
  <si>
    <t>刘新峥</t>
  </si>
  <si>
    <t>中铁十八局隧道公司镜岭水库5标项目1台ZTT4530采购合同</t>
  </si>
  <si>
    <t>11-SHB-2024-镜岭水库5标-11-002</t>
  </si>
  <si>
    <t>十八局隧道镜岭水库皮带机采购合同</t>
  </si>
  <si>
    <t>11-SHB-2025-隧道公司-11-010</t>
  </si>
  <si>
    <t>杭州地铁10号线盾构设备租赁</t>
  </si>
  <si>
    <t>中铁十八局集团市政工程有限公司</t>
  </si>
  <si>
    <t>12-SHBZ-2024-杭州地铁1032-12-002</t>
  </si>
  <si>
    <t>扩大杭嘉湖南排连续皮带机设备采购合同</t>
  </si>
  <si>
    <t>11-QT-2026-装备中心-11-001、11-SHB-2026-装备中心-11-002</t>
  </si>
  <si>
    <t>流源水库</t>
  </si>
  <si>
    <t>11-QT-2024-流源水库-0-006</t>
  </si>
  <si>
    <t>DG1624</t>
  </si>
  <si>
    <t>舟山洞库项目</t>
  </si>
  <si>
    <t>中铁十八局集团第一工程有限公司</t>
  </si>
  <si>
    <t>CRCHI-GZ-2024-011</t>
  </si>
  <si>
    <t>嘉善铁路</t>
  </si>
  <si>
    <t>中铁十八局集团第四工程有限公司</t>
  </si>
  <si>
    <t>0-SHB-2025-嘉善至西塘市域铁路-0-001</t>
  </si>
  <si>
    <t>杭州地铁8号线一期工程施工总承包土建工区二项目部</t>
  </si>
  <si>
    <t>中铁十九局集团</t>
  </si>
  <si>
    <t>中铁十九局轨道公司</t>
  </si>
  <si>
    <t>SBHT-09-HZ08-2019-016</t>
  </si>
  <si>
    <t>DL263G2</t>
  </si>
  <si>
    <t>东大河排涝及水动力提升工程</t>
  </si>
  <si>
    <t>中铁十九局集团第一工程有限公司</t>
  </si>
  <si>
    <t>HT19-SBWX-2025-0017-00</t>
  </si>
  <si>
    <t>长赣高铁搅拌站设备采购</t>
  </si>
  <si>
    <t>中铁二十局集团</t>
  </si>
  <si>
    <t>中铁二十局集团第五工程有限公司</t>
  </si>
  <si>
    <t>CR2005-长赣物设-SC-25-003</t>
  </si>
  <si>
    <t>二十局集团长赣高铁湿喷台车购销合同</t>
  </si>
  <si>
    <t>中铁二十局集团第三工程有限公司</t>
  </si>
  <si>
    <t>ZT2003CGWS20250004</t>
  </si>
  <si>
    <t>福州港口后方铁路</t>
  </si>
  <si>
    <t>中铁二十局集团有限公司</t>
  </si>
  <si>
    <t>CR2006-港后-SC-25-010</t>
  </si>
  <si>
    <t>长赣铁路湿喷台车设备采购合同</t>
  </si>
  <si>
    <t>CR2005-长赣物设-SC-25-007</t>
  </si>
  <si>
    <t>CR2003-CGWS-SB-25-003</t>
  </si>
  <si>
    <t>金义东市域铁路15标项目</t>
  </si>
  <si>
    <t>中铁二十二局</t>
  </si>
  <si>
    <t>中铁二十二局集团第四工程有限公司</t>
  </si>
  <si>
    <t>CRCHI-TD-2020-003</t>
  </si>
  <si>
    <t>DL242/271</t>
  </si>
  <si>
    <t>台州S2线盾构机维修改造合同</t>
  </si>
  <si>
    <t>中铁二十二局集团有限公司轨道交通工程分公司</t>
  </si>
  <si>
    <t>CR22GD-GD-TZSYTL-SBWX-2025-002</t>
  </si>
  <si>
    <t>上海东站项目2台ZTE6830租赁合同</t>
  </si>
  <si>
    <t>中铁二十四局</t>
  </si>
  <si>
    <t>中铁二十四局轨道公司</t>
  </si>
  <si>
    <t>SHDZ-2025-DZ-001</t>
  </si>
  <si>
    <t>温福铁路1批特种装备采购</t>
  </si>
  <si>
    <t>中铁二十四局集团福建铁路建设有限公司</t>
  </si>
  <si>
    <t>CR24FJ-SBCG-2026-01、CR24FJ-SBCG-2026-02</t>
  </si>
  <si>
    <t>DZ609维修改造</t>
  </si>
  <si>
    <t>中铁二十四局集团有限公司</t>
  </si>
  <si>
    <t>GDGSDG-QT-2025-001（DZ609）</t>
  </si>
  <si>
    <t>常州地铁5号线DZ213盾构机再制造</t>
  </si>
  <si>
    <t>GDGSDG-QT-2025-001（DZ213）</t>
  </si>
  <si>
    <t>瑞梅铁路</t>
  </si>
  <si>
    <t>中铁二十五局</t>
  </si>
  <si>
    <t>中铁二十五局集团有限公司</t>
  </si>
  <si>
    <t>局合专6（2024）-052号</t>
  </si>
  <si>
    <t>320国道项目</t>
  </si>
  <si>
    <t>中国铁建港航局</t>
  </si>
  <si>
    <t>中国铁建港航局集团有限公司第二工程分公司</t>
  </si>
  <si>
    <t>GH-02-SBHT-202501-03</t>
  </si>
  <si>
    <t>GH-02-SBHT-202505-008</t>
  </si>
  <si>
    <t>温福高铁3台HZS180K采购</t>
  </si>
  <si>
    <t>中国铁建港航局集团有限公司</t>
  </si>
  <si>
    <t>GH-温福高铁-SBCG-20251217-001</t>
  </si>
  <si>
    <t>浙江省经营部</t>
  </si>
  <si>
    <t>杭州18号线盾构设备租赁合同</t>
  </si>
  <si>
    <t>北京中铁天瑞</t>
  </si>
  <si>
    <t>北京中铁天瑞机械设备有限公司</t>
  </si>
  <si>
    <t>CR22TR-SBZLCG-HW-2025-001</t>
  </si>
  <si>
    <t>福州市轨道交通2号线项目2台ZTTE6430租赁合同</t>
  </si>
  <si>
    <t>系统外</t>
  </si>
  <si>
    <t>福州地铁实业有限公司</t>
  </si>
  <si>
    <t>SY-ZY-2022-097</t>
  </si>
  <si>
    <t>DL1205</t>
  </si>
  <si>
    <t>DL1206</t>
  </si>
  <si>
    <t>技术服务</t>
  </si>
  <si>
    <t>中建海峡建设发展有限公司</t>
  </si>
  <si>
    <t>107003021【2017】55SZ83-07</t>
  </si>
  <si>
    <t>DL479/DL164</t>
  </si>
  <si>
    <t>福州地铁</t>
  </si>
  <si>
    <t>DL479</t>
  </si>
  <si>
    <t>桃浦污水处理厂初期雨水调蓄工程TP1.2标（4套沉井式压沉设备租赁）</t>
  </si>
  <si>
    <t>上海市基础工程集团有限公司</t>
  </si>
  <si>
    <t>SFEG（2023）二工162-D002</t>
  </si>
  <si>
    <t>YBX23030</t>
  </si>
  <si>
    <t>穆华清</t>
  </si>
  <si>
    <t>DZ852主驱动维修合同</t>
  </si>
  <si>
    <t>SFEG(2024)五工-F017</t>
  </si>
  <si>
    <t>DG24010</t>
  </si>
  <si>
    <t>机场联络线DL1207&amp;DL1208改造合同</t>
  </si>
  <si>
    <t>SFEG（2024）设材-F001</t>
  </si>
  <si>
    <t>隆昌路隧道</t>
  </si>
  <si>
    <t>SFEG（2025）五工-F006</t>
  </si>
  <si>
    <t>上海市基础工程集团有限公司DZ851维修改造合同</t>
  </si>
  <si>
    <t>SFEG(2025)五工-F029</t>
  </si>
  <si>
    <t>上海市基础工程集团有限公司DZ851主驱动维修合同</t>
  </si>
  <si>
    <t>SFEG(2025)五工-F027</t>
  </si>
  <si>
    <t>4台管片外径Φ9000mm盾构机嘉闵线适应性改造项目</t>
  </si>
  <si>
    <t>上海地铁盾构设备工程有限公司</t>
  </si>
  <si>
    <t>D23-137F-S00-087</t>
  </si>
  <si>
    <t>DG1389/DG1390/DG1391/DG1392</t>
  </si>
  <si>
    <t>上海地铁</t>
  </si>
  <si>
    <t>CRCHI-XS-2021-028</t>
  </si>
  <si>
    <t>YBX21024</t>
  </si>
  <si>
    <t>DZ292/DZ293盾构机再制造合同</t>
  </si>
  <si>
    <t>D23-141F-J01-009</t>
  </si>
  <si>
    <t xml:space="preserve"> DG1342/ DG1343</t>
  </si>
  <si>
    <t>SFEG（2022）五工088-C001</t>
  </si>
  <si>
    <t>崇明线105标</t>
  </si>
  <si>
    <t>D24-022F-T00-005</t>
  </si>
  <si>
    <t>DL749</t>
  </si>
  <si>
    <t>DL750</t>
  </si>
  <si>
    <t>DZ1018、DZ1019主驱动维修</t>
  </si>
  <si>
    <t>D23-207F-S00-132</t>
  </si>
  <si>
    <t>自主驾驶轴线控制系统租赁合同</t>
  </si>
  <si>
    <t>D24-095F-S00-053</t>
  </si>
  <si>
    <t>崇明线107标</t>
  </si>
  <si>
    <t>D24-105F-T00-024</t>
  </si>
  <si>
    <t>DL409G4</t>
  </si>
  <si>
    <t>DL818G2</t>
  </si>
  <si>
    <t>原水西环线</t>
  </si>
  <si>
    <t>上海市机械施工集团有限公司</t>
  </si>
  <si>
    <t>上海市轨道交通19号线2台ZTE6760采购</t>
  </si>
  <si>
    <t>奉新抽水蓄能电站</t>
  </si>
  <si>
    <t>中国葛洲坝集团第二工程有限公司</t>
  </si>
  <si>
    <t>CGGC2GS-SB-TBMYYZX-2024-001</t>
  </si>
  <si>
    <t>DZ1509</t>
  </si>
  <si>
    <t>滨海快线（福州至长乐机场城际铁路工程）第3标段4工区项目</t>
  </si>
  <si>
    <t>中交第三公路工程局有限公司</t>
  </si>
  <si>
    <t>ZCB-BHKX3-04-JX-03-2021</t>
  </si>
  <si>
    <t>DP806</t>
  </si>
  <si>
    <t>滨海快线（福州至长乐机场城际铁路工程）第3标段54工区项目</t>
  </si>
  <si>
    <t>DP807</t>
  </si>
  <si>
    <t>浙江物产工程技术服务有限公司深圳地铁15号线DZ619/621维修改造合同</t>
  </si>
  <si>
    <t>浙江物产工程技术服务有限公司</t>
  </si>
  <si>
    <t>WCGF-DZ619/DZ621-04-WXLTGZ</t>
  </si>
  <si>
    <t>浙江物产工程技术服务有限公司DZ620维修、整机联调合同</t>
  </si>
  <si>
    <t>WCGF-DZ620-04-WXLT</t>
  </si>
  <si>
    <t>泰和污水处理厂扩建工程1台ZTJ13000租赁合同</t>
  </si>
  <si>
    <t>上海城建市政工程（集团）有限公司</t>
  </si>
  <si>
    <t>CRCHI-GZ-2023-001、2024-ZLPS-000088</t>
  </si>
  <si>
    <t>DZ1301</t>
  </si>
  <si>
    <t>合流污水一期复线工程盾构设备租赁合同</t>
  </si>
  <si>
    <t>（2025-ZLPS-000088）-号</t>
  </si>
  <si>
    <t>福建亿钻机械有限公司中深孔采矿台车采购合同</t>
  </si>
  <si>
    <t>福建亿钻机械有限公司</t>
  </si>
  <si>
    <t>FJYZJX2024-001</t>
  </si>
  <si>
    <t>三门核电厂5、6号机组虹吸井、排水隧洞工程盾构机租赁</t>
  </si>
  <si>
    <t>中国核工业华兴建设有限公司</t>
  </si>
  <si>
    <t>HXHT-JSCBB-I-2024-0082</t>
  </si>
  <si>
    <t>S202象山石浦港盾构机租赁服务合同</t>
  </si>
  <si>
    <t>中国核工业华兴建设有限公司宁波分公司</t>
  </si>
  <si>
    <t>HXHT-ZBJC-I-2025-0087</t>
  </si>
  <si>
    <t>福建省木兰抽水蓄能有限公司1台SCC1500采购</t>
  </si>
  <si>
    <t>福建省木兰抽水蓄能有限公司</t>
  </si>
  <si>
    <r>
      <rPr>
        <sz val="10"/>
        <color theme="1"/>
        <rFont val="仿宋"/>
        <charset val="0"/>
      </rPr>
      <t>MLCX</t>
    </r>
    <r>
      <rPr>
        <sz val="10"/>
        <color theme="1"/>
        <rFont val="Arial"/>
        <charset val="0"/>
      </rPr>
      <t>�</t>
    </r>
    <r>
      <rPr>
        <sz val="10"/>
        <color theme="1"/>
        <rFont val="仿宋"/>
        <charset val="0"/>
      </rPr>
      <t>HT-WZ2025-003</t>
    </r>
  </si>
  <si>
    <t>华东区域指挥部合计</t>
  </si>
  <si>
    <t>温福铁路凿岩、锚杆台车</t>
  </si>
  <si>
    <t>中铁十一局集团第一工程有限公司</t>
  </si>
  <si>
    <t>C2000010001100001011002026008</t>
  </si>
  <si>
    <t>C2000010001100001011002026004</t>
  </si>
  <si>
    <t>昌九铁路</t>
  </si>
  <si>
    <t>中铁十四局集团装备有限公司</t>
  </si>
  <si>
    <t>ZT14J-TJZG-GZ-2023001（变更前CR14G-TJZG-SPB-2022-12-002）</t>
  </si>
  <si>
    <t>宜涪铁路16标</t>
  </si>
  <si>
    <t>CR15G2C-SBCG-2025-07</t>
  </si>
  <si>
    <t>中吉乌铁路项目十标</t>
  </si>
  <si>
    <t>CR15G2C-SBCG-2025-17</t>
  </si>
  <si>
    <t>盐宜铁路搅拌站采购</t>
  </si>
  <si>
    <t>CR15G2C-SBCG-2025-18</t>
  </si>
  <si>
    <t>侨城东路北延通道工程二标段</t>
  </si>
  <si>
    <t>ZT163HSB-SBCG-20250605</t>
  </si>
  <si>
    <t>浙江三澳二期排水隧洞工程项目</t>
  </si>
  <si>
    <t>ZT16JZJPSSD02-SBCG-2024001（CRCCFL-1-JY-2025-048-02）</t>
  </si>
  <si>
    <t>宜涪高铁项</t>
  </si>
  <si>
    <t>中铁十九局</t>
  </si>
  <si>
    <t>中铁十九局集团华东工程有限公司</t>
  </si>
  <si>
    <t>CRCHI-XS-2025-014</t>
  </si>
  <si>
    <t>宜涪高铁项目1台MT141&amp;1台HPS4517AG采购合同</t>
  </si>
  <si>
    <t>CRCHI-XS-2025-028</t>
  </si>
  <si>
    <t>宜涪高铁7标项目1台ZYS113采购</t>
  </si>
  <si>
    <t>CRCHI-XS-2025-031</t>
  </si>
  <si>
    <t>汉宜高速项目2台HZS180采购</t>
  </si>
  <si>
    <t>CRCHI-XS-2025-032</t>
  </si>
  <si>
    <t>中铁十九局华东公司宜常高铁项目2台HZS180采购合同</t>
  </si>
  <si>
    <t>CRCHI-XS-2026-001</t>
  </si>
  <si>
    <t>宜涪高铁1批特种装备采购</t>
  </si>
  <si>
    <t>CRCHI-XS-2025-037、CRCHI-XS-2025-038、CRCHI-XS-2025-039（19局）</t>
  </si>
  <si>
    <t>CRCHI-XS-2025-045、046、047、048</t>
  </si>
  <si>
    <t>宜涪铁路1台MT141&amp;3台SCD133A采购合同</t>
  </si>
  <si>
    <t>CRCHI-XS-2025-055、CRCHI-XS-2025-056</t>
  </si>
  <si>
    <t>欧冶工业品股份有限公司矿用井下锚杆台车招标</t>
  </si>
  <si>
    <t>上海欧冶采购信息科技有限责任公司</t>
  </si>
  <si>
    <t>2504HT07546</t>
  </si>
  <si>
    <t>西藏巨龙铜业凿岩台车锚杆台车</t>
  </si>
  <si>
    <t>西藏巨龙铜业有限公司</t>
  </si>
  <si>
    <t>2566-CG-2025-00107</t>
  </si>
  <si>
    <t>紫金矿业建设公司分道县湿喷台车需求</t>
  </si>
  <si>
    <t>紫金矿业建设有限公司</t>
  </si>
  <si>
    <t>9402-CG-2023-00062</t>
  </si>
  <si>
    <t>紫金矿业建设有限公司甲玛分公司湿喷台车采购项目</t>
  </si>
  <si>
    <t>紫金矿业建设有限公司甲玛分公司</t>
  </si>
  <si>
    <t>9505-CG-2025-00047</t>
  </si>
  <si>
    <t>紫金矿业建设有限公司甲码分公司锚杆台车采购项目</t>
  </si>
  <si>
    <t>9505-CG-2025-00079</t>
  </si>
  <si>
    <t>沙特阿拉伯交通隧道项目1批隧道装备产品采购</t>
  </si>
  <si>
    <t>江苏筑世国际贸易有限公司</t>
  </si>
  <si>
    <t>CSCEC-ZSIT-PC-2024001</t>
  </si>
  <si>
    <t>衢江抽水蓄能</t>
  </si>
  <si>
    <t>中国水利水电第五工程局有限公司</t>
  </si>
  <si>
    <t>POWERCHINA-2022SB010（PCL/GC-L-SDWJ-22015-Z01）</t>
  </si>
  <si>
    <t>黔张常铁路</t>
  </si>
  <si>
    <t>福建省冠畅建筑工程有限公司</t>
  </si>
  <si>
    <t>16jqzc-2fb-01</t>
  </si>
  <si>
    <t>长赣铁路凿岩台车改造修理合同</t>
  </si>
  <si>
    <t>中交路桥南方公司</t>
  </si>
  <si>
    <t>LJNFNF-PJ2021018413-069925006</t>
  </si>
  <si>
    <t>长春地铁9号线</t>
  </si>
  <si>
    <t>CRCHI-GZ-2023-013</t>
  </si>
  <si>
    <t>编号</t>
  </si>
  <si>
    <t>MLCX�HT-WZ2025-003</t>
  </si>
  <si>
    <t>(空白)</t>
  </si>
  <si>
    <t>总计</t>
  </si>
  <si>
    <t>在手项目梳理（主办口径）</t>
  </si>
  <si>
    <t>合同类别</t>
  </si>
  <si>
    <t>合同主体</t>
  </si>
  <si>
    <t>项目类型</t>
  </si>
  <si>
    <t>年底前预计可回款金额</t>
  </si>
  <si>
    <t>年底前预计可实现收入
（含税）</t>
  </si>
  <si>
    <t>年底前预计可实现收入
(主协办分割后）</t>
  </si>
  <si>
    <t>8月</t>
  </si>
  <si>
    <t>9月</t>
  </si>
  <si>
    <t>10月</t>
  </si>
  <si>
    <t>11月</t>
  </si>
  <si>
    <t>12月</t>
  </si>
  <si>
    <t>主协办拆分后可回款金额</t>
  </si>
  <si>
    <t>在手</t>
  </si>
  <si>
    <t>集团本部</t>
  </si>
  <si>
    <t>销售</t>
  </si>
  <si>
    <t>C20000100011000011002024002</t>
  </si>
  <si>
    <t>万安绕城高速</t>
  </si>
  <si>
    <t>中铁十一局西安公司</t>
  </si>
  <si>
    <t>ZT1128-SB2024021</t>
  </si>
  <si>
    <t>新签</t>
  </si>
  <si>
    <t>维修改造</t>
  </si>
  <si>
    <t>CRCHI-GZ-2024-012</t>
  </si>
  <si>
    <t>租赁</t>
  </si>
  <si>
    <t>特装装备</t>
  </si>
  <si>
    <t>DZ407/DZ408盾构机刀盘改造</t>
  </si>
  <si>
    <t>ZT12-HZDTDG-SB012</t>
  </si>
  <si>
    <t>DZ220盾构机扩径改造</t>
  </si>
  <si>
    <t>中铁建大桥工程局集团第二工程有限公司</t>
  </si>
  <si>
    <t>TJDQJ02-DGGZ-004</t>
  </si>
  <si>
    <t>DZ426/DZ427盾构机再制造合同</t>
  </si>
  <si>
    <t>SZSZ—TJZG-2024-001</t>
  </si>
  <si>
    <t>萧山机场铁路搅拌站采购</t>
  </si>
  <si>
    <t>中铁十四局房桥公司</t>
  </si>
  <si>
    <t>SBCGHT-HZXSJC-00008、ZZCLCGHT-HZXSJC-00002</t>
  </si>
  <si>
    <t>萧山机场</t>
  </si>
  <si>
    <t>CRCC14-ZBGS-SC-DGJWX-2024-012</t>
  </si>
  <si>
    <t>上海地铁23号线盾构机再制造</t>
  </si>
  <si>
    <t>CR14G-DDG-DGJGZ-SH23HX-2024-06</t>
  </si>
  <si>
    <t>甬舟铁路项目经理部地面操作平台采购</t>
  </si>
  <si>
    <t>中铁十四局集团有限公司</t>
  </si>
  <si>
    <t>WZCGHT-YZSG-2-1-00033</t>
  </si>
  <si>
    <t>咸九高速</t>
  </si>
  <si>
    <t>CR15G2C-SBCG-02-2022-011</t>
  </si>
  <si>
    <t>中铁十五局集团城市轨道交通工程有限公司</t>
  </si>
  <si>
    <t>龙庆高速公路2台湿喷台车设备维修改造</t>
  </si>
  <si>
    <t>通苏嘉甬7标</t>
  </si>
  <si>
    <t>ZT163TSJY-SBCG-20240918</t>
  </si>
  <si>
    <t>义龙庆高速2套HZS240采购</t>
  </si>
  <si>
    <t>ZT163HSB-SBCG-20241031</t>
  </si>
  <si>
    <t>杭州市机场轨道快线土建施工SGJC-5标</t>
  </si>
  <si>
    <t>12-SHBZ-2020-杭州机场快线5标-12-003</t>
  </si>
  <si>
    <t>工程公司</t>
  </si>
  <si>
    <t>中铁十九局华东公司G10010095凿岩台车维修改造合同</t>
  </si>
  <si>
    <t>中铁十九局华东公司</t>
  </si>
  <si>
    <t>CRCHI-WXGZ-2025-006</t>
  </si>
  <si>
    <t>方溪水库</t>
  </si>
  <si>
    <t>CRCHI-WXGZ-2022-010</t>
  </si>
  <si>
    <t>方溪水库配件</t>
  </si>
  <si>
    <t>CR19-1-2023-017-补01</t>
  </si>
  <si>
    <t>杭温铁路</t>
  </si>
  <si>
    <t>中铁二十二局集团第一工程有限公司</t>
  </si>
  <si>
    <t>07-WSZX-SBCG-2020-002</t>
  </si>
  <si>
    <t>杭州机场轨道快线土建施工SGJC-7标项目部</t>
  </si>
  <si>
    <t>中铁二十二局集团轨道工程有限公司</t>
  </si>
  <si>
    <t>GD-GD-HJCX-SBZL-2021-20</t>
  </si>
  <si>
    <t>扩能改造</t>
  </si>
  <si>
    <t>中铁二十三局轨道公司上海分公司</t>
  </si>
  <si>
    <t>cr235-shfgs-2023-jbzcg003</t>
  </si>
  <si>
    <t>甬舟铁路项目</t>
  </si>
  <si>
    <t>中铁二十四局集团浙江工程有限公司</t>
  </si>
  <si>
    <t>HT(WS)-2023-22</t>
  </si>
  <si>
    <t>金义三四线铁路</t>
  </si>
  <si>
    <t>CRCHI-XS-2024-010</t>
  </si>
  <si>
    <t>上海宝山站2台HZS240采购</t>
  </si>
  <si>
    <t>中铁二十四局上海公司</t>
  </si>
  <si>
    <t>SB2025EM015</t>
  </si>
  <si>
    <t>金华铁路</t>
  </si>
  <si>
    <t>中铁二十四局集团上海铁建工程有限公司</t>
  </si>
  <si>
    <t>CRCHI-XS-2024-022</t>
  </si>
  <si>
    <t>中铁二十五局集团第三工程有限公司</t>
  </si>
  <si>
    <r>
      <rPr>
        <sz val="10.5"/>
        <color theme="1"/>
        <rFont val="宋体"/>
        <charset val="134"/>
      </rPr>
      <t>三物设合（</t>
    </r>
    <r>
      <rPr>
        <sz val="10.5"/>
        <color theme="1"/>
        <rFont val="Arial"/>
        <charset val="134"/>
      </rPr>
      <t>2023</t>
    </r>
    <r>
      <rPr>
        <sz val="10.5"/>
        <color theme="1"/>
        <rFont val="宋体"/>
        <charset val="134"/>
      </rPr>
      <t>）</t>
    </r>
    <r>
      <rPr>
        <sz val="10.5"/>
        <color theme="1"/>
        <rFont val="Arial"/>
        <charset val="134"/>
      </rPr>
      <t>-</t>
    </r>
    <r>
      <rPr>
        <sz val="10.5"/>
        <color theme="1"/>
        <rFont val="宋体"/>
        <charset val="134"/>
      </rPr>
      <t>公司</t>
    </r>
    <r>
      <rPr>
        <sz val="10.5"/>
        <color theme="1"/>
        <rFont val="Arial"/>
        <charset val="134"/>
      </rPr>
      <t>-</t>
    </r>
    <r>
      <rPr>
        <sz val="10.5"/>
        <color theme="1"/>
        <rFont val="宋体"/>
        <charset val="134"/>
      </rPr>
      <t>购</t>
    </r>
  </si>
  <si>
    <t>中国铁建港航局集团</t>
  </si>
  <si>
    <t>重庆5号线北延</t>
  </si>
  <si>
    <t>中建隧道建设有限公司</t>
  </si>
  <si>
    <t>2802-02-F-25-01</t>
  </si>
  <si>
    <t>机场联络线13标</t>
  </si>
  <si>
    <t>上海申岑</t>
  </si>
  <si>
    <t>CRCHI-XS-2022-019</t>
  </si>
  <si>
    <t>机场联络线</t>
  </si>
  <si>
    <t>SFEG（2023）五工092-D001</t>
  </si>
  <si>
    <t>机场联络线（租赁转销售新增金额）</t>
  </si>
  <si>
    <t>SFEG（2024）设材-C004</t>
  </si>
  <si>
    <t>机场联络线（新增部分金额）</t>
  </si>
  <si>
    <t>北横二级匝道工程&amp;嘉闵线</t>
  </si>
  <si>
    <t>SFEG（2022）设材-C001</t>
  </si>
  <si>
    <t>上海机场联络线</t>
  </si>
  <si>
    <t>SFEG（2024）设材-C003</t>
  </si>
  <si>
    <t>地墙橡胶接头箱钢结构部分试制</t>
  </si>
  <si>
    <t>SFEG（2022）三工-H002</t>
  </si>
  <si>
    <t>年度技术服务</t>
  </si>
  <si>
    <t>D20-181F-J01-005</t>
  </si>
  <si>
    <t>\</t>
  </si>
  <si>
    <t>宁波南湾交投交通发展有限公司水泥混凝土搅拌站采购合同</t>
  </si>
  <si>
    <t>宁波南湾交投交通发展有限公司</t>
  </si>
  <si>
    <t>CRCHI-XS-2023-011</t>
  </si>
  <si>
    <t>武山铜矿</t>
  </si>
  <si>
    <t>江西铜业股份有限公司</t>
  </si>
  <si>
    <t>TS2403-0032WSTK007</t>
  </si>
  <si>
    <t>泰和污水处理厂</t>
  </si>
  <si>
    <t>CRCHI-GZ-2023-001</t>
  </si>
  <si>
    <t>义龙庆高速公路钻锚注一体设备采购</t>
  </si>
  <si>
    <t>中交一公局集团有限公司</t>
  </si>
  <si>
    <t>ZJTJ-2024-0701</t>
  </si>
  <si>
    <t>金门供水保障工程</t>
  </si>
  <si>
    <t>福建力变科技集团</t>
  </si>
  <si>
    <t>CRCHI-XS-2023-056</t>
  </si>
  <si>
    <t>应急抢险项目湿喷台车采购合同</t>
  </si>
  <si>
    <t>中国安能集团第二工程局有限公司</t>
  </si>
  <si>
    <t>ANGZ—2025—0008—D076</t>
  </si>
  <si>
    <t>甬台温高速公路</t>
  </si>
  <si>
    <t>中交路桥建设有限公司</t>
  </si>
  <si>
    <t>LJLJHD-PJ2022040119-030124322</t>
  </si>
  <si>
    <t>深圳地铁15号线DZ619/620/621维修改造合同</t>
  </si>
  <si>
    <t>浙江物产</t>
  </si>
  <si>
    <t>小计</t>
  </si>
  <si>
    <t>其他</t>
  </si>
  <si>
    <t>现金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</si>
</sst>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  <numFmt numFmtId="178" formatCode="0&quot;.&quot;0,&quot;万&quot;"/>
  </numFmts>
  <fonts count="45">
    <font>
      <sz val="11"/>
      <name val="宋体"/>
      <charset val="134"/>
    </font>
    <font>
      <sz val="11"/>
      <name val="仿宋"/>
      <charset val="134"/>
    </font>
    <font>
      <sz val="11"/>
      <color theme="1"/>
      <name val="宋体"/>
      <charset val="134"/>
    </font>
    <font>
      <sz val="11"/>
      <color theme="1"/>
      <name val="仿宋"/>
      <charset val="134"/>
    </font>
    <font>
      <b/>
      <sz val="18"/>
      <color rgb="FF000000"/>
      <name val="仿宋"/>
      <charset val="134"/>
    </font>
    <font>
      <b/>
      <sz val="16"/>
      <color rgb="FF000000"/>
      <name val="仿宋"/>
      <charset val="134"/>
    </font>
    <font>
      <b/>
      <sz val="11"/>
      <name val="宋体"/>
      <charset val="134"/>
    </font>
    <font>
      <sz val="12"/>
      <color theme="1"/>
      <name val="仿宋"/>
      <charset val="134"/>
    </font>
    <font>
      <sz val="10"/>
      <color theme="1"/>
      <name val="仿宋"/>
      <charset val="0"/>
    </font>
    <font>
      <sz val="10"/>
      <color theme="1"/>
      <name val="仿宋"/>
      <charset val="1"/>
    </font>
    <font>
      <sz val="11"/>
      <color theme="1"/>
      <name val="宋体"/>
      <charset val="134"/>
      <scheme val="minor"/>
    </font>
    <font>
      <sz val="10"/>
      <name val="仿宋"/>
      <charset val="1"/>
    </font>
    <font>
      <sz val="10.5"/>
      <color theme="1"/>
      <name val="宋体"/>
      <charset val="134"/>
    </font>
    <font>
      <sz val="10"/>
      <color theme="1"/>
      <name val="仿宋"/>
      <charset val="134"/>
    </font>
    <font>
      <sz val="10"/>
      <color theme="1"/>
      <name val="宋体"/>
      <charset val="134"/>
    </font>
    <font>
      <sz val="12"/>
      <name val="仿宋"/>
      <charset val="134"/>
    </font>
    <font>
      <b/>
      <sz val="11"/>
      <name val="仿宋"/>
      <charset val="134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rgb="FF555555"/>
      <name val="Microsoft yahei"/>
      <charset val="134"/>
    </font>
    <font>
      <sz val="9"/>
      <color theme="1"/>
      <name val="宋体"/>
      <charset val="1"/>
    </font>
    <font>
      <b/>
      <sz val="11"/>
      <color theme="1"/>
      <name val="仿宋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theme="1"/>
      <name val="Arial"/>
      <charset val="0"/>
    </font>
    <font>
      <sz val="10.5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2" fillId="0" borderId="0">
      <protection locked="0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8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18" applyNumberFormat="0" applyAlignment="0" applyProtection="0">
      <alignment vertical="center"/>
    </xf>
    <xf numFmtId="0" fontId="32" fillId="10" borderId="19" applyNumberFormat="0" applyAlignment="0" applyProtection="0">
      <alignment vertical="center"/>
    </xf>
    <xf numFmtId="0" fontId="33" fillId="10" borderId="18" applyNumberFormat="0" applyAlignment="0" applyProtection="0">
      <alignment vertical="center"/>
    </xf>
    <xf numFmtId="0" fontId="34" fillId="11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0" fillId="0" borderId="0">
      <alignment vertical="center"/>
    </xf>
    <xf numFmtId="0" fontId="42" fillId="0" borderId="0">
      <protection locked="0"/>
    </xf>
    <xf numFmtId="0" fontId="42" fillId="0" borderId="0">
      <alignment vertical="center"/>
      <protection locked="0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4" fillId="0" borderId="1" xfId="50" applyNumberFormat="1" applyFont="1" applyFill="1" applyBorder="1" applyAlignment="1" applyProtection="1">
      <alignment horizontal="center" vertical="center" wrapText="1"/>
    </xf>
    <xf numFmtId="0" fontId="4" fillId="0" borderId="0" xfId="50" applyFont="1" applyFill="1" applyAlignment="1" applyProtection="1">
      <alignment horizontal="center" vertical="center" wrapText="1"/>
    </xf>
    <xf numFmtId="176" fontId="5" fillId="2" borderId="2" xfId="50" applyNumberFormat="1" applyFont="1" applyFill="1" applyBorder="1" applyAlignment="1" applyProtection="1">
      <alignment horizontal="center" vertical="center" wrapText="1"/>
    </xf>
    <xf numFmtId="177" fontId="5" fillId="2" borderId="2" xfId="50" applyNumberFormat="1" applyFont="1" applyFill="1" applyBorder="1" applyAlignment="1" applyProtection="1">
      <alignment horizontal="center" vertical="center" wrapText="1"/>
    </xf>
    <xf numFmtId="177" fontId="5" fillId="2" borderId="3" xfId="50" applyNumberFormat="1" applyFont="1" applyFill="1" applyBorder="1" applyAlignment="1" applyProtection="1">
      <alignment horizontal="center" vertical="center" wrapText="1"/>
    </xf>
    <xf numFmtId="177" fontId="5" fillId="2" borderId="4" xfId="50" applyNumberFormat="1" applyFont="1" applyFill="1" applyBorder="1" applyAlignment="1" applyProtection="1">
      <alignment horizontal="center" vertical="center" wrapText="1"/>
    </xf>
    <xf numFmtId="177" fontId="5" fillId="2" borderId="5" xfId="50" applyNumberFormat="1" applyFont="1" applyFill="1" applyBorder="1" applyAlignment="1" applyProtection="1">
      <alignment horizontal="center" vertical="center" wrapText="1"/>
    </xf>
    <xf numFmtId="177" fontId="5" fillId="2" borderId="6" xfId="50" applyNumberFormat="1" applyFont="1" applyFill="1" applyBorder="1" applyAlignment="1" applyProtection="1">
      <alignment horizontal="center" vertical="center" wrapText="1"/>
    </xf>
    <xf numFmtId="177" fontId="5" fillId="2" borderId="7" xfId="50" applyNumberFormat="1" applyFont="1" applyFill="1" applyBorder="1" applyAlignment="1" applyProtection="1">
      <alignment horizontal="center" vertical="center" wrapText="1"/>
    </xf>
    <xf numFmtId="177" fontId="5" fillId="2" borderId="8" xfId="50" applyNumberFormat="1" applyFont="1" applyFill="1" applyBorder="1" applyAlignment="1" applyProtection="1">
      <alignment horizontal="center" vertical="center" wrapText="1"/>
    </xf>
    <xf numFmtId="177" fontId="5" fillId="2" borderId="9" xfId="50" applyNumberFormat="1" applyFont="1" applyFill="1" applyBorder="1" applyAlignment="1" applyProtection="1">
      <alignment horizontal="center" vertical="center" wrapText="1"/>
    </xf>
    <xf numFmtId="177" fontId="5" fillId="2" borderId="10" xfId="50" applyNumberFormat="1" applyFont="1" applyFill="1" applyBorder="1" applyAlignment="1" applyProtection="1">
      <alignment horizontal="center" vertical="center" wrapText="1"/>
    </xf>
    <xf numFmtId="177" fontId="5" fillId="2" borderId="11" xfId="50" applyNumberFormat="1" applyFont="1" applyFill="1" applyBorder="1" applyAlignment="1" applyProtection="1">
      <alignment horizontal="center" vertical="center" wrapText="1"/>
    </xf>
    <xf numFmtId="177" fontId="5" fillId="2" borderId="12" xfId="50" applyNumberFormat="1" applyFont="1" applyFill="1" applyBorder="1" applyAlignment="1" applyProtection="1">
      <alignment horizontal="center" vertical="center" wrapText="1"/>
    </xf>
    <xf numFmtId="177" fontId="5" fillId="2" borderId="13" xfId="50" applyNumberFormat="1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177" fontId="9" fillId="0" borderId="2" xfId="0" applyNumberFormat="1" applyFont="1" applyFill="1" applyBorder="1" applyAlignment="1">
      <alignment horizontal="center" vertical="center" wrapText="1"/>
    </xf>
    <xf numFmtId="43" fontId="9" fillId="0" borderId="2" xfId="1" applyFont="1" applyFill="1" applyBorder="1" applyAlignment="1">
      <alignment horizontal="center" vertical="center" wrapText="1"/>
      <protection locked="0"/>
    </xf>
    <xf numFmtId="10" fontId="9" fillId="0" borderId="2" xfId="1" applyNumberFormat="1" applyFont="1" applyFill="1" applyBorder="1" applyAlignment="1">
      <alignment horizontal="center" vertical="center" wrapText="1"/>
      <protection locked="0"/>
    </xf>
    <xf numFmtId="43" fontId="9" fillId="3" borderId="2" xfId="1" applyFont="1" applyFill="1" applyBorder="1" applyAlignment="1">
      <alignment horizontal="center" vertical="center" wrapText="1"/>
      <protection locked="0"/>
    </xf>
    <xf numFmtId="3" fontId="3" fillId="0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177" fontId="9" fillId="0" borderId="9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 applyProtection="1">
      <alignment horizontal="center" vertical="center" wrapText="1"/>
      <protection locked="0"/>
    </xf>
    <xf numFmtId="177" fontId="9" fillId="0" borderId="3" xfId="0" applyNumberFormat="1" applyFont="1" applyFill="1" applyBorder="1" applyAlignment="1">
      <alignment horizontal="center" vertical="center" wrapText="1"/>
    </xf>
    <xf numFmtId="43" fontId="9" fillId="0" borderId="3" xfId="1" applyFont="1" applyFill="1" applyBorder="1" applyAlignment="1">
      <alignment horizontal="center" vertical="center" wrapText="1"/>
      <protection locked="0"/>
    </xf>
    <xf numFmtId="10" fontId="9" fillId="0" borderId="3" xfId="1" applyNumberFormat="1" applyFont="1" applyFill="1" applyBorder="1" applyAlignment="1">
      <alignment horizontal="center" vertical="center" wrapText="1"/>
      <protection locked="0"/>
    </xf>
    <xf numFmtId="43" fontId="9" fillId="0" borderId="9" xfId="1" applyFont="1" applyFill="1" applyBorder="1" applyAlignment="1">
      <alignment horizontal="center" vertical="center" wrapText="1"/>
      <protection locked="0"/>
    </xf>
    <xf numFmtId="10" fontId="9" fillId="0" borderId="9" xfId="1" applyNumberFormat="1" applyFont="1" applyFill="1" applyBorder="1" applyAlignment="1">
      <alignment horizontal="center" vertical="center" wrapText="1"/>
      <protection locked="0"/>
    </xf>
    <xf numFmtId="49" fontId="8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13" xfId="0" applyNumberFormat="1" applyFont="1" applyFill="1" applyBorder="1" applyAlignment="1" applyProtection="1">
      <alignment horizontal="center" vertical="center" wrapText="1"/>
      <protection locked="0"/>
    </xf>
    <xf numFmtId="177" fontId="9" fillId="0" borderId="1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43" fontId="9" fillId="5" borderId="2" xfId="1" applyFont="1" applyFill="1" applyBorder="1" applyAlignment="1">
      <alignment horizontal="center" vertical="center" wrapText="1"/>
      <protection locked="0"/>
    </xf>
    <xf numFmtId="43" fontId="9" fillId="0" borderId="4" xfId="1" applyFont="1" applyFill="1" applyBorder="1" applyAlignment="1">
      <alignment horizontal="center" vertical="center" wrapText="1"/>
      <protection locked="0"/>
    </xf>
    <xf numFmtId="4" fontId="9" fillId="0" borderId="2" xfId="1" applyNumberFormat="1" applyFont="1" applyFill="1" applyBorder="1" applyAlignment="1">
      <alignment horizontal="center" vertical="center" wrapText="1"/>
      <protection locked="0"/>
    </xf>
    <xf numFmtId="0" fontId="2" fillId="0" borderId="2" xfId="0" applyFont="1" applyFill="1" applyBorder="1">
      <alignment vertical="center"/>
    </xf>
    <xf numFmtId="43" fontId="9" fillId="0" borderId="13" xfId="1" applyFont="1" applyFill="1" applyBorder="1" applyAlignment="1">
      <alignment horizontal="center" vertical="center" wrapText="1"/>
      <protection locked="0"/>
    </xf>
    <xf numFmtId="10" fontId="9" fillId="0" borderId="13" xfId="1" applyNumberFormat="1" applyFont="1" applyFill="1" applyBorder="1" applyAlignment="1">
      <alignment horizontal="center" vertical="center" wrapText="1"/>
      <protection locked="0"/>
    </xf>
    <xf numFmtId="4" fontId="2" fillId="0" borderId="2" xfId="0" applyNumberFormat="1" applyFont="1" applyFill="1" applyBorder="1" applyAlignment="1">
      <alignment horizontal="center" vertical="center" wrapText="1"/>
    </xf>
    <xf numFmtId="43" fontId="9" fillId="0" borderId="2" xfId="1" applyNumberFormat="1" applyFont="1" applyFill="1" applyBorder="1" applyAlignment="1">
      <alignment horizontal="center" vertical="center" wrapText="1"/>
      <protection locked="0"/>
    </xf>
    <xf numFmtId="43" fontId="11" fillId="0" borderId="2" xfId="1" applyFont="1" applyFill="1" applyBorder="1" applyAlignment="1">
      <alignment horizontal="center" vertical="center" wrapText="1"/>
      <protection locked="0"/>
    </xf>
    <xf numFmtId="43" fontId="9" fillId="0" borderId="2" xfId="1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49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9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13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43" fontId="14" fillId="0" borderId="2" xfId="1" applyFont="1" applyFill="1" applyBorder="1" applyAlignment="1">
      <alignment horizontal="center" vertical="center" wrapText="1" shrinkToFit="1"/>
      <protection locked="0"/>
    </xf>
    <xf numFmtId="43" fontId="14" fillId="0" borderId="2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43" fontId="9" fillId="0" borderId="2" xfId="1" applyFont="1" applyFill="1" applyBorder="1" applyAlignment="1">
      <alignment vertical="center" wrapText="1"/>
      <protection locked="0"/>
    </xf>
    <xf numFmtId="4" fontId="3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176" fontId="15" fillId="0" borderId="2" xfId="0" applyNumberFormat="1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 wrapText="1"/>
    </xf>
    <xf numFmtId="0" fontId="16" fillId="0" borderId="13" xfId="0" applyNumberFormat="1" applyFont="1" applyFill="1" applyBorder="1" applyAlignment="1">
      <alignment horizontal="center" vertical="center" wrapText="1"/>
    </xf>
    <xf numFmtId="0" fontId="16" fillId="0" borderId="13" xfId="0" applyNumberFormat="1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17" fillId="0" borderId="2" xfId="0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5" fillId="6" borderId="2" xfId="50" applyNumberFormat="1" applyFont="1" applyFill="1" applyBorder="1" applyAlignment="1" applyProtection="1">
      <alignment horizontal="center" vertical="center" wrapText="1"/>
    </xf>
    <xf numFmtId="177" fontId="5" fillId="6" borderId="2" xfId="50" applyNumberFormat="1" applyFont="1" applyFill="1" applyBorder="1" applyAlignment="1" applyProtection="1">
      <alignment horizontal="center" vertical="center" wrapText="1"/>
    </xf>
    <xf numFmtId="177" fontId="5" fillId="6" borderId="3" xfId="50" applyNumberFormat="1" applyFont="1" applyFill="1" applyBorder="1" applyAlignment="1" applyProtection="1">
      <alignment horizontal="center" vertical="center" wrapText="1"/>
    </xf>
    <xf numFmtId="177" fontId="5" fillId="6" borderId="13" xfId="50" applyNumberFormat="1" applyFont="1" applyFill="1" applyBorder="1" applyAlignment="1" applyProtection="1">
      <alignment horizontal="center" vertical="center" wrapText="1"/>
    </xf>
    <xf numFmtId="178" fontId="18" fillId="6" borderId="2" xfId="0" applyNumberFormat="1" applyFont="1" applyFill="1" applyBorder="1" applyAlignment="1">
      <alignment horizontal="center" vertical="center" wrapText="1"/>
    </xf>
    <xf numFmtId="43" fontId="13" fillId="0" borderId="2" xfId="1" applyFont="1" applyFill="1" applyBorder="1" applyAlignment="1">
      <alignment horizontal="center" vertical="center" wrapText="1" shrinkToFit="1"/>
      <protection locked="0"/>
    </xf>
    <xf numFmtId="0" fontId="2" fillId="0" borderId="2" xfId="0" applyFont="1" applyFill="1" applyBorder="1" applyAlignment="1">
      <alignment horizontal="center" vertical="center"/>
    </xf>
    <xf numFmtId="177" fontId="5" fillId="6" borderId="4" xfId="50" applyNumberFormat="1" applyFont="1" applyFill="1" applyBorder="1" applyAlignment="1" applyProtection="1">
      <alignment horizontal="center" vertical="center" wrapText="1"/>
    </xf>
    <xf numFmtId="177" fontId="5" fillId="6" borderId="5" xfId="50" applyNumberFormat="1" applyFont="1" applyFill="1" applyBorder="1" applyAlignment="1" applyProtection="1">
      <alignment horizontal="center" vertical="center" wrapText="1"/>
    </xf>
    <xf numFmtId="43" fontId="9" fillId="0" borderId="2" xfId="1" applyFont="1" applyFill="1" applyBorder="1" applyAlignment="1">
      <alignment horizontal="right" vertical="center" wrapText="1"/>
      <protection locked="0"/>
    </xf>
    <xf numFmtId="3" fontId="3" fillId="0" borderId="2" xfId="0" applyNumberFormat="1" applyFont="1" applyFill="1" applyBorder="1" applyAlignment="1">
      <alignment horizontal="right" vertical="center"/>
    </xf>
    <xf numFmtId="4" fontId="19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43" fontId="9" fillId="0" borderId="2" xfId="1" applyFont="1" applyFill="1" applyBorder="1" applyAlignment="1" applyProtection="1">
      <alignment horizontal="right" vertical="center" wrapText="1"/>
    </xf>
    <xf numFmtId="4" fontId="10" fillId="0" borderId="2" xfId="0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43" fontId="14" fillId="7" borderId="2" xfId="0" applyNumberFormat="1" applyFont="1" applyFill="1" applyBorder="1" applyAlignment="1">
      <alignment horizontal="center" vertical="center" wrapText="1"/>
    </xf>
    <xf numFmtId="177" fontId="20" fillId="0" borderId="2" xfId="0" applyNumberFormat="1" applyFont="1" applyFill="1" applyBorder="1" applyAlignment="1">
      <alignment horizontal="center" vertical="center" wrapText="1"/>
    </xf>
    <xf numFmtId="4" fontId="0" fillId="0" borderId="2" xfId="0" applyNumberFormat="1" applyFill="1" applyBorder="1">
      <alignment vertical="center"/>
    </xf>
    <xf numFmtId="0" fontId="21" fillId="0" borderId="2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 wrapText="1"/>
    </xf>
    <xf numFmtId="0" fontId="16" fillId="0" borderId="14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  <cellStyle name="常规 150" xfId="51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4002662037" refreshedBy="刘柯2[E3]" recordCount="97">
  <cacheSource type="worksheet">
    <worksheetSource ref="A1:A1048576" sheet="Sheet1"/>
  </cacheSource>
  <cacheFields count="1">
    <cacheField name="编号" numFmtId="0">
      <sharedItems containsBlank="1" containsNumber="1" containsInteger="1" containsMixedTypes="1" count="90">
        <s v="C2000010001100004011002025006"/>
        <s v="C2000010001100004011002025019"/>
        <s v="CRCHI-GZ-2025-002"/>
        <s v="T11CG-HZ18HX13-2025-ZL-001"/>
        <s v="T11CG-HZ18HX13-2025-ZL-002"/>
        <s v="CRCHI-WXGZ-2024-004"/>
        <s v="CRCHI-TD-2020-017（作废合同编号：CRCHI-CJ-2019-008）"/>
        <s v="CR122-SBB-2024-014-MM014"/>
        <s v="CR122-SBB-2025-006-MM006"/>
        <s v="温福1标三分部设备购置205-001"/>
        <s v="ZT12-4HZDT12-02"/>
        <s v="ZT12-4HZDT12-01"/>
        <s v="ZT12-CGJXZQ8-001、002、003、006、007、008"/>
        <s v="ZT12-CGJXZQ8-004、005、009"/>
        <s v="CG0803-DJ-001"/>
        <s v="CRCC1207-SHDTCM-2023-003（变更前CRCC1207-SHDTCM-2023-002）（CRCCFL-1-JY-2024-105-02）"/>
        <s v="DQJHF04-SDDJCG-202501-维修-001"/>
        <s v="CGJX10-2-JXSBCG-2026-07"/>
        <s v="DQJHF04-SDDJCG-202501（温福）"/>
        <s v="1402-SW-25021"/>
        <s v="ZTSSJ-SDGS-SB-2025-1211"/>
        <s v="ZTSSJ-SDGS-SB-2025-1211-补1"/>
        <s v="QTHT-D-SHJCX2-00077"/>
        <s v="CRCC1417-DGJZZZ-DZ666-2026-01"/>
        <s v="1412-SHHL-SBZL-2025-001"/>
        <s v="CR15G2C-SBCG-2024-11"/>
        <s v="CR15G2C-SBCG-2024-16"/>
        <s v="CR15-HZJCGT4-JD-202301-(1F)"/>
        <s v="CR15-HZJCGT4-JD-202308-(1F)"/>
        <s v="CR15G2C-TL（房建、市政）彭泽廊道项目-SBCG-2025-001"/>
        <s v="GR15G2C-GL-YLQ2B-SBGZ-2024-001"/>
        <s v="CRCC-16J-JMWZ-2024-008"/>
        <s v="CRCC-16J-HZNP-202406-12"/>
        <s v="ZT16J-HZDTSG15-13-DGJWXGZ-02"/>
        <s v="ZT16J-HZDTSG15-13-DGJWXGZ-01"/>
        <s v="ZT163HSB-SBCG-20251113"/>
        <s v="11-SHB-2024-城西南排-11-001"/>
        <s v="11-SHB-2024-镜岭水库5标-11-002"/>
        <s v="11-SHB-2025-隧道公司-11-010"/>
        <s v="12-SHBZ-2024-杭州地铁1032-12-002"/>
        <s v="11-QT-2026-装备中心-11-001、11-SHB-2026-装备中心-11-002"/>
        <s v="11-QT-2024-流源水库-0-006"/>
        <s v="CRCHI-GZ-2024-011"/>
        <s v="0-SHB-2025-嘉善至西塘市域铁路-0-001"/>
        <s v="SBHT-09-HZ08-2019-016"/>
        <s v="HT19-SBWX-2025-0017-00"/>
        <s v="CR2005-长赣物设-SC-25-003"/>
        <s v="ZT2003CGWS20250004"/>
        <s v="CR2006-港后-SC-25-010"/>
        <s v="CR2005-长赣物设-SC-25-007"/>
        <s v="CR2003-CGWS-SB-25-003"/>
        <s v="CRCHI-TD-2020-003"/>
        <s v="CR22GD-GD-TZSYTL-SBWX-2025-002"/>
        <s v="SHDZ-2025-DZ-001"/>
        <s v="CR24FJ-SBCG-2026-01、CR24FJ-SBCG-2026-02"/>
        <s v="GDGSDG-QT-2025-001（DZ609）"/>
        <s v="GDGSDG-QT-2025-001（DZ213）"/>
        <s v="局合专6（2024）-052号"/>
        <s v="GH-02-SBHT-202501-03"/>
        <s v="GH-02-SBHT-202505-008"/>
        <s v="GH-温福高铁-SBCG-20251217-001"/>
        <s v="CR22TR-SBZLCG-HW-2025-001"/>
        <s v="SY-ZY-2022-097"/>
        <s v="107003021【2017】55SZ83-07"/>
        <s v="SFEG（2023）二工162-D002"/>
        <s v="SFEG(2024)五工-F017"/>
        <s v="SFEG（2024）设材-F001"/>
        <s v="SFEG（2025）五工-F006"/>
        <s v="SFEG(2025)五工-F029"/>
        <s v="SFEG(2025)五工-F027"/>
        <s v="D23-137F-S00-087"/>
        <s v="CRCHI-XS-2021-028"/>
        <s v="D23-141F-J01-009"/>
        <s v="D24-022F-T00-005"/>
        <s v="D23-207F-S00-132"/>
        <s v="D24-095F-S00-053"/>
        <s v="D24-105F-T00-024"/>
        <n v="25082024"/>
        <n v="25082075"/>
        <s v="CGGC2GS-SB-TBMYYZX-2024-001"/>
        <s v="ZCB-BHKX3-04-JX-03-2021"/>
        <s v="WCGF-DZ619/DZ621-04-WXLTGZ"/>
        <s v="WCGF-DZ620-04-WXLT"/>
        <s v="CRCHI-GZ-2023-001、2024-ZLPS-000088"/>
        <s v="（2025-ZLPS-000088）-号"/>
        <s v="FJYZJX2024-001"/>
        <s v="HXHT-JSCBB-I-2024-0082"/>
        <s v="HXHT-ZBJC-I-2025-0087"/>
        <s v="MLCX�HT-WZ2025-00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1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2"/>
  </r>
  <r>
    <x v="63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3"/>
  </r>
  <r>
    <x v="74"/>
  </r>
  <r>
    <x v="75"/>
  </r>
  <r>
    <x v="76"/>
  </r>
  <r>
    <x v="76"/>
  </r>
  <r>
    <x v="77"/>
  </r>
  <r>
    <x v="78"/>
  </r>
  <r>
    <x v="79"/>
  </r>
  <r>
    <x v="80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94" firstHeaderRow="1" firstDataRow="1" firstDataCol="1"/>
  <pivotFields count="1">
    <pivotField axis="axisRow" compact="0" showAll="0">
      <items count="91">
        <item x="77"/>
        <item x="78"/>
        <item x="84"/>
        <item x="43"/>
        <item x="63"/>
        <item x="41"/>
        <item x="40"/>
        <item x="36"/>
        <item x="37"/>
        <item x="38"/>
        <item x="39"/>
        <item x="19"/>
        <item x="24"/>
        <item x="0"/>
        <item x="1"/>
        <item x="14"/>
        <item x="79"/>
        <item x="17"/>
        <item x="7"/>
        <item x="8"/>
        <item x="25"/>
        <item x="26"/>
        <item x="29"/>
        <item x="27"/>
        <item x="28"/>
        <item x="50"/>
        <item x="46"/>
        <item x="49"/>
        <item x="48"/>
        <item x="52"/>
        <item x="61"/>
        <item x="54"/>
        <item x="15"/>
        <item x="23"/>
        <item x="32"/>
        <item x="31"/>
        <item x="83"/>
        <item x="42"/>
        <item x="2"/>
        <item x="51"/>
        <item x="6"/>
        <item x="5"/>
        <item x="71"/>
        <item x="70"/>
        <item x="72"/>
        <item x="74"/>
        <item x="73"/>
        <item x="75"/>
        <item x="76"/>
        <item x="18"/>
        <item x="16"/>
        <item x="85"/>
        <item x="56"/>
        <item x="55"/>
        <item x="58"/>
        <item x="59"/>
        <item x="60"/>
        <item x="30"/>
        <item x="45"/>
        <item x="86"/>
        <item x="87"/>
        <item x="88"/>
        <item x="22"/>
        <item x="44"/>
        <item x="64"/>
        <item x="66"/>
        <item x="65"/>
        <item x="67"/>
        <item x="69"/>
        <item x="68"/>
        <item x="53"/>
        <item x="62"/>
        <item x="3"/>
        <item x="4"/>
        <item x="81"/>
        <item x="82"/>
        <item x="80"/>
        <item x="11"/>
        <item x="10"/>
        <item x="12"/>
        <item x="13"/>
        <item x="35"/>
        <item x="34"/>
        <item x="33"/>
        <item x="47"/>
        <item x="20"/>
        <item x="21"/>
        <item x="57"/>
        <item x="9"/>
        <item x="89"/>
        <item t="default"/>
      </items>
    </pivotField>
  </pivotFields>
  <rowFields count="1">
    <field x="0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187"/>
  <sheetViews>
    <sheetView tabSelected="1" zoomScale="40" zoomScaleNormal="40" workbookViewId="0">
      <pane xSplit="9" ySplit="3" topLeftCell="J96" activePane="bottomRight" state="frozen"/>
      <selection/>
      <selection pane="topRight"/>
      <selection pane="bottomLeft"/>
      <selection pane="bottomRight" activeCell="I106" sqref="I106"/>
    </sheetView>
  </sheetViews>
  <sheetFormatPr defaultColWidth="9" defaultRowHeight="14"/>
  <cols>
    <col min="1" max="1" width="12.1181818181818" style="8" customWidth="1"/>
    <col min="2" max="2" width="17.8454545454545" customWidth="1"/>
    <col min="3" max="3" width="17.8454545454545" style="9" customWidth="1"/>
    <col min="4" max="4" width="14.9090909090909" customWidth="1"/>
    <col min="5" max="5" width="17.8454545454545" style="9" customWidth="1"/>
    <col min="6" max="7" width="17.8454545454545" customWidth="1"/>
    <col min="8" max="8" width="15.6909090909091" customWidth="1"/>
    <col min="9" max="9" width="14.6727272727273" customWidth="1"/>
    <col min="10" max="11" width="17.8454545454545" customWidth="1"/>
    <col min="12" max="12" width="18.8363636363636" customWidth="1"/>
    <col min="13" max="13" width="20" style="7" customWidth="1"/>
    <col min="14" max="14" width="20" style="10" customWidth="1"/>
    <col min="15" max="23" width="17.8454545454545" style="81" customWidth="1"/>
    <col min="24" max="31" width="17.8454545454545" style="7" customWidth="1"/>
    <col min="34" max="34" width="9" hidden="1" customWidth="1"/>
  </cols>
  <sheetData>
    <row r="1" customFormat="1" ht="37" customHeight="1" spans="1:34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9" t="s">
        <v>11</v>
      </c>
      <c r="M1" s="90"/>
      <c r="N1" s="90"/>
      <c r="O1" s="83" t="s">
        <v>12</v>
      </c>
      <c r="P1" s="83"/>
      <c r="Q1" s="83"/>
      <c r="R1" s="83" t="s">
        <v>13</v>
      </c>
      <c r="S1" s="83" t="s">
        <v>14</v>
      </c>
      <c r="T1" s="83" t="s">
        <v>15</v>
      </c>
      <c r="U1" s="83"/>
      <c r="V1" s="83"/>
      <c r="W1" s="83"/>
      <c r="X1" s="83"/>
      <c r="Y1" s="83"/>
      <c r="Z1" s="83"/>
      <c r="AA1" s="83"/>
      <c r="AB1" s="83"/>
      <c r="AC1" s="83" t="s">
        <v>16</v>
      </c>
      <c r="AD1" s="83" t="s">
        <v>17</v>
      </c>
      <c r="AE1" s="83" t="s">
        <v>18</v>
      </c>
      <c r="AH1" s="10" t="s">
        <v>19</v>
      </c>
    </row>
    <row r="2" s="1" customFormat="1" ht="37" customHeight="1" spans="1:34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 t="s">
        <v>20</v>
      </c>
      <c r="M2" s="83" t="s">
        <v>21</v>
      </c>
      <c r="N2" s="83"/>
      <c r="O2" s="84" t="s">
        <v>12</v>
      </c>
      <c r="P2" s="84" t="s">
        <v>22</v>
      </c>
      <c r="Q2" s="84" t="s">
        <v>23</v>
      </c>
      <c r="R2" s="83"/>
      <c r="S2" s="83"/>
      <c r="T2" s="83" t="s">
        <v>24</v>
      </c>
      <c r="U2" s="83" t="s">
        <v>25</v>
      </c>
      <c r="V2" s="83" t="s">
        <v>26</v>
      </c>
      <c r="W2" s="83" t="s">
        <v>27</v>
      </c>
      <c r="X2" s="83" t="s">
        <v>28</v>
      </c>
      <c r="Y2" s="83"/>
      <c r="Z2" s="83"/>
      <c r="AA2" s="83"/>
      <c r="AB2" s="83"/>
      <c r="AC2" s="83"/>
      <c r="AD2" s="83"/>
      <c r="AE2" s="83"/>
      <c r="AH2" s="10"/>
    </row>
    <row r="3" s="1" customFormat="1" ht="102" customHeight="1" spans="1:34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 t="s">
        <v>29</v>
      </c>
      <c r="N3" s="83" t="s">
        <v>30</v>
      </c>
      <c r="O3" s="85"/>
      <c r="P3" s="85"/>
      <c r="Q3" s="85"/>
      <c r="R3" s="83"/>
      <c r="S3" s="83"/>
      <c r="T3" s="83"/>
      <c r="U3" s="83"/>
      <c r="V3" s="83"/>
      <c r="W3" s="83"/>
      <c r="X3" s="86" t="s">
        <v>31</v>
      </c>
      <c r="Y3" s="86" t="s">
        <v>32</v>
      </c>
      <c r="Z3" s="86" t="s">
        <v>33</v>
      </c>
      <c r="AA3" s="86" t="s">
        <v>34</v>
      </c>
      <c r="AB3" s="86" t="s">
        <v>35</v>
      </c>
      <c r="AC3" s="83"/>
      <c r="AD3" s="83"/>
      <c r="AE3" s="83"/>
      <c r="AH3" s="10"/>
    </row>
    <row r="4" s="2" customFormat="1" ht="82" customHeight="1" spans="1:34">
      <c r="A4" s="27">
        <v>1</v>
      </c>
      <c r="B4" s="27" t="s">
        <v>36</v>
      </c>
      <c r="C4" s="30" t="s">
        <v>37</v>
      </c>
      <c r="D4" s="29" t="s">
        <v>38</v>
      </c>
      <c r="E4" s="29" t="s">
        <v>39</v>
      </c>
      <c r="F4" s="30" t="s">
        <v>40</v>
      </c>
      <c r="G4" s="87"/>
      <c r="H4" s="30" t="s">
        <v>41</v>
      </c>
      <c r="I4" s="30" t="s">
        <v>42</v>
      </c>
      <c r="J4" s="31">
        <v>10380000</v>
      </c>
      <c r="K4" s="32">
        <v>0.7</v>
      </c>
      <c r="L4" s="31">
        <v>7899999.9972</v>
      </c>
      <c r="M4" s="31">
        <f t="shared" ref="M4:M9" si="0">J4-L4</f>
        <v>2480000.0028</v>
      </c>
      <c r="N4" s="31">
        <f t="shared" ref="N4:N9" si="1">M4*K4</f>
        <v>1736000.00196</v>
      </c>
      <c r="O4" s="54"/>
      <c r="P4" s="54">
        <f t="shared" ref="P4:P26" si="2">O4-(L4-AH4)</f>
        <v>0</v>
      </c>
      <c r="Q4" s="54">
        <f t="shared" ref="Q4:Q20" si="3">P4*K4</f>
        <v>0</v>
      </c>
      <c r="R4" s="54">
        <v>7854000</v>
      </c>
      <c r="S4" s="31">
        <v>4000000</v>
      </c>
      <c r="T4" s="31">
        <v>3854000</v>
      </c>
      <c r="U4" s="31"/>
      <c r="V4" s="34">
        <f t="shared" ref="V4:V9" si="4">R4-S4</f>
        <v>3854000</v>
      </c>
      <c r="W4" s="88">
        <f t="shared" ref="W4:W20" si="5">V4-SUM(X4:AB4)</f>
        <v>0</v>
      </c>
      <c r="X4" s="34"/>
      <c r="Y4" s="34">
        <v>0</v>
      </c>
      <c r="Z4" s="34">
        <v>3854000</v>
      </c>
      <c r="AA4" s="34"/>
      <c r="AB4" s="34"/>
      <c r="AC4" s="34">
        <f>IF(L4-S4&gt;=0,L4-S4,0)</f>
        <v>3899999.9972</v>
      </c>
      <c r="AD4" s="34">
        <f t="shared" ref="AD4:AD20" si="6">IF(J4-R4&gt;=0,J4-R4,0)</f>
        <v>2526000</v>
      </c>
      <c r="AE4" s="34">
        <f t="shared" ref="AE4:AE9" si="7">J4-S4</f>
        <v>6380000</v>
      </c>
      <c r="AH4" s="2">
        <v>7899999.9972</v>
      </c>
    </row>
    <row r="5" s="2" customFormat="1" ht="82" customHeight="1" spans="1:34">
      <c r="A5" s="27">
        <v>2</v>
      </c>
      <c r="B5" s="27" t="s">
        <v>36</v>
      </c>
      <c r="C5" s="30" t="s">
        <v>43</v>
      </c>
      <c r="D5" s="29"/>
      <c r="E5" s="29" t="s">
        <v>39</v>
      </c>
      <c r="F5" s="30" t="s">
        <v>44</v>
      </c>
      <c r="G5" s="87"/>
      <c r="H5" s="30" t="s">
        <v>45</v>
      </c>
      <c r="I5" s="30" t="s">
        <v>46</v>
      </c>
      <c r="J5" s="31">
        <v>3500000</v>
      </c>
      <c r="K5" s="32">
        <v>0.7</v>
      </c>
      <c r="L5" s="31"/>
      <c r="M5" s="31">
        <f t="shared" si="0"/>
        <v>3500000</v>
      </c>
      <c r="N5" s="31">
        <f t="shared" si="1"/>
        <v>2450000</v>
      </c>
      <c r="O5" s="31">
        <v>3500000</v>
      </c>
      <c r="P5" s="54">
        <f t="shared" si="2"/>
        <v>3500000</v>
      </c>
      <c r="Q5" s="54">
        <f t="shared" si="3"/>
        <v>2450000</v>
      </c>
      <c r="R5" s="31">
        <v>1050000</v>
      </c>
      <c r="S5" s="31">
        <v>0</v>
      </c>
      <c r="T5" s="31">
        <v>0</v>
      </c>
      <c r="U5" s="31">
        <v>1050000</v>
      </c>
      <c r="V5" s="34">
        <f t="shared" si="4"/>
        <v>1050000</v>
      </c>
      <c r="W5" s="88">
        <f t="shared" si="5"/>
        <v>0</v>
      </c>
      <c r="X5" s="34">
        <v>1050000</v>
      </c>
      <c r="Y5" s="34"/>
      <c r="Z5" s="34"/>
      <c r="AA5" s="34"/>
      <c r="AB5" s="34"/>
      <c r="AC5" s="34">
        <f>IF(L5-S5&gt;=0,L5-S5,0)</f>
        <v>0</v>
      </c>
      <c r="AD5" s="34">
        <f t="shared" si="6"/>
        <v>2450000</v>
      </c>
      <c r="AE5" s="34">
        <f t="shared" si="7"/>
        <v>3500000</v>
      </c>
    </row>
    <row r="6" s="2" customFormat="1" ht="82" customHeight="1" spans="1:34">
      <c r="A6" s="27">
        <v>3</v>
      </c>
      <c r="B6" s="27" t="s">
        <v>47</v>
      </c>
      <c r="C6" s="30" t="s">
        <v>48</v>
      </c>
      <c r="D6" s="29"/>
      <c r="E6" s="29" t="s">
        <v>49</v>
      </c>
      <c r="F6" s="30" t="s">
        <v>50</v>
      </c>
      <c r="G6" s="87"/>
      <c r="H6" s="30" t="s">
        <v>51</v>
      </c>
      <c r="I6" s="30" t="s">
        <v>46</v>
      </c>
      <c r="J6" s="31">
        <v>25386350</v>
      </c>
      <c r="K6" s="32">
        <v>0.7</v>
      </c>
      <c r="L6" s="31">
        <v>9226349.995</v>
      </c>
      <c r="M6" s="31">
        <f t="shared" si="0"/>
        <v>16160000.005</v>
      </c>
      <c r="N6" s="31">
        <f t="shared" si="1"/>
        <v>11312000.0035</v>
      </c>
      <c r="O6" s="31">
        <v>16742750.0044</v>
      </c>
      <c r="P6" s="54">
        <f t="shared" si="2"/>
        <v>10773650.005</v>
      </c>
      <c r="Q6" s="54">
        <f t="shared" si="3"/>
        <v>7541555.0035</v>
      </c>
      <c r="R6" s="31">
        <v>4000000</v>
      </c>
      <c r="S6" s="31">
        <v>4000000</v>
      </c>
      <c r="T6" s="31">
        <v>0</v>
      </c>
      <c r="U6" s="31"/>
      <c r="V6" s="34">
        <f t="shared" si="4"/>
        <v>0</v>
      </c>
      <c r="W6" s="88">
        <f t="shared" si="5"/>
        <v>0</v>
      </c>
      <c r="X6" s="34"/>
      <c r="Y6" s="34"/>
      <c r="Z6" s="34"/>
      <c r="AA6" s="34"/>
      <c r="AB6" s="34"/>
      <c r="AC6" s="34">
        <f t="shared" ref="AC6:AC20" si="8">IF(L6-S6&gt;=0,L6-S6,0)</f>
        <v>5226349.995</v>
      </c>
      <c r="AD6" s="34">
        <f t="shared" si="6"/>
        <v>21386350</v>
      </c>
      <c r="AE6" s="34">
        <f t="shared" si="7"/>
        <v>21386350</v>
      </c>
      <c r="AH6" s="2">
        <v>3257249.9956</v>
      </c>
    </row>
    <row r="7" s="2" customFormat="1" ht="82" customHeight="1" spans="1:34">
      <c r="A7" s="27">
        <v>4</v>
      </c>
      <c r="B7" s="27" t="s">
        <v>47</v>
      </c>
      <c r="C7" s="30" t="s">
        <v>52</v>
      </c>
      <c r="D7" s="29"/>
      <c r="E7" s="29" t="s">
        <v>49</v>
      </c>
      <c r="F7" s="30" t="s">
        <v>53</v>
      </c>
      <c r="G7" s="87"/>
      <c r="H7" s="30" t="s">
        <v>51</v>
      </c>
      <c r="I7" s="30" t="s">
        <v>46</v>
      </c>
      <c r="J7" s="54">
        <v>8276950</v>
      </c>
      <c r="K7" s="32">
        <v>0.7</v>
      </c>
      <c r="L7" s="31">
        <v>3136049.9924</v>
      </c>
      <c r="M7" s="31">
        <f t="shared" si="0"/>
        <v>5140900.0076</v>
      </c>
      <c r="N7" s="31">
        <f t="shared" si="1"/>
        <v>3598630.00532</v>
      </c>
      <c r="O7" s="31">
        <v>8276950</v>
      </c>
      <c r="P7" s="54">
        <f t="shared" si="2"/>
        <v>5140900.0076</v>
      </c>
      <c r="Q7" s="54">
        <f t="shared" si="3"/>
        <v>3598630.00532</v>
      </c>
      <c r="R7" s="31">
        <v>5240244</v>
      </c>
      <c r="S7" s="31">
        <v>4000000</v>
      </c>
      <c r="T7" s="31">
        <v>0</v>
      </c>
      <c r="U7" s="31">
        <v>1240244</v>
      </c>
      <c r="V7" s="34">
        <f t="shared" si="4"/>
        <v>1240244</v>
      </c>
      <c r="W7" s="88">
        <f t="shared" si="5"/>
        <v>0</v>
      </c>
      <c r="X7" s="34">
        <v>1240244</v>
      </c>
      <c r="Y7" s="34"/>
      <c r="Z7" s="34"/>
      <c r="AA7" s="34"/>
      <c r="AB7" s="34"/>
      <c r="AC7" s="34">
        <f t="shared" si="8"/>
        <v>0</v>
      </c>
      <c r="AD7" s="34">
        <f t="shared" si="6"/>
        <v>3036706</v>
      </c>
      <c r="AE7" s="34">
        <f t="shared" si="7"/>
        <v>4276950</v>
      </c>
      <c r="AH7" s="2">
        <v>0</v>
      </c>
    </row>
    <row r="8" s="2" customFormat="1" ht="82" customHeight="1" spans="1:34">
      <c r="A8" s="27">
        <v>5</v>
      </c>
      <c r="B8" s="27" t="s">
        <v>47</v>
      </c>
      <c r="C8" s="30" t="s">
        <v>52</v>
      </c>
      <c r="D8" s="29"/>
      <c r="E8" s="29" t="s">
        <v>49</v>
      </c>
      <c r="F8" s="30" t="s">
        <v>54</v>
      </c>
      <c r="G8" s="87"/>
      <c r="H8" s="30" t="s">
        <v>51</v>
      </c>
      <c r="I8" s="30" t="s">
        <v>46</v>
      </c>
      <c r="J8" s="31">
        <v>9999000</v>
      </c>
      <c r="K8" s="32">
        <v>0.7</v>
      </c>
      <c r="L8" s="31"/>
      <c r="M8" s="31">
        <f t="shared" si="0"/>
        <v>9999000</v>
      </c>
      <c r="N8" s="31">
        <f t="shared" si="1"/>
        <v>6999300</v>
      </c>
      <c r="O8" s="31">
        <f>10000000-O7</f>
        <v>1723050</v>
      </c>
      <c r="P8" s="54">
        <f t="shared" si="2"/>
        <v>1723050</v>
      </c>
      <c r="Q8" s="54">
        <f t="shared" si="3"/>
        <v>1206135</v>
      </c>
      <c r="R8" s="31">
        <v>2000000</v>
      </c>
      <c r="S8" s="31">
        <v>2000000</v>
      </c>
      <c r="T8" s="31"/>
      <c r="U8" s="31"/>
      <c r="V8" s="34">
        <f t="shared" si="4"/>
        <v>0</v>
      </c>
      <c r="W8" s="88">
        <f t="shared" si="5"/>
        <v>0</v>
      </c>
      <c r="X8" s="34"/>
      <c r="Y8" s="34"/>
      <c r="Z8" s="34"/>
      <c r="AA8" s="34"/>
      <c r="AB8" s="34"/>
      <c r="AC8" s="34">
        <f t="shared" si="8"/>
        <v>0</v>
      </c>
      <c r="AD8" s="34">
        <f t="shared" si="6"/>
        <v>7999000</v>
      </c>
      <c r="AE8" s="34">
        <f t="shared" si="7"/>
        <v>7999000</v>
      </c>
    </row>
    <row r="9" s="2" customFormat="1" ht="82" customHeight="1" spans="1:34">
      <c r="A9" s="27">
        <v>6</v>
      </c>
      <c r="B9" s="27" t="s">
        <v>47</v>
      </c>
      <c r="C9" s="30" t="s">
        <v>55</v>
      </c>
      <c r="D9" s="29"/>
      <c r="E9" s="29" t="s">
        <v>56</v>
      </c>
      <c r="F9" s="30" t="s">
        <v>57</v>
      </c>
      <c r="G9" s="87" t="s">
        <v>58</v>
      </c>
      <c r="H9" s="30" t="s">
        <v>59</v>
      </c>
      <c r="I9" s="30" t="s">
        <v>60</v>
      </c>
      <c r="J9" s="31">
        <v>5392000</v>
      </c>
      <c r="K9" s="32">
        <v>0.7</v>
      </c>
      <c r="L9" s="31">
        <v>5392000</v>
      </c>
      <c r="M9" s="31">
        <f t="shared" si="0"/>
        <v>0</v>
      </c>
      <c r="N9" s="31">
        <f t="shared" si="1"/>
        <v>0</v>
      </c>
      <c r="O9" s="31"/>
      <c r="P9" s="54">
        <f t="shared" si="2"/>
        <v>0</v>
      </c>
      <c r="Q9" s="54">
        <f t="shared" si="3"/>
        <v>0</v>
      </c>
      <c r="R9" s="31">
        <v>5122400</v>
      </c>
      <c r="S9" s="31">
        <v>5122400</v>
      </c>
      <c r="T9" s="31">
        <v>0</v>
      </c>
      <c r="U9" s="31">
        <v>0</v>
      </c>
      <c r="V9" s="34">
        <f t="shared" si="4"/>
        <v>0</v>
      </c>
      <c r="W9" s="88">
        <f t="shared" si="5"/>
        <v>0</v>
      </c>
      <c r="X9" s="34"/>
      <c r="Y9" s="34"/>
      <c r="Z9" s="34"/>
      <c r="AA9" s="34"/>
      <c r="AB9" s="34"/>
      <c r="AC9" s="34">
        <f t="shared" si="8"/>
        <v>269600</v>
      </c>
      <c r="AD9" s="34">
        <f t="shared" si="6"/>
        <v>269600</v>
      </c>
      <c r="AE9" s="34">
        <f t="shared" si="7"/>
        <v>269600</v>
      </c>
      <c r="AH9" s="2">
        <v>5392000</v>
      </c>
    </row>
    <row r="10" s="2" customFormat="1" ht="82" customHeight="1" spans="1:34">
      <c r="A10" s="27">
        <v>7</v>
      </c>
      <c r="B10" s="27" t="s">
        <v>47</v>
      </c>
      <c r="C10" s="30" t="s">
        <v>61</v>
      </c>
      <c r="D10" s="43" t="s">
        <v>62</v>
      </c>
      <c r="E10" s="29" t="s">
        <v>63</v>
      </c>
      <c r="F10" s="30" t="s">
        <v>64</v>
      </c>
      <c r="G10" s="29" t="s">
        <v>65</v>
      </c>
      <c r="H10" s="30" t="s">
        <v>51</v>
      </c>
      <c r="I10" s="30" t="s">
        <v>46</v>
      </c>
      <c r="J10" s="31">
        <v>20198400</v>
      </c>
      <c r="K10" s="32">
        <v>0.7</v>
      </c>
      <c r="L10" s="31">
        <v>20908967.24</v>
      </c>
      <c r="M10" s="31">
        <v>0</v>
      </c>
      <c r="N10" s="31"/>
      <c r="O10" s="31"/>
      <c r="P10" s="54">
        <f t="shared" si="2"/>
        <v>0</v>
      </c>
      <c r="Q10" s="54">
        <f t="shared" si="3"/>
        <v>0</v>
      </c>
      <c r="R10" s="31">
        <v>20908967.24</v>
      </c>
      <c r="S10" s="31">
        <v>20908967.24</v>
      </c>
      <c r="T10" s="31">
        <v>0</v>
      </c>
      <c r="U10" s="31"/>
      <c r="V10" s="34">
        <f t="shared" ref="V9:V13" si="9">R10-S10</f>
        <v>0</v>
      </c>
      <c r="W10" s="88">
        <f t="shared" si="5"/>
        <v>0</v>
      </c>
      <c r="X10" s="34"/>
      <c r="Y10" s="34"/>
      <c r="Z10" s="34"/>
      <c r="AA10" s="34"/>
      <c r="AB10" s="34">
        <v>0</v>
      </c>
      <c r="AC10" s="34">
        <f t="shared" si="8"/>
        <v>0</v>
      </c>
      <c r="AD10" s="34">
        <f t="shared" si="6"/>
        <v>0</v>
      </c>
      <c r="AE10" s="34">
        <v>6500000</v>
      </c>
      <c r="AH10" s="2">
        <v>20908967.24</v>
      </c>
    </row>
    <row r="11" s="2" customFormat="1" ht="66" customHeight="1" spans="1:34">
      <c r="A11" s="27">
        <v>8</v>
      </c>
      <c r="B11" s="27" t="s">
        <v>36</v>
      </c>
      <c r="C11" s="29" t="s">
        <v>66</v>
      </c>
      <c r="D11" s="37"/>
      <c r="E11" s="29" t="s">
        <v>67</v>
      </c>
      <c r="F11" s="30" t="s">
        <v>68</v>
      </c>
      <c r="G11" s="29"/>
      <c r="H11" s="30" t="s">
        <v>69</v>
      </c>
      <c r="I11" s="30" t="s">
        <v>70</v>
      </c>
      <c r="J11" s="31">
        <v>3800000</v>
      </c>
      <c r="K11" s="32">
        <v>0.7</v>
      </c>
      <c r="L11" s="31">
        <v>3800000</v>
      </c>
      <c r="M11" s="31">
        <f t="shared" ref="M11:M27" si="10">J11-L11</f>
        <v>0</v>
      </c>
      <c r="N11" s="31"/>
      <c r="O11" s="31"/>
      <c r="P11" s="54">
        <f t="shared" si="2"/>
        <v>0</v>
      </c>
      <c r="Q11" s="54">
        <f t="shared" si="3"/>
        <v>0</v>
      </c>
      <c r="R11" s="31">
        <v>3420000</v>
      </c>
      <c r="S11" s="31">
        <v>3420000</v>
      </c>
      <c r="T11" s="31">
        <v>0</v>
      </c>
      <c r="U11" s="31">
        <v>0</v>
      </c>
      <c r="V11" s="34">
        <f t="shared" si="9"/>
        <v>0</v>
      </c>
      <c r="W11" s="88">
        <f t="shared" si="5"/>
        <v>0</v>
      </c>
      <c r="X11" s="34"/>
      <c r="Y11" s="34"/>
      <c r="Z11" s="34">
        <v>0</v>
      </c>
      <c r="AA11" s="34"/>
      <c r="AB11" s="34"/>
      <c r="AC11" s="34">
        <f t="shared" si="8"/>
        <v>380000</v>
      </c>
      <c r="AD11" s="34">
        <f t="shared" si="6"/>
        <v>380000</v>
      </c>
      <c r="AE11" s="34">
        <f t="shared" ref="AE11:AE20" si="11">J11-S11</f>
        <v>380000</v>
      </c>
      <c r="AH11" s="2">
        <v>3800000</v>
      </c>
    </row>
    <row r="12" s="2" customFormat="1" ht="66" customHeight="1" spans="1:34">
      <c r="A12" s="27">
        <v>9</v>
      </c>
      <c r="B12" s="27" t="s">
        <v>36</v>
      </c>
      <c r="C12" s="29" t="s">
        <v>71</v>
      </c>
      <c r="D12" s="37"/>
      <c r="E12" s="29" t="s">
        <v>67</v>
      </c>
      <c r="F12" s="30" t="s">
        <v>72</v>
      </c>
      <c r="G12" s="29"/>
      <c r="H12" s="30" t="s">
        <v>69</v>
      </c>
      <c r="I12" s="30" t="s">
        <v>70</v>
      </c>
      <c r="J12" s="31">
        <v>3100000</v>
      </c>
      <c r="K12" s="32">
        <v>0.6</v>
      </c>
      <c r="L12" s="31">
        <v>3100000</v>
      </c>
      <c r="M12" s="31">
        <f t="shared" si="10"/>
        <v>0</v>
      </c>
      <c r="N12" s="31"/>
      <c r="O12" s="31"/>
      <c r="P12" s="54">
        <f t="shared" si="2"/>
        <v>0</v>
      </c>
      <c r="Q12" s="54">
        <f t="shared" si="3"/>
        <v>0</v>
      </c>
      <c r="R12" s="31">
        <v>2790000</v>
      </c>
      <c r="S12" s="31">
        <v>1860000</v>
      </c>
      <c r="T12" s="31">
        <v>930000</v>
      </c>
      <c r="U12" s="31"/>
      <c r="V12" s="34">
        <f t="shared" si="9"/>
        <v>930000</v>
      </c>
      <c r="W12" s="88">
        <f t="shared" si="5"/>
        <v>0</v>
      </c>
      <c r="X12" s="34">
        <v>930000</v>
      </c>
      <c r="Y12" s="34"/>
      <c r="Z12" s="34"/>
      <c r="AA12" s="34"/>
      <c r="AB12" s="34"/>
      <c r="AC12" s="34">
        <f t="shared" si="8"/>
        <v>1240000</v>
      </c>
      <c r="AD12" s="34">
        <f t="shared" si="6"/>
        <v>310000</v>
      </c>
      <c r="AE12" s="34">
        <f t="shared" si="11"/>
        <v>1240000</v>
      </c>
      <c r="AH12" s="2">
        <v>3100000</v>
      </c>
    </row>
    <row r="13" s="2" customFormat="1" ht="66" customHeight="1" spans="1:34">
      <c r="A13" s="27">
        <v>10</v>
      </c>
      <c r="B13" s="27" t="s">
        <v>36</v>
      </c>
      <c r="C13" s="29" t="s">
        <v>73</v>
      </c>
      <c r="D13" s="37"/>
      <c r="E13" s="29" t="s">
        <v>74</v>
      </c>
      <c r="F13" s="30" t="s">
        <v>75</v>
      </c>
      <c r="G13" s="29"/>
      <c r="H13" s="30" t="s">
        <v>76</v>
      </c>
      <c r="I13" s="30" t="s">
        <v>77</v>
      </c>
      <c r="J13" s="31">
        <v>9900000</v>
      </c>
      <c r="K13" s="32">
        <v>0.7</v>
      </c>
      <c r="L13" s="31"/>
      <c r="M13" s="31">
        <f t="shared" si="10"/>
        <v>9900000</v>
      </c>
      <c r="N13" s="31">
        <f t="shared" ref="N13:N18" si="12">M13*K13</f>
        <v>6930000</v>
      </c>
      <c r="O13" s="31">
        <v>9900000</v>
      </c>
      <c r="P13" s="54">
        <f t="shared" si="2"/>
        <v>9900000</v>
      </c>
      <c r="Q13" s="54">
        <f t="shared" si="3"/>
        <v>6930000</v>
      </c>
      <c r="R13" s="31">
        <v>9405000</v>
      </c>
      <c r="S13" s="31">
        <v>0</v>
      </c>
      <c r="T13" s="31"/>
      <c r="U13" s="31">
        <v>9405000</v>
      </c>
      <c r="V13" s="34">
        <f t="shared" si="9"/>
        <v>9405000</v>
      </c>
      <c r="W13" s="88">
        <f t="shared" si="5"/>
        <v>0</v>
      </c>
      <c r="X13" s="34">
        <v>9405000</v>
      </c>
      <c r="Y13" s="34"/>
      <c r="Z13" s="34"/>
      <c r="AA13" s="34"/>
      <c r="AB13" s="34"/>
      <c r="AC13" s="34">
        <f t="shared" si="8"/>
        <v>0</v>
      </c>
      <c r="AD13" s="34">
        <f t="shared" si="6"/>
        <v>495000</v>
      </c>
      <c r="AE13" s="34">
        <f t="shared" si="11"/>
        <v>9900000</v>
      </c>
    </row>
    <row r="14" s="2" customFormat="1" ht="66" customHeight="1" spans="1:34">
      <c r="A14" s="27">
        <v>11</v>
      </c>
      <c r="B14" s="27" t="s">
        <v>47</v>
      </c>
      <c r="C14" s="29" t="s">
        <v>78</v>
      </c>
      <c r="D14" s="37"/>
      <c r="E14" s="29" t="s">
        <v>79</v>
      </c>
      <c r="F14" s="30" t="s">
        <v>80</v>
      </c>
      <c r="G14" s="30"/>
      <c r="H14" s="30" t="s">
        <v>51</v>
      </c>
      <c r="I14" s="30" t="s">
        <v>46</v>
      </c>
      <c r="J14" s="31">
        <v>10400000</v>
      </c>
      <c r="K14" s="32">
        <v>0.7</v>
      </c>
      <c r="L14" s="31">
        <v>10400000</v>
      </c>
      <c r="M14" s="31">
        <f t="shared" si="10"/>
        <v>0</v>
      </c>
      <c r="N14" s="31">
        <f t="shared" si="12"/>
        <v>0</v>
      </c>
      <c r="O14" s="31">
        <v>10400000</v>
      </c>
      <c r="P14" s="54">
        <f t="shared" si="2"/>
        <v>0</v>
      </c>
      <c r="Q14" s="54">
        <f t="shared" si="3"/>
        <v>0</v>
      </c>
      <c r="R14" s="31">
        <v>6120000</v>
      </c>
      <c r="S14" s="31">
        <v>5000000</v>
      </c>
      <c r="T14" s="31">
        <v>0</v>
      </c>
      <c r="U14" s="31">
        <v>1120000</v>
      </c>
      <c r="V14" s="34">
        <f t="shared" ref="V14:V20" si="13">R14-S14</f>
        <v>1120000</v>
      </c>
      <c r="W14" s="88">
        <f t="shared" si="5"/>
        <v>0</v>
      </c>
      <c r="X14" s="34">
        <v>1120000</v>
      </c>
      <c r="Y14" s="34"/>
      <c r="Z14" s="34"/>
      <c r="AA14" s="34"/>
      <c r="AB14" s="34"/>
      <c r="AC14" s="34">
        <f t="shared" si="8"/>
        <v>5400000</v>
      </c>
      <c r="AD14" s="34">
        <f t="shared" si="6"/>
        <v>4280000</v>
      </c>
      <c r="AE14" s="34">
        <f t="shared" si="11"/>
        <v>5400000</v>
      </c>
      <c r="AH14" s="2">
        <v>0</v>
      </c>
    </row>
    <row r="15" s="2" customFormat="1" ht="66" customHeight="1" spans="1:34">
      <c r="A15" s="27">
        <v>12</v>
      </c>
      <c r="B15" s="27" t="s">
        <v>47</v>
      </c>
      <c r="C15" s="29" t="s">
        <v>81</v>
      </c>
      <c r="D15" s="37"/>
      <c r="E15" s="29" t="s">
        <v>63</v>
      </c>
      <c r="F15" s="64" t="s">
        <v>82</v>
      </c>
      <c r="G15" s="30" t="s">
        <v>83</v>
      </c>
      <c r="H15" s="30" t="s">
        <v>51</v>
      </c>
      <c r="I15" s="30" t="s">
        <v>46</v>
      </c>
      <c r="J15" s="31">
        <v>17400000</v>
      </c>
      <c r="K15" s="32">
        <v>0.7</v>
      </c>
      <c r="L15" s="31">
        <v>17400000</v>
      </c>
      <c r="M15" s="31">
        <f t="shared" si="10"/>
        <v>0</v>
      </c>
      <c r="N15" s="31">
        <f t="shared" si="12"/>
        <v>0</v>
      </c>
      <c r="O15" s="31"/>
      <c r="P15" s="54">
        <f t="shared" si="2"/>
        <v>0</v>
      </c>
      <c r="Q15" s="54">
        <f t="shared" si="3"/>
        <v>0</v>
      </c>
      <c r="R15" s="31">
        <v>15660000</v>
      </c>
      <c r="S15" s="31">
        <v>10500000</v>
      </c>
      <c r="T15" s="31">
        <v>5160000</v>
      </c>
      <c r="U15" s="31"/>
      <c r="V15" s="34">
        <f t="shared" si="13"/>
        <v>5160000</v>
      </c>
      <c r="W15" s="88">
        <f t="shared" si="5"/>
        <v>0</v>
      </c>
      <c r="X15" s="34">
        <v>0</v>
      </c>
      <c r="Y15" s="34">
        <v>5160000</v>
      </c>
      <c r="Z15" s="34"/>
      <c r="AA15" s="34"/>
      <c r="AB15" s="34"/>
      <c r="AC15" s="34">
        <f t="shared" si="8"/>
        <v>6900000</v>
      </c>
      <c r="AD15" s="34">
        <f t="shared" si="6"/>
        <v>1740000</v>
      </c>
      <c r="AE15" s="34">
        <f t="shared" si="11"/>
        <v>6900000</v>
      </c>
      <c r="AH15" s="2">
        <v>17400000</v>
      </c>
    </row>
    <row r="16" s="2" customFormat="1" ht="66" customHeight="1" spans="1:34">
      <c r="A16" s="27">
        <v>13</v>
      </c>
      <c r="B16" s="27" t="s">
        <v>36</v>
      </c>
      <c r="C16" s="29" t="s">
        <v>84</v>
      </c>
      <c r="D16" s="37"/>
      <c r="E16" s="29" t="s">
        <v>62</v>
      </c>
      <c r="F16" s="30" t="s">
        <v>85</v>
      </c>
      <c r="G16" s="30"/>
      <c r="H16" s="30" t="s">
        <v>69</v>
      </c>
      <c r="I16" s="30"/>
      <c r="J16" s="31">
        <v>45300000</v>
      </c>
      <c r="K16" s="32">
        <v>0.5</v>
      </c>
      <c r="L16" s="31">
        <v>38469999.9968</v>
      </c>
      <c r="M16" s="31">
        <f t="shared" si="10"/>
        <v>6830000.0032</v>
      </c>
      <c r="N16" s="31">
        <f t="shared" si="12"/>
        <v>3415000.0016</v>
      </c>
      <c r="O16" s="31">
        <v>9240000</v>
      </c>
      <c r="P16" s="54">
        <f t="shared" si="2"/>
        <v>6830000.0032</v>
      </c>
      <c r="Q16" s="54">
        <f t="shared" si="3"/>
        <v>3415000.0016</v>
      </c>
      <c r="R16" s="31">
        <v>43035000</v>
      </c>
      <c r="S16" s="31">
        <v>5000000</v>
      </c>
      <c r="T16" s="31">
        <v>38035000</v>
      </c>
      <c r="U16" s="31"/>
      <c r="V16" s="34">
        <f t="shared" si="13"/>
        <v>38035000</v>
      </c>
      <c r="W16" s="88">
        <f t="shared" si="5"/>
        <v>0</v>
      </c>
      <c r="X16" s="34">
        <v>0</v>
      </c>
      <c r="Y16" s="34">
        <v>38035000</v>
      </c>
      <c r="Z16" s="34"/>
      <c r="AA16" s="34"/>
      <c r="AB16" s="34"/>
      <c r="AC16" s="34">
        <f t="shared" si="8"/>
        <v>33469999.9968</v>
      </c>
      <c r="AD16" s="34">
        <f t="shared" si="6"/>
        <v>2265000</v>
      </c>
      <c r="AE16" s="34">
        <f t="shared" si="11"/>
        <v>40300000</v>
      </c>
      <c r="AH16" s="2">
        <v>36060000</v>
      </c>
    </row>
    <row r="17" s="2" customFormat="1" ht="66" customHeight="1" spans="1:34">
      <c r="A17" s="27">
        <v>14</v>
      </c>
      <c r="B17" s="27" t="s">
        <v>36</v>
      </c>
      <c r="C17" s="29" t="s">
        <v>84</v>
      </c>
      <c r="D17" s="37"/>
      <c r="E17" s="29" t="s">
        <v>62</v>
      </c>
      <c r="F17" s="30" t="s">
        <v>86</v>
      </c>
      <c r="G17" s="30"/>
      <c r="H17" s="30" t="s">
        <v>69</v>
      </c>
      <c r="I17" s="30"/>
      <c r="J17" s="31">
        <v>21940000</v>
      </c>
      <c r="K17" s="32">
        <v>0.7</v>
      </c>
      <c r="L17" s="31">
        <f>6991150.44*1.13</f>
        <v>7899999.9972</v>
      </c>
      <c r="M17" s="31">
        <f t="shared" si="10"/>
        <v>14040000.0028</v>
      </c>
      <c r="N17" s="31">
        <f t="shared" si="12"/>
        <v>9828000.00196</v>
      </c>
      <c r="O17" s="31">
        <v>21940000</v>
      </c>
      <c r="P17" s="54">
        <f t="shared" si="2"/>
        <v>14040000.0028</v>
      </c>
      <c r="Q17" s="54">
        <f t="shared" si="3"/>
        <v>9828000.00196</v>
      </c>
      <c r="R17" s="31">
        <f>2142000+U17</f>
        <v>20843000</v>
      </c>
      <c r="S17" s="31">
        <v>0</v>
      </c>
      <c r="T17" s="31">
        <v>2142000</v>
      </c>
      <c r="U17" s="31">
        <v>18701000</v>
      </c>
      <c r="V17" s="34">
        <f t="shared" si="13"/>
        <v>20843000</v>
      </c>
      <c r="W17" s="88">
        <f t="shared" si="5"/>
        <v>0</v>
      </c>
      <c r="X17" s="34">
        <v>18701000</v>
      </c>
      <c r="Y17" s="34">
        <v>2142000</v>
      </c>
      <c r="Z17" s="34"/>
      <c r="AA17" s="34"/>
      <c r="AB17" s="34"/>
      <c r="AC17" s="34">
        <f t="shared" si="8"/>
        <v>7899999.9972</v>
      </c>
      <c r="AD17" s="34">
        <f t="shared" si="6"/>
        <v>1097000</v>
      </c>
      <c r="AE17" s="34">
        <f t="shared" si="11"/>
        <v>21940000</v>
      </c>
      <c r="AH17" s="2">
        <v>0</v>
      </c>
    </row>
    <row r="18" s="2" customFormat="1" ht="66" customHeight="1" spans="1:34">
      <c r="A18" s="27">
        <v>15</v>
      </c>
      <c r="B18" s="27" t="s">
        <v>36</v>
      </c>
      <c r="C18" s="29" t="s">
        <v>87</v>
      </c>
      <c r="D18" s="37"/>
      <c r="E18" s="29" t="s">
        <v>74</v>
      </c>
      <c r="F18" s="30" t="s">
        <v>88</v>
      </c>
      <c r="G18" s="30"/>
      <c r="H18" s="30" t="s">
        <v>69</v>
      </c>
      <c r="I18" s="30"/>
      <c r="J18" s="31">
        <v>8020000</v>
      </c>
      <c r="K18" s="32">
        <v>0.7</v>
      </c>
      <c r="L18" s="31">
        <v>8019999.9969</v>
      </c>
      <c r="M18" s="31">
        <f t="shared" si="10"/>
        <v>0.00310000032186508</v>
      </c>
      <c r="N18" s="31">
        <f t="shared" si="12"/>
        <v>0.00217000022530556</v>
      </c>
      <c r="O18" s="31">
        <v>8020000</v>
      </c>
      <c r="P18" s="54">
        <f t="shared" si="2"/>
        <v>0.00310000032186508</v>
      </c>
      <c r="Q18" s="54">
        <f t="shared" si="3"/>
        <v>0.00217000022530556</v>
      </c>
      <c r="R18" s="31">
        <v>7619000</v>
      </c>
      <c r="S18" s="31"/>
      <c r="T18" s="31"/>
      <c r="U18" s="31">
        <v>7619000</v>
      </c>
      <c r="V18" s="34">
        <f t="shared" si="13"/>
        <v>7619000</v>
      </c>
      <c r="W18" s="88">
        <f t="shared" si="5"/>
        <v>0</v>
      </c>
      <c r="X18" s="34">
        <v>7619000</v>
      </c>
      <c r="Y18" s="34"/>
      <c r="Z18" s="34"/>
      <c r="AA18" s="34"/>
      <c r="AB18" s="34"/>
      <c r="AC18" s="34">
        <f t="shared" si="8"/>
        <v>8019999.9969</v>
      </c>
      <c r="AD18" s="34">
        <f t="shared" si="6"/>
        <v>401000</v>
      </c>
      <c r="AE18" s="34">
        <f t="shared" si="11"/>
        <v>8020000</v>
      </c>
    </row>
    <row r="19" s="2" customFormat="1" ht="66" customHeight="1" spans="1:34">
      <c r="A19" s="27">
        <v>16</v>
      </c>
      <c r="B19" s="27" t="s">
        <v>47</v>
      </c>
      <c r="C19" s="29" t="s">
        <v>89</v>
      </c>
      <c r="D19" s="44"/>
      <c r="E19" s="29" t="s">
        <v>90</v>
      </c>
      <c r="F19" s="30" t="s">
        <v>91</v>
      </c>
      <c r="G19" s="30" t="s">
        <v>92</v>
      </c>
      <c r="H19" s="30" t="s">
        <v>59</v>
      </c>
      <c r="I19" s="30"/>
      <c r="J19" s="31">
        <v>32695900</v>
      </c>
      <c r="K19" s="32">
        <v>0.6</v>
      </c>
      <c r="L19" s="31">
        <v>27823863.5906666</v>
      </c>
      <c r="M19" s="31">
        <f t="shared" si="10"/>
        <v>4872036.4093334</v>
      </c>
      <c r="N19" s="31"/>
      <c r="O19" s="31">
        <v>4872036.4093334</v>
      </c>
      <c r="P19" s="54">
        <f t="shared" si="2"/>
        <v>4872036.4093334</v>
      </c>
      <c r="Q19" s="54">
        <f t="shared" si="3"/>
        <v>2923221.84560004</v>
      </c>
      <c r="R19" s="31">
        <v>18760000</v>
      </c>
      <c r="S19" s="31">
        <v>18760000</v>
      </c>
      <c r="T19" s="31">
        <v>0</v>
      </c>
      <c r="U19" s="31">
        <v>0</v>
      </c>
      <c r="V19" s="34">
        <f t="shared" si="13"/>
        <v>0</v>
      </c>
      <c r="W19" s="88">
        <f t="shared" si="5"/>
        <v>0</v>
      </c>
      <c r="X19" s="34">
        <v>0</v>
      </c>
      <c r="Y19" s="34"/>
      <c r="Z19" s="34"/>
      <c r="AA19" s="34"/>
      <c r="AB19" s="34"/>
      <c r="AC19" s="34">
        <f t="shared" si="8"/>
        <v>9063863.5906666</v>
      </c>
      <c r="AD19" s="34">
        <f t="shared" si="6"/>
        <v>13935900</v>
      </c>
      <c r="AE19" s="34">
        <f t="shared" si="11"/>
        <v>13935900</v>
      </c>
      <c r="AH19" s="2">
        <v>27823863.5906666</v>
      </c>
    </row>
    <row r="20" s="2" customFormat="1" ht="66" customHeight="1" spans="1:34">
      <c r="A20" s="27">
        <v>17</v>
      </c>
      <c r="B20" s="27" t="s">
        <v>36</v>
      </c>
      <c r="C20" s="29" t="s">
        <v>93</v>
      </c>
      <c r="D20" s="37" t="s">
        <v>94</v>
      </c>
      <c r="E20" s="29" t="s">
        <v>95</v>
      </c>
      <c r="F20" s="30" t="s">
        <v>96</v>
      </c>
      <c r="G20" s="29"/>
      <c r="H20" s="30" t="s">
        <v>76</v>
      </c>
      <c r="I20" s="30"/>
      <c r="J20" s="31">
        <v>4200000</v>
      </c>
      <c r="K20" s="32">
        <v>0.7</v>
      </c>
      <c r="L20" s="31"/>
      <c r="M20" s="31">
        <f t="shared" si="10"/>
        <v>4200000</v>
      </c>
      <c r="N20" s="31">
        <f t="shared" ref="N20:N28" si="14">M20*K20</f>
        <v>2940000</v>
      </c>
      <c r="O20" s="56">
        <v>4200000</v>
      </c>
      <c r="P20" s="54">
        <f t="shared" si="2"/>
        <v>4200000</v>
      </c>
      <c r="Q20" s="54">
        <f t="shared" si="3"/>
        <v>2940000</v>
      </c>
      <c r="R20" s="56">
        <v>0</v>
      </c>
      <c r="S20" s="31">
        <v>0</v>
      </c>
      <c r="T20" s="31"/>
      <c r="U20" s="31"/>
      <c r="V20" s="34">
        <f t="shared" si="13"/>
        <v>0</v>
      </c>
      <c r="W20" s="88">
        <f t="shared" si="5"/>
        <v>0</v>
      </c>
      <c r="X20" s="34"/>
      <c r="Y20" s="34"/>
      <c r="Z20" s="34"/>
      <c r="AA20" s="34"/>
      <c r="AB20" s="34"/>
      <c r="AC20" s="34">
        <f t="shared" si="8"/>
        <v>0</v>
      </c>
      <c r="AD20" s="34">
        <f t="shared" si="6"/>
        <v>4200000</v>
      </c>
      <c r="AE20" s="34">
        <f t="shared" si="11"/>
        <v>4200000</v>
      </c>
    </row>
    <row r="21" s="2" customFormat="1" ht="66" customHeight="1" spans="1:34">
      <c r="A21" s="27">
        <v>18</v>
      </c>
      <c r="B21" s="27" t="s">
        <v>36</v>
      </c>
      <c r="C21" s="29" t="s">
        <v>97</v>
      </c>
      <c r="D21" s="37"/>
      <c r="E21" s="29" t="s">
        <v>98</v>
      </c>
      <c r="F21" s="30" t="s">
        <v>99</v>
      </c>
      <c r="G21" s="29"/>
      <c r="H21" s="30" t="s">
        <v>69</v>
      </c>
      <c r="I21" s="30" t="s">
        <v>70</v>
      </c>
      <c r="J21" s="31">
        <v>3000000</v>
      </c>
      <c r="K21" s="32">
        <v>0.59</v>
      </c>
      <c r="L21" s="31">
        <v>3000000</v>
      </c>
      <c r="M21" s="31">
        <f t="shared" si="10"/>
        <v>0</v>
      </c>
      <c r="N21" s="31">
        <f t="shared" si="14"/>
        <v>0</v>
      </c>
      <c r="O21" s="56">
        <v>3000000</v>
      </c>
      <c r="P21" s="54">
        <f t="shared" si="2"/>
        <v>0</v>
      </c>
      <c r="Q21" s="54"/>
      <c r="R21" s="56"/>
      <c r="S21" s="31"/>
      <c r="T21" s="31"/>
      <c r="U21" s="31"/>
      <c r="V21" s="34"/>
      <c r="W21" s="88"/>
      <c r="X21" s="34"/>
      <c r="Y21" s="34"/>
      <c r="Z21" s="34"/>
      <c r="AA21" s="34"/>
      <c r="AB21" s="34"/>
      <c r="AC21" s="34"/>
      <c r="AD21" s="34"/>
      <c r="AE21" s="34"/>
    </row>
    <row r="22" s="2" customFormat="1" ht="66" customHeight="1" spans="1:34">
      <c r="A22" s="27">
        <v>19</v>
      </c>
      <c r="B22" s="27" t="s">
        <v>36</v>
      </c>
      <c r="C22" s="29" t="s">
        <v>100</v>
      </c>
      <c r="D22" s="44"/>
      <c r="E22" s="29" t="s">
        <v>95</v>
      </c>
      <c r="F22" s="30" t="s">
        <v>101</v>
      </c>
      <c r="G22" s="29"/>
      <c r="H22" s="30" t="s">
        <v>76</v>
      </c>
      <c r="I22" s="30"/>
      <c r="J22" s="31">
        <v>21940000</v>
      </c>
      <c r="K22" s="32">
        <v>0.7</v>
      </c>
      <c r="L22" s="31">
        <v>15799999.9944</v>
      </c>
      <c r="M22" s="31">
        <f t="shared" si="10"/>
        <v>6140000.0056</v>
      </c>
      <c r="N22" s="31">
        <f t="shared" si="14"/>
        <v>4298000.00392</v>
      </c>
      <c r="O22" s="56">
        <v>21940000</v>
      </c>
      <c r="P22" s="54">
        <f t="shared" si="2"/>
        <v>6140000.0056</v>
      </c>
      <c r="Q22" s="54">
        <f>P22*K22</f>
        <v>4298000.00392</v>
      </c>
      <c r="R22" s="56">
        <v>6582000</v>
      </c>
      <c r="S22" s="31"/>
      <c r="T22" s="31"/>
      <c r="U22" s="31">
        <v>6582000</v>
      </c>
      <c r="V22" s="34">
        <f>R22-S22</f>
        <v>6582000</v>
      </c>
      <c r="W22" s="88">
        <f>V22-SUM(X22:AB22)</f>
        <v>0</v>
      </c>
      <c r="X22" s="34">
        <v>6582000</v>
      </c>
      <c r="Y22" s="34"/>
      <c r="Z22" s="34"/>
      <c r="AA22" s="34"/>
      <c r="AB22" s="34"/>
      <c r="AC22" s="34">
        <f t="shared" ref="AC22:AC28" si="15">IF(L22-S22&gt;=0,L22-S22,0)</f>
        <v>15799999.9944</v>
      </c>
      <c r="AD22" s="34">
        <f t="shared" ref="AD22:AD28" si="16">IF(J22-R22&gt;=0,J22-R22,0)</f>
        <v>15358000</v>
      </c>
      <c r="AE22" s="34">
        <f t="shared" ref="AE22:AE28" si="17">J22-S22</f>
        <v>21940000</v>
      </c>
    </row>
    <row r="23" s="2" customFormat="1" ht="66" customHeight="1" spans="1:34">
      <c r="A23" s="27">
        <v>20</v>
      </c>
      <c r="B23" s="27" t="s">
        <v>36</v>
      </c>
      <c r="C23" s="29" t="s">
        <v>102</v>
      </c>
      <c r="D23" s="29" t="s">
        <v>103</v>
      </c>
      <c r="E23" s="29" t="s">
        <v>104</v>
      </c>
      <c r="F23" s="29" t="s">
        <v>105</v>
      </c>
      <c r="G23" s="29"/>
      <c r="H23" s="29" t="s">
        <v>76</v>
      </c>
      <c r="I23" s="30"/>
      <c r="J23" s="31">
        <v>54300000</v>
      </c>
      <c r="K23" s="32">
        <v>0.7</v>
      </c>
      <c r="L23" s="31">
        <v>39420000.0088</v>
      </c>
      <c r="M23" s="31">
        <f t="shared" si="10"/>
        <v>14879999.9912</v>
      </c>
      <c r="N23" s="31">
        <f t="shared" si="14"/>
        <v>10415999.99384</v>
      </c>
      <c r="O23" s="31">
        <v>54300000</v>
      </c>
      <c r="P23" s="54">
        <f t="shared" si="2"/>
        <v>14879999.9912</v>
      </c>
      <c r="Q23" s="54">
        <f>P23*K23</f>
        <v>10415999.99384</v>
      </c>
      <c r="R23" s="31">
        <v>42700000</v>
      </c>
      <c r="S23" s="31">
        <v>0</v>
      </c>
      <c r="T23" s="31"/>
      <c r="U23" s="31">
        <v>42700000</v>
      </c>
      <c r="V23" s="34">
        <f>R23-S23</f>
        <v>42700000</v>
      </c>
      <c r="W23" s="88">
        <f>V23-SUM(X23:AB23)</f>
        <v>0</v>
      </c>
      <c r="X23" s="34">
        <v>42700000</v>
      </c>
      <c r="Y23" s="34"/>
      <c r="Z23" s="34"/>
      <c r="AA23" s="34"/>
      <c r="AB23" s="34"/>
      <c r="AC23" s="34">
        <f t="shared" si="15"/>
        <v>39420000.0088</v>
      </c>
      <c r="AD23" s="34">
        <f t="shared" si="16"/>
        <v>11600000</v>
      </c>
      <c r="AE23" s="34">
        <f t="shared" si="17"/>
        <v>54300000</v>
      </c>
    </row>
    <row r="24" s="2" customFormat="1" ht="66" customHeight="1" spans="1:34">
      <c r="A24" s="27">
        <v>21</v>
      </c>
      <c r="B24" s="27" t="s">
        <v>36</v>
      </c>
      <c r="C24" s="29" t="s">
        <v>106</v>
      </c>
      <c r="D24" s="29"/>
      <c r="E24" s="29" t="s">
        <v>107</v>
      </c>
      <c r="F24" s="29" t="s">
        <v>108</v>
      </c>
      <c r="G24" s="29"/>
      <c r="H24" s="29" t="s">
        <v>76</v>
      </c>
      <c r="I24" s="30"/>
      <c r="J24" s="31">
        <v>36560000</v>
      </c>
      <c r="K24" s="32">
        <v>0.7</v>
      </c>
      <c r="L24" s="31">
        <v>28660000.0018</v>
      </c>
      <c r="M24" s="31">
        <f t="shared" si="10"/>
        <v>7899999.9982</v>
      </c>
      <c r="N24" s="31">
        <f t="shared" si="14"/>
        <v>5529999.99874</v>
      </c>
      <c r="O24" s="31">
        <v>36560000</v>
      </c>
      <c r="P24" s="54">
        <f t="shared" si="2"/>
        <v>7899999.9982</v>
      </c>
      <c r="Q24" s="54">
        <f>P24*K24</f>
        <v>5529999.99874</v>
      </c>
      <c r="R24" s="31">
        <v>36560000</v>
      </c>
      <c r="S24" s="31">
        <v>0</v>
      </c>
      <c r="T24" s="31"/>
      <c r="U24" s="31">
        <v>36560000</v>
      </c>
      <c r="V24" s="34">
        <f>R24-S24</f>
        <v>36560000</v>
      </c>
      <c r="W24" s="88">
        <f>V24-SUM(X24:AB24)</f>
        <v>0</v>
      </c>
      <c r="X24" s="34">
        <v>36560000</v>
      </c>
      <c r="Y24" s="34"/>
      <c r="Z24" s="34"/>
      <c r="AA24" s="34"/>
      <c r="AB24" s="34"/>
      <c r="AC24" s="34">
        <f t="shared" si="15"/>
        <v>28660000.0018</v>
      </c>
      <c r="AD24" s="34">
        <f t="shared" si="16"/>
        <v>0</v>
      </c>
      <c r="AE24" s="34">
        <f t="shared" si="17"/>
        <v>36560000</v>
      </c>
    </row>
    <row r="25" s="2" customFormat="1" ht="66" customHeight="1" spans="1:34">
      <c r="A25" s="27">
        <v>22</v>
      </c>
      <c r="B25" s="27" t="s">
        <v>36</v>
      </c>
      <c r="C25" s="29" t="s">
        <v>109</v>
      </c>
      <c r="D25" s="29"/>
      <c r="E25" s="29" t="s">
        <v>107</v>
      </c>
      <c r="F25" s="29" t="s">
        <v>110</v>
      </c>
      <c r="G25" s="29"/>
      <c r="H25" s="29" t="s">
        <v>76</v>
      </c>
      <c r="I25" s="30"/>
      <c r="J25" s="31">
        <v>11180000</v>
      </c>
      <c r="K25" s="32">
        <v>0.7</v>
      </c>
      <c r="L25" s="31">
        <v>0</v>
      </c>
      <c r="M25" s="31">
        <f t="shared" si="10"/>
        <v>11180000</v>
      </c>
      <c r="N25" s="31">
        <f t="shared" si="14"/>
        <v>7826000</v>
      </c>
      <c r="O25" s="31">
        <v>11180000</v>
      </c>
      <c r="P25" s="54">
        <f t="shared" si="2"/>
        <v>11180000</v>
      </c>
      <c r="Q25" s="54"/>
      <c r="R25" s="31"/>
      <c r="S25" s="31"/>
      <c r="T25" s="31"/>
      <c r="U25" s="31"/>
      <c r="V25" s="34"/>
      <c r="W25" s="88"/>
      <c r="X25" s="34"/>
      <c r="Y25" s="34"/>
      <c r="Z25" s="34"/>
      <c r="AA25" s="34"/>
      <c r="AB25" s="34"/>
      <c r="AC25" s="34">
        <f t="shared" si="15"/>
        <v>0</v>
      </c>
      <c r="AD25" s="34">
        <f t="shared" si="16"/>
        <v>11180000</v>
      </c>
      <c r="AE25" s="34">
        <f t="shared" si="17"/>
        <v>11180000</v>
      </c>
    </row>
    <row r="26" s="2" customFormat="1" ht="66" customHeight="1" spans="1:34">
      <c r="A26" s="27">
        <v>23</v>
      </c>
      <c r="B26" s="27" t="s">
        <v>47</v>
      </c>
      <c r="C26" s="29" t="s">
        <v>111</v>
      </c>
      <c r="D26" s="29"/>
      <c r="E26" s="29" t="s">
        <v>112</v>
      </c>
      <c r="F26" s="29" t="s">
        <v>113</v>
      </c>
      <c r="G26" s="29"/>
      <c r="H26" s="29" t="s">
        <v>59</v>
      </c>
      <c r="I26" s="30" t="s">
        <v>60</v>
      </c>
      <c r="J26" s="31">
        <v>1785837</v>
      </c>
      <c r="K26" s="32">
        <v>0.7</v>
      </c>
      <c r="L26" s="31"/>
      <c r="M26" s="31">
        <f t="shared" si="10"/>
        <v>1785837</v>
      </c>
      <c r="N26" s="31">
        <f t="shared" si="14"/>
        <v>1250085.9</v>
      </c>
      <c r="O26" s="31">
        <v>1785837</v>
      </c>
      <c r="P26" s="54">
        <f t="shared" si="2"/>
        <v>1785837</v>
      </c>
      <c r="Q26" s="54">
        <f>P26*K26</f>
        <v>1250085.9</v>
      </c>
      <c r="R26" s="31">
        <v>0</v>
      </c>
      <c r="S26" s="31">
        <v>0</v>
      </c>
      <c r="T26" s="31">
        <v>0</v>
      </c>
      <c r="U26" s="31"/>
      <c r="V26" s="34">
        <f>R26-S26</f>
        <v>0</v>
      </c>
      <c r="W26" s="88">
        <f>V26-SUM(X26:AB26)</f>
        <v>0</v>
      </c>
      <c r="X26" s="34"/>
      <c r="Y26" s="34"/>
      <c r="Z26" s="34"/>
      <c r="AA26" s="34"/>
      <c r="AB26" s="34"/>
      <c r="AC26" s="34">
        <f t="shared" si="15"/>
        <v>0</v>
      </c>
      <c r="AD26" s="34">
        <f t="shared" si="16"/>
        <v>1785837</v>
      </c>
      <c r="AE26" s="34">
        <f t="shared" si="17"/>
        <v>1785837</v>
      </c>
    </row>
    <row r="27" s="2" customFormat="1" ht="66" customHeight="1" spans="1:34">
      <c r="A27" s="27">
        <v>24</v>
      </c>
      <c r="B27" s="27" t="s">
        <v>47</v>
      </c>
      <c r="C27" s="29" t="s">
        <v>114</v>
      </c>
      <c r="D27" s="29"/>
      <c r="E27" s="29" t="s">
        <v>112</v>
      </c>
      <c r="F27" s="29" t="s">
        <v>115</v>
      </c>
      <c r="G27" s="29"/>
      <c r="H27" s="29" t="s">
        <v>116</v>
      </c>
      <c r="I27" s="30"/>
      <c r="J27" s="31">
        <v>125500000</v>
      </c>
      <c r="K27" s="32">
        <v>0.7</v>
      </c>
      <c r="L27" s="31"/>
      <c r="M27" s="31">
        <f t="shared" si="10"/>
        <v>125500000</v>
      </c>
      <c r="N27" s="31">
        <f t="shared" si="14"/>
        <v>87850000</v>
      </c>
      <c r="O27" s="31"/>
      <c r="P27" s="54"/>
      <c r="Q27" s="54"/>
      <c r="R27" s="31"/>
      <c r="S27" s="31"/>
      <c r="T27" s="31"/>
      <c r="U27" s="31"/>
      <c r="V27" s="34"/>
      <c r="W27" s="88"/>
      <c r="X27" s="34"/>
      <c r="Y27" s="34"/>
      <c r="Z27" s="34"/>
      <c r="AA27" s="34"/>
      <c r="AB27" s="34"/>
      <c r="AC27" s="34">
        <f t="shared" si="15"/>
        <v>0</v>
      </c>
      <c r="AD27" s="34">
        <f t="shared" si="16"/>
        <v>125500000</v>
      </c>
      <c r="AE27" s="34">
        <f t="shared" si="17"/>
        <v>125500000</v>
      </c>
    </row>
    <row r="28" s="2" customFormat="1" ht="66" customHeight="1" spans="1:34">
      <c r="A28" s="27">
        <v>25</v>
      </c>
      <c r="B28" s="27" t="s">
        <v>47</v>
      </c>
      <c r="C28" s="29" t="s">
        <v>117</v>
      </c>
      <c r="D28" s="29"/>
      <c r="E28" s="29" t="s">
        <v>112</v>
      </c>
      <c r="F28" s="29" t="s">
        <v>118</v>
      </c>
      <c r="G28" s="29"/>
      <c r="H28" s="29" t="s">
        <v>59</v>
      </c>
      <c r="I28" s="30"/>
      <c r="J28" s="31">
        <v>20430900</v>
      </c>
      <c r="K28" s="32">
        <v>0.7</v>
      </c>
      <c r="L28" s="31">
        <v>611023.4988</v>
      </c>
      <c r="M28" s="31">
        <f t="shared" ref="M28:M47" si="18">J28-L28</f>
        <v>19819876.5012</v>
      </c>
      <c r="N28" s="31">
        <f t="shared" si="14"/>
        <v>13873913.55084</v>
      </c>
      <c r="O28" s="31">
        <v>20430900</v>
      </c>
      <c r="P28" s="54">
        <f t="shared" ref="P28:P34" si="19">O28-(L28-AH28)</f>
        <v>19819876.5012</v>
      </c>
      <c r="Q28" s="54">
        <f t="shared" ref="Q28:Q34" si="20">P28*K28</f>
        <v>13873913.55084</v>
      </c>
      <c r="R28" s="31">
        <v>0</v>
      </c>
      <c r="S28" s="31">
        <v>0</v>
      </c>
      <c r="T28" s="31">
        <v>0</v>
      </c>
      <c r="U28" s="31"/>
      <c r="V28" s="34">
        <f>R28-S28</f>
        <v>0</v>
      </c>
      <c r="W28" s="88">
        <f t="shared" ref="W28:W36" si="21">V28-SUM(X28:AB28)</f>
        <v>0</v>
      </c>
      <c r="X28" s="34"/>
      <c r="Y28" s="34"/>
      <c r="Z28" s="34"/>
      <c r="AA28" s="34"/>
      <c r="AB28" s="34"/>
      <c r="AC28" s="34">
        <f t="shared" si="15"/>
        <v>611023.4988</v>
      </c>
      <c r="AD28" s="34">
        <f t="shared" si="16"/>
        <v>20430900</v>
      </c>
      <c r="AE28" s="34">
        <f t="shared" si="17"/>
        <v>20430900</v>
      </c>
    </row>
    <row r="29" s="2" customFormat="1" ht="82" customHeight="1" spans="1:34">
      <c r="A29" s="27">
        <v>26</v>
      </c>
      <c r="B29" s="27" t="s">
        <v>36</v>
      </c>
      <c r="C29" s="30" t="s">
        <v>119</v>
      </c>
      <c r="D29" s="29" t="s">
        <v>120</v>
      </c>
      <c r="E29" s="29" t="s">
        <v>121</v>
      </c>
      <c r="F29" s="29" t="s">
        <v>122</v>
      </c>
      <c r="G29" s="29"/>
      <c r="H29" s="29" t="s">
        <v>59</v>
      </c>
      <c r="I29" s="30" t="s">
        <v>60</v>
      </c>
      <c r="J29" s="31">
        <v>8300000</v>
      </c>
      <c r="K29" s="32">
        <v>0.7</v>
      </c>
      <c r="L29" s="31">
        <v>8300000</v>
      </c>
      <c r="M29" s="31">
        <f t="shared" si="18"/>
        <v>0</v>
      </c>
      <c r="N29" s="31">
        <f t="shared" ref="N29:N36" si="22">M29*K29</f>
        <v>0</v>
      </c>
      <c r="O29" s="31"/>
      <c r="P29" s="54">
        <f t="shared" si="19"/>
        <v>0</v>
      </c>
      <c r="Q29" s="54">
        <f t="shared" si="20"/>
        <v>0</v>
      </c>
      <c r="R29" s="31">
        <v>7470000</v>
      </c>
      <c r="S29" s="53">
        <v>6670000</v>
      </c>
      <c r="T29" s="31">
        <v>800000</v>
      </c>
      <c r="U29" s="31"/>
      <c r="V29" s="34">
        <f>R29-S29</f>
        <v>800000</v>
      </c>
      <c r="W29" s="88">
        <f t="shared" si="21"/>
        <v>0</v>
      </c>
      <c r="X29" s="34"/>
      <c r="Y29" s="34"/>
      <c r="Z29" s="34"/>
      <c r="AA29" s="34">
        <v>800000</v>
      </c>
      <c r="AB29" s="34"/>
      <c r="AC29" s="34">
        <f t="shared" ref="AC29:AC34" si="23">IF(L29-S29&gt;=0,L29-S29,0)</f>
        <v>1630000</v>
      </c>
      <c r="AD29" s="34">
        <f t="shared" ref="AD29:AD33" si="24">IF(J29-R29&gt;=0,J29-R29,0)</f>
        <v>830000</v>
      </c>
      <c r="AE29" s="34">
        <f t="shared" ref="AE29:AE36" si="25">J29-S29</f>
        <v>1630000</v>
      </c>
      <c r="AH29" s="2">
        <v>8300000</v>
      </c>
    </row>
    <row r="30" s="2" customFormat="1" ht="66" customHeight="1" spans="1:34">
      <c r="A30" s="27">
        <v>27</v>
      </c>
      <c r="B30" s="27" t="s">
        <v>36</v>
      </c>
      <c r="C30" s="30" t="s">
        <v>123</v>
      </c>
      <c r="D30" s="29"/>
      <c r="E30" s="29" t="s">
        <v>121</v>
      </c>
      <c r="F30" s="29" t="s">
        <v>124</v>
      </c>
      <c r="G30" s="29"/>
      <c r="H30" s="29" t="s">
        <v>45</v>
      </c>
      <c r="I30" s="30" t="s">
        <v>60</v>
      </c>
      <c r="J30" s="31">
        <v>1270000</v>
      </c>
      <c r="K30" s="32">
        <v>1</v>
      </c>
      <c r="L30" s="31">
        <v>1270000</v>
      </c>
      <c r="M30" s="31">
        <f t="shared" si="18"/>
        <v>0</v>
      </c>
      <c r="N30" s="31">
        <f t="shared" si="22"/>
        <v>0</v>
      </c>
      <c r="O30" s="31"/>
      <c r="P30" s="54">
        <f t="shared" si="19"/>
        <v>0</v>
      </c>
      <c r="Q30" s="54">
        <f t="shared" si="20"/>
        <v>0</v>
      </c>
      <c r="R30" s="31">
        <v>1270000</v>
      </c>
      <c r="S30" s="31">
        <v>400000</v>
      </c>
      <c r="T30" s="91">
        <v>743000</v>
      </c>
      <c r="U30" s="31">
        <v>127000</v>
      </c>
      <c r="V30" s="34">
        <f>R30-S30</f>
        <v>870000</v>
      </c>
      <c r="W30" s="88">
        <f t="shared" si="21"/>
        <v>0</v>
      </c>
      <c r="X30" s="34">
        <v>127000</v>
      </c>
      <c r="Y30" s="34"/>
      <c r="Z30" s="34"/>
      <c r="AA30" s="34">
        <v>743000</v>
      </c>
      <c r="AB30" s="34"/>
      <c r="AC30" s="34">
        <f t="shared" si="23"/>
        <v>870000</v>
      </c>
      <c r="AD30" s="34">
        <f t="shared" si="24"/>
        <v>0</v>
      </c>
      <c r="AE30" s="34">
        <f t="shared" si="25"/>
        <v>870000</v>
      </c>
      <c r="AH30" s="2">
        <v>1270000</v>
      </c>
    </row>
    <row r="31" s="2" customFormat="1" ht="66" customHeight="1" spans="1:34">
      <c r="A31" s="27">
        <v>28</v>
      </c>
      <c r="B31" s="27" t="s">
        <v>36</v>
      </c>
      <c r="C31" s="30" t="s">
        <v>125</v>
      </c>
      <c r="D31" s="29"/>
      <c r="E31" s="29" t="s">
        <v>126</v>
      </c>
      <c r="F31" s="29" t="s">
        <v>127</v>
      </c>
      <c r="G31" s="29"/>
      <c r="H31" s="29" t="s">
        <v>51</v>
      </c>
      <c r="I31" s="30" t="s">
        <v>46</v>
      </c>
      <c r="J31" s="54">
        <v>2845600</v>
      </c>
      <c r="K31" s="32">
        <v>0.6</v>
      </c>
      <c r="L31" s="31">
        <v>2845600</v>
      </c>
      <c r="M31" s="31">
        <f t="shared" si="18"/>
        <v>0</v>
      </c>
      <c r="N31" s="31">
        <f t="shared" si="22"/>
        <v>0</v>
      </c>
      <c r="O31" s="31"/>
      <c r="P31" s="54">
        <f t="shared" si="19"/>
        <v>0</v>
      </c>
      <c r="Q31" s="54">
        <f t="shared" si="20"/>
        <v>0</v>
      </c>
      <c r="R31" s="31">
        <v>2561040</v>
      </c>
      <c r="S31" s="31">
        <v>2561040</v>
      </c>
      <c r="T31" s="92">
        <v>0</v>
      </c>
      <c r="U31" s="31"/>
      <c r="V31" s="34">
        <f>R31-S31</f>
        <v>0</v>
      </c>
      <c r="W31" s="88">
        <f t="shared" si="21"/>
        <v>0</v>
      </c>
      <c r="X31" s="34"/>
      <c r="Y31" s="34"/>
      <c r="Z31" s="34">
        <v>0</v>
      </c>
      <c r="AA31" s="34"/>
      <c r="AB31" s="34"/>
      <c r="AC31" s="34">
        <f t="shared" si="23"/>
        <v>284560</v>
      </c>
      <c r="AD31" s="34">
        <f t="shared" si="24"/>
        <v>284560</v>
      </c>
      <c r="AE31" s="34">
        <f t="shared" si="25"/>
        <v>284560</v>
      </c>
      <c r="AH31" s="2">
        <v>2845600</v>
      </c>
    </row>
    <row r="32" s="2" customFormat="1" ht="66" customHeight="1" spans="1:34">
      <c r="A32" s="27">
        <v>29</v>
      </c>
      <c r="B32" s="27" t="s">
        <v>36</v>
      </c>
      <c r="C32" s="29" t="s">
        <v>128</v>
      </c>
      <c r="D32" s="29"/>
      <c r="E32" s="29" t="s">
        <v>126</v>
      </c>
      <c r="F32" s="29" t="s">
        <v>129</v>
      </c>
      <c r="G32" s="29"/>
      <c r="H32" s="29" t="s">
        <v>51</v>
      </c>
      <c r="I32" s="30" t="s">
        <v>46</v>
      </c>
      <c r="J32" s="31">
        <v>1854400</v>
      </c>
      <c r="K32" s="32">
        <v>0.6</v>
      </c>
      <c r="L32" s="31">
        <v>1854400</v>
      </c>
      <c r="M32" s="31">
        <f t="shared" si="18"/>
        <v>0</v>
      </c>
      <c r="N32" s="31">
        <f t="shared" si="22"/>
        <v>0</v>
      </c>
      <c r="O32" s="31"/>
      <c r="P32" s="54">
        <f t="shared" si="19"/>
        <v>0</v>
      </c>
      <c r="Q32" s="54">
        <f t="shared" si="20"/>
        <v>0</v>
      </c>
      <c r="R32" s="31">
        <v>1668960</v>
      </c>
      <c r="S32" s="31">
        <v>1668960</v>
      </c>
      <c r="T32" s="31">
        <v>0</v>
      </c>
      <c r="U32" s="31"/>
      <c r="V32" s="34">
        <f>R32-S32</f>
        <v>0</v>
      </c>
      <c r="W32" s="88">
        <f t="shared" si="21"/>
        <v>0</v>
      </c>
      <c r="X32" s="34"/>
      <c r="Y32" s="34"/>
      <c r="Z32" s="34"/>
      <c r="AA32" s="34"/>
      <c r="AB32" s="34"/>
      <c r="AC32" s="34">
        <f t="shared" si="23"/>
        <v>185440</v>
      </c>
      <c r="AD32" s="34">
        <f t="shared" si="24"/>
        <v>185440</v>
      </c>
      <c r="AE32" s="34">
        <f t="shared" si="25"/>
        <v>185440</v>
      </c>
      <c r="AH32" s="2">
        <v>1854400</v>
      </c>
    </row>
    <row r="33" s="2" customFormat="1" ht="66" customHeight="1" spans="1:34">
      <c r="A33" s="27">
        <v>30</v>
      </c>
      <c r="B33" s="27" t="s">
        <v>36</v>
      </c>
      <c r="C33" s="30" t="s">
        <v>130</v>
      </c>
      <c r="D33" s="29"/>
      <c r="E33" s="29" t="s">
        <v>121</v>
      </c>
      <c r="F33" s="30" t="s">
        <v>131</v>
      </c>
      <c r="G33" s="29"/>
      <c r="H33" s="29" t="s">
        <v>132</v>
      </c>
      <c r="I33" s="30"/>
      <c r="J33" s="31">
        <v>358069500</v>
      </c>
      <c r="K33" s="32">
        <v>1</v>
      </c>
      <c r="L33" s="31">
        <v>53710425.0028</v>
      </c>
      <c r="M33" s="31">
        <f t="shared" si="18"/>
        <v>304359074.9972</v>
      </c>
      <c r="N33" s="31">
        <f t="shared" si="22"/>
        <v>304359074.9972</v>
      </c>
      <c r="O33" s="54">
        <v>164000000</v>
      </c>
      <c r="P33" s="54">
        <f t="shared" si="19"/>
        <v>164000000</v>
      </c>
      <c r="Q33" s="54">
        <f t="shared" si="20"/>
        <v>164000000</v>
      </c>
      <c r="R33" s="54">
        <v>126074569.93</v>
      </c>
      <c r="S33" s="31">
        <v>126074569.93</v>
      </c>
      <c r="T33" s="31">
        <v>0</v>
      </c>
      <c r="U33" s="31"/>
      <c r="V33" s="34">
        <f t="shared" ref="V33:V39" si="26">R33-S33</f>
        <v>0</v>
      </c>
      <c r="W33" s="88">
        <f t="shared" si="21"/>
        <v>0</v>
      </c>
      <c r="X33" s="34"/>
      <c r="Y33" s="34"/>
      <c r="Z33" s="34"/>
      <c r="AA33" s="34"/>
      <c r="AB33" s="34"/>
      <c r="AC33" s="34">
        <f t="shared" si="23"/>
        <v>0</v>
      </c>
      <c r="AD33" s="34">
        <f t="shared" si="24"/>
        <v>231994930.07</v>
      </c>
      <c r="AE33" s="34">
        <f t="shared" si="25"/>
        <v>231994930.07</v>
      </c>
      <c r="AH33" s="2">
        <v>53710425.0028</v>
      </c>
    </row>
    <row r="34" s="2" customFormat="1" ht="66" customHeight="1" spans="1:34">
      <c r="A34" s="27">
        <v>31</v>
      </c>
      <c r="B34" s="27" t="s">
        <v>36</v>
      </c>
      <c r="C34" s="30" t="s">
        <v>133</v>
      </c>
      <c r="D34" s="29"/>
      <c r="E34" s="29" t="s">
        <v>121</v>
      </c>
      <c r="F34" s="29" t="s">
        <v>134</v>
      </c>
      <c r="G34" s="29" t="s">
        <v>135</v>
      </c>
      <c r="H34" s="29" t="s">
        <v>45</v>
      </c>
      <c r="I34" s="30" t="s">
        <v>42</v>
      </c>
      <c r="J34" s="31">
        <v>585090.7</v>
      </c>
      <c r="K34" s="32">
        <v>1</v>
      </c>
      <c r="L34" s="31">
        <v>585090.7</v>
      </c>
      <c r="M34" s="31">
        <f t="shared" si="18"/>
        <v>0</v>
      </c>
      <c r="N34" s="31">
        <f t="shared" si="22"/>
        <v>0</v>
      </c>
      <c r="O34" s="54"/>
      <c r="P34" s="54">
        <f t="shared" si="19"/>
        <v>0</v>
      </c>
      <c r="Q34" s="54">
        <f t="shared" si="20"/>
        <v>0</v>
      </c>
      <c r="R34" s="54">
        <v>175530</v>
      </c>
      <c r="S34" s="31">
        <v>175530</v>
      </c>
      <c r="T34" s="31">
        <v>0</v>
      </c>
      <c r="U34" s="31"/>
      <c r="V34" s="34">
        <f t="shared" si="26"/>
        <v>0</v>
      </c>
      <c r="W34" s="88">
        <f t="shared" si="21"/>
        <v>0</v>
      </c>
      <c r="X34" s="34"/>
      <c r="Y34" s="34"/>
      <c r="Z34" s="34"/>
      <c r="AA34" s="34"/>
      <c r="AB34" s="34"/>
      <c r="AC34" s="34">
        <f t="shared" si="23"/>
        <v>409560.7</v>
      </c>
      <c r="AD34" s="34">
        <f t="shared" ref="AD34:AD40" si="27">IF(J34-R34&gt;=0,J34-R34,0)</f>
        <v>409560.7</v>
      </c>
      <c r="AE34" s="34">
        <f t="shared" si="25"/>
        <v>409560.7</v>
      </c>
      <c r="AH34" s="2">
        <v>585090.7</v>
      </c>
    </row>
    <row r="35" s="3" customFormat="1" ht="66" customHeight="1" spans="1:34">
      <c r="A35" s="27">
        <v>32</v>
      </c>
      <c r="B35" s="27" t="s">
        <v>47</v>
      </c>
      <c r="C35" s="30" t="s">
        <v>136</v>
      </c>
      <c r="D35" s="29" t="s">
        <v>137</v>
      </c>
      <c r="E35" s="29" t="s">
        <v>138</v>
      </c>
      <c r="F35" s="29" t="s">
        <v>139</v>
      </c>
      <c r="G35" s="88" t="s">
        <v>140</v>
      </c>
      <c r="H35" s="29" t="s">
        <v>59</v>
      </c>
      <c r="I35" s="30" t="s">
        <v>60</v>
      </c>
      <c r="J35" s="31">
        <v>28332067.35</v>
      </c>
      <c r="K35" s="32">
        <v>0.7</v>
      </c>
      <c r="L35" s="31">
        <v>28048383.71364</v>
      </c>
      <c r="M35" s="31">
        <f t="shared" si="18"/>
        <v>283683.636360001</v>
      </c>
      <c r="N35" s="31">
        <f t="shared" si="22"/>
        <v>198578.545452001</v>
      </c>
      <c r="O35" s="31">
        <v>4379887.33896</v>
      </c>
      <c r="P35" s="54">
        <f t="shared" ref="P35:P77" si="28">O35-(L35-AH35)</f>
        <v>283683.636360002</v>
      </c>
      <c r="Q35" s="54">
        <f t="shared" ref="Q35:Q77" si="29">P35*K35</f>
        <v>198578.545452001</v>
      </c>
      <c r="R35" s="31">
        <v>32618511</v>
      </c>
      <c r="S35" s="31">
        <v>32618511</v>
      </c>
      <c r="T35" s="31">
        <v>0</v>
      </c>
      <c r="U35" s="31"/>
      <c r="V35" s="34">
        <f t="shared" si="26"/>
        <v>0</v>
      </c>
      <c r="W35" s="88">
        <f t="shared" si="21"/>
        <v>0</v>
      </c>
      <c r="X35" s="34">
        <v>0</v>
      </c>
      <c r="Y35" s="34"/>
      <c r="Z35" s="34"/>
      <c r="AA35" s="34"/>
      <c r="AB35" s="34"/>
      <c r="AC35" s="34">
        <f>IF((SUM(L35:L37)-SUM(S35:S37))&gt;0,SUM(L35:L37)-SUM(S35:S37),0)</f>
        <v>9938153.70904</v>
      </c>
      <c r="AD35" s="34">
        <f t="shared" si="27"/>
        <v>0</v>
      </c>
      <c r="AE35" s="34">
        <f t="shared" si="25"/>
        <v>-4286443.65</v>
      </c>
      <c r="AH35" s="3">
        <v>23952180.01104</v>
      </c>
    </row>
    <row r="36" s="3" customFormat="1" ht="66" customHeight="1" spans="1:34">
      <c r="A36" s="27">
        <v>33</v>
      </c>
      <c r="B36" s="27" t="s">
        <v>47</v>
      </c>
      <c r="C36" s="30" t="s">
        <v>136</v>
      </c>
      <c r="D36" s="29"/>
      <c r="E36" s="29" t="s">
        <v>138</v>
      </c>
      <c r="F36" s="29" t="s">
        <v>139</v>
      </c>
      <c r="G36" s="88" t="s">
        <v>141</v>
      </c>
      <c r="H36" s="29" t="s">
        <v>59</v>
      </c>
      <c r="I36" s="30" t="s">
        <v>60</v>
      </c>
      <c r="J36" s="31">
        <f>56664134.7/2</f>
        <v>28332067.35</v>
      </c>
      <c r="K36" s="32">
        <v>0.7</v>
      </c>
      <c r="L36" s="31">
        <v>22917219.9954</v>
      </c>
      <c r="M36" s="31">
        <f t="shared" si="18"/>
        <v>5414847.3546</v>
      </c>
      <c r="N36" s="31">
        <f t="shared" si="22"/>
        <v>3790393.14822</v>
      </c>
      <c r="O36" s="31">
        <v>11564687.3523</v>
      </c>
      <c r="P36" s="54">
        <f t="shared" si="28"/>
        <v>5414847.3546</v>
      </c>
      <c r="Q36" s="54">
        <f t="shared" si="29"/>
        <v>3790393.14822</v>
      </c>
      <c r="R36" s="31">
        <v>15370321</v>
      </c>
      <c r="S36" s="31">
        <v>9688939</v>
      </c>
      <c r="T36" s="31">
        <v>892176</v>
      </c>
      <c r="U36" s="31">
        <v>4789206</v>
      </c>
      <c r="V36" s="31">
        <f t="shared" si="26"/>
        <v>5681382</v>
      </c>
      <c r="W36" s="88">
        <f t="shared" si="21"/>
        <v>0</v>
      </c>
      <c r="X36" s="34">
        <v>4789206</v>
      </c>
      <c r="Y36" s="34">
        <v>892176</v>
      </c>
      <c r="Z36" s="34"/>
      <c r="AA36" s="34"/>
      <c r="AB36" s="34"/>
      <c r="AC36" s="34"/>
      <c r="AD36" s="34">
        <f t="shared" si="27"/>
        <v>12961746.35</v>
      </c>
      <c r="AE36" s="34">
        <f t="shared" si="25"/>
        <v>18643128.35</v>
      </c>
      <c r="AH36" s="3">
        <v>16767379.9977</v>
      </c>
    </row>
    <row r="37" s="3" customFormat="1" ht="66" customHeight="1" spans="1:34">
      <c r="A37" s="27">
        <v>34</v>
      </c>
      <c r="B37" s="27" t="s">
        <v>47</v>
      </c>
      <c r="C37" s="29" t="s">
        <v>142</v>
      </c>
      <c r="D37" s="29"/>
      <c r="E37" s="29" t="s">
        <v>138</v>
      </c>
      <c r="F37" s="29" t="s">
        <v>139</v>
      </c>
      <c r="G37" s="29"/>
      <c r="H37" s="29" t="s">
        <v>59</v>
      </c>
      <c r="I37" s="30" t="s">
        <v>60</v>
      </c>
      <c r="J37" s="31">
        <v>1600000</v>
      </c>
      <c r="K37" s="32">
        <v>0.7</v>
      </c>
      <c r="L37" s="31">
        <v>1280000</v>
      </c>
      <c r="M37" s="31">
        <f t="shared" si="18"/>
        <v>320000</v>
      </c>
      <c r="N37" s="31">
        <f t="shared" ref="N37:N39" si="30">M37*K37</f>
        <v>224000</v>
      </c>
      <c r="O37" s="31">
        <v>320000</v>
      </c>
      <c r="P37" s="54">
        <f t="shared" si="28"/>
        <v>320000</v>
      </c>
      <c r="Q37" s="54">
        <f t="shared" si="29"/>
        <v>224000</v>
      </c>
      <c r="R37" s="31">
        <v>0</v>
      </c>
      <c r="S37" s="31">
        <v>0</v>
      </c>
      <c r="T37" s="31">
        <v>0</v>
      </c>
      <c r="U37" s="31"/>
      <c r="V37" s="34">
        <f t="shared" si="26"/>
        <v>0</v>
      </c>
      <c r="W37" s="88">
        <f t="shared" ref="W37:W68" si="31">V37-SUM(X37:AB37)</f>
        <v>0</v>
      </c>
      <c r="X37" s="34">
        <v>0</v>
      </c>
      <c r="Y37" s="34"/>
      <c r="Z37" s="34"/>
      <c r="AA37" s="34"/>
      <c r="AB37" s="34"/>
      <c r="AC37" s="34"/>
      <c r="AD37" s="34">
        <f t="shared" si="27"/>
        <v>1600000</v>
      </c>
      <c r="AE37" s="34">
        <f t="shared" ref="AE37:AE39" si="32">J37-S37</f>
        <v>1600000</v>
      </c>
      <c r="AH37" s="3">
        <v>1280000</v>
      </c>
    </row>
    <row r="38" s="2" customFormat="1" ht="66" customHeight="1" spans="1:34">
      <c r="A38" s="27">
        <v>35</v>
      </c>
      <c r="B38" s="27" t="s">
        <v>47</v>
      </c>
      <c r="C38" s="29" t="s">
        <v>143</v>
      </c>
      <c r="D38" s="29"/>
      <c r="E38" s="29" t="s">
        <v>144</v>
      </c>
      <c r="F38" s="29" t="s">
        <v>145</v>
      </c>
      <c r="G38" s="29"/>
      <c r="H38" s="29" t="s">
        <v>51</v>
      </c>
      <c r="I38" s="30" t="s">
        <v>46</v>
      </c>
      <c r="J38" s="31">
        <v>88880000</v>
      </c>
      <c r="K38" s="32">
        <v>0.7</v>
      </c>
      <c r="L38" s="31"/>
      <c r="M38" s="31">
        <f t="shared" si="18"/>
        <v>88880000</v>
      </c>
      <c r="N38" s="31">
        <f t="shared" si="30"/>
        <v>62216000</v>
      </c>
      <c r="O38" s="31">
        <v>40000000</v>
      </c>
      <c r="P38" s="54">
        <f t="shared" si="28"/>
        <v>40000000</v>
      </c>
      <c r="Q38" s="54">
        <f t="shared" si="29"/>
        <v>28000000</v>
      </c>
      <c r="R38" s="31">
        <v>23002144</v>
      </c>
      <c r="S38" s="31">
        <v>15000000</v>
      </c>
      <c r="T38" s="31">
        <v>0</v>
      </c>
      <c r="U38" s="31">
        <v>8002144</v>
      </c>
      <c r="V38" s="34">
        <f t="shared" si="26"/>
        <v>8002144</v>
      </c>
      <c r="W38" s="88">
        <f t="shared" si="31"/>
        <v>0</v>
      </c>
      <c r="X38" s="34">
        <v>8002144</v>
      </c>
      <c r="Y38" s="34"/>
      <c r="Z38" s="34"/>
      <c r="AA38" s="34"/>
      <c r="AB38" s="34"/>
      <c r="AC38" s="34">
        <f>IF(L38-S38&gt;=0,L38-S38,0)</f>
        <v>0</v>
      </c>
      <c r="AD38" s="34">
        <f t="shared" si="27"/>
        <v>65877856</v>
      </c>
      <c r="AE38" s="34">
        <f t="shared" si="32"/>
        <v>73880000</v>
      </c>
    </row>
    <row r="39" s="2" customFormat="1" ht="66" customHeight="1" spans="1:34">
      <c r="A39" s="27">
        <v>36</v>
      </c>
      <c r="B39" s="27" t="s">
        <v>47</v>
      </c>
      <c r="C39" s="30" t="s">
        <v>146</v>
      </c>
      <c r="D39" s="29"/>
      <c r="E39" s="29" t="s">
        <v>147</v>
      </c>
      <c r="F39" s="29" t="s">
        <v>148</v>
      </c>
      <c r="G39" s="29"/>
      <c r="H39" s="29" t="s">
        <v>51</v>
      </c>
      <c r="I39" s="30" t="s">
        <v>46</v>
      </c>
      <c r="J39" s="31">
        <v>3000000</v>
      </c>
      <c r="K39" s="32">
        <v>0.7</v>
      </c>
      <c r="L39" s="31"/>
      <c r="M39" s="31">
        <f t="shared" si="18"/>
        <v>3000000</v>
      </c>
      <c r="N39" s="31">
        <f t="shared" si="30"/>
        <v>2100000</v>
      </c>
      <c r="O39" s="31">
        <v>3000000</v>
      </c>
      <c r="P39" s="54">
        <f t="shared" si="28"/>
        <v>3000000</v>
      </c>
      <c r="Q39" s="54">
        <f t="shared" si="29"/>
        <v>2100000</v>
      </c>
      <c r="R39" s="31"/>
      <c r="S39" s="31"/>
      <c r="T39" s="31"/>
      <c r="U39" s="93"/>
      <c r="V39" s="34"/>
      <c r="W39" s="88">
        <f t="shared" si="31"/>
        <v>0</v>
      </c>
      <c r="X39" s="34"/>
      <c r="Y39" s="34"/>
      <c r="Z39" s="34"/>
      <c r="AA39" s="34"/>
      <c r="AB39" s="34"/>
      <c r="AC39" s="34">
        <f>IF(L39-S39&gt;=0,L39-S39,0)</f>
        <v>0</v>
      </c>
      <c r="AD39" s="34">
        <f t="shared" si="27"/>
        <v>3000000</v>
      </c>
      <c r="AE39" s="34">
        <f t="shared" si="32"/>
        <v>3000000</v>
      </c>
    </row>
    <row r="40" s="2" customFormat="1" ht="66" customHeight="1" spans="1:34">
      <c r="A40" s="27">
        <v>37</v>
      </c>
      <c r="B40" s="27" t="s">
        <v>47</v>
      </c>
      <c r="C40" s="30" t="s">
        <v>149</v>
      </c>
      <c r="D40" s="29"/>
      <c r="E40" s="29" t="s">
        <v>138</v>
      </c>
      <c r="F40" s="29" t="s">
        <v>150</v>
      </c>
      <c r="G40" s="29"/>
      <c r="H40" s="29" t="s">
        <v>51</v>
      </c>
      <c r="I40" s="30"/>
      <c r="J40" s="31">
        <v>4600000</v>
      </c>
      <c r="K40" s="32">
        <v>0.7</v>
      </c>
      <c r="L40" s="31">
        <f>2035398.23*1.13</f>
        <v>2299999.9999</v>
      </c>
      <c r="M40" s="31">
        <f t="shared" si="18"/>
        <v>2300000.0001</v>
      </c>
      <c r="N40" s="31">
        <f t="shared" ref="N40:N49" si="33">M40*K40</f>
        <v>1610000.00007</v>
      </c>
      <c r="O40" s="31">
        <v>4600000</v>
      </c>
      <c r="P40" s="54">
        <f t="shared" si="28"/>
        <v>2300000.0001</v>
      </c>
      <c r="Q40" s="54">
        <f t="shared" si="29"/>
        <v>1610000.00007</v>
      </c>
      <c r="R40" s="31">
        <f>1380000+690000</f>
        <v>2070000</v>
      </c>
      <c r="S40" s="31">
        <v>2070000</v>
      </c>
      <c r="T40" s="31"/>
      <c r="U40" s="93">
        <v>0</v>
      </c>
      <c r="V40" s="34">
        <f>R40-S40</f>
        <v>0</v>
      </c>
      <c r="W40" s="88">
        <f t="shared" si="31"/>
        <v>0</v>
      </c>
      <c r="X40" s="34">
        <v>0</v>
      </c>
      <c r="Y40" s="34"/>
      <c r="Z40" s="34"/>
      <c r="AA40" s="34"/>
      <c r="AB40" s="34"/>
      <c r="AC40" s="34">
        <f>IF(L40-S40&gt;=0,L40-S40,0)</f>
        <v>229999.9999</v>
      </c>
      <c r="AD40" s="34">
        <f t="shared" si="27"/>
        <v>2530000</v>
      </c>
      <c r="AE40" s="34">
        <f t="shared" ref="AE40:AE49" si="34">J40-S40</f>
        <v>2530000</v>
      </c>
    </row>
    <row r="41" s="2" customFormat="1" ht="66" customHeight="1" spans="1:34">
      <c r="A41" s="27">
        <v>38</v>
      </c>
      <c r="B41" s="27" t="s">
        <v>36</v>
      </c>
      <c r="C41" s="30" t="s">
        <v>151</v>
      </c>
      <c r="D41" s="29"/>
      <c r="E41" s="29" t="s">
        <v>152</v>
      </c>
      <c r="F41" s="29" t="s">
        <v>153</v>
      </c>
      <c r="G41" s="29"/>
      <c r="H41" s="29" t="s">
        <v>45</v>
      </c>
      <c r="I41" s="30"/>
      <c r="J41" s="31">
        <v>3058200</v>
      </c>
      <c r="K41" s="32">
        <v>1</v>
      </c>
      <c r="L41" s="31">
        <v>3058200</v>
      </c>
      <c r="M41" s="31">
        <f t="shared" si="18"/>
        <v>0</v>
      </c>
      <c r="N41" s="31">
        <f t="shared" si="33"/>
        <v>0</v>
      </c>
      <c r="O41" s="31">
        <v>3058200</v>
      </c>
      <c r="P41" s="54">
        <f t="shared" si="28"/>
        <v>0</v>
      </c>
      <c r="Q41" s="54">
        <f t="shared" si="29"/>
        <v>0</v>
      </c>
      <c r="R41" s="31">
        <v>305820</v>
      </c>
      <c r="S41" s="31">
        <v>305820</v>
      </c>
      <c r="T41" s="31"/>
      <c r="U41" s="93"/>
      <c r="V41" s="34"/>
      <c r="W41" s="88">
        <f t="shared" si="31"/>
        <v>0</v>
      </c>
      <c r="X41" s="34"/>
      <c r="Y41" s="34"/>
      <c r="Z41" s="34"/>
      <c r="AA41" s="34"/>
      <c r="AB41" s="34"/>
      <c r="AC41" s="34">
        <f t="shared" ref="AC41:AC46" si="35">IF(L41-S41&gt;=0,L41-S41,0)</f>
        <v>2752380</v>
      </c>
      <c r="AD41" s="34">
        <f t="shared" ref="AD41:AD46" si="36">IF(J41-R41&gt;=0,J41-R41,0)</f>
        <v>2752380</v>
      </c>
      <c r="AE41" s="34">
        <f t="shared" si="34"/>
        <v>2752380</v>
      </c>
    </row>
    <row r="42" s="2" customFormat="1" ht="66" customHeight="1" spans="1:34">
      <c r="A42" s="27">
        <v>39</v>
      </c>
      <c r="B42" s="27" t="s">
        <v>47</v>
      </c>
      <c r="C42" s="29" t="s">
        <v>154</v>
      </c>
      <c r="D42" s="29" t="s">
        <v>155</v>
      </c>
      <c r="E42" s="29" t="s">
        <v>156</v>
      </c>
      <c r="F42" s="29" t="s">
        <v>157</v>
      </c>
      <c r="G42" s="29" t="s">
        <v>158</v>
      </c>
      <c r="H42" s="29" t="s">
        <v>159</v>
      </c>
      <c r="I42" s="30" t="s">
        <v>46</v>
      </c>
      <c r="J42" s="31">
        <v>199000000</v>
      </c>
      <c r="K42" s="32">
        <v>0.65</v>
      </c>
      <c r="L42" s="31">
        <v>199000000</v>
      </c>
      <c r="M42" s="31">
        <f t="shared" si="18"/>
        <v>0</v>
      </c>
      <c r="N42" s="31">
        <f t="shared" si="33"/>
        <v>0</v>
      </c>
      <c r="O42" s="31"/>
      <c r="P42" s="54">
        <f t="shared" si="28"/>
        <v>0</v>
      </c>
      <c r="Q42" s="54">
        <f t="shared" si="29"/>
        <v>0</v>
      </c>
      <c r="R42" s="31">
        <v>159200000</v>
      </c>
      <c r="S42" s="31">
        <f>150000000+500000</f>
        <v>150500000</v>
      </c>
      <c r="T42" s="31"/>
      <c r="U42" s="54">
        <v>8700000</v>
      </c>
      <c r="V42" s="34">
        <f t="shared" ref="V42:V48" si="37">R42-S42</f>
        <v>8700000</v>
      </c>
      <c r="W42" s="88">
        <f t="shared" si="31"/>
        <v>0</v>
      </c>
      <c r="X42" s="34"/>
      <c r="Y42" s="34">
        <v>8700000</v>
      </c>
      <c r="Z42" s="34"/>
      <c r="AA42" s="34"/>
      <c r="AB42" s="34"/>
      <c r="AC42" s="34">
        <f t="shared" si="35"/>
        <v>48500000</v>
      </c>
      <c r="AD42" s="34">
        <f t="shared" si="36"/>
        <v>39800000</v>
      </c>
      <c r="AE42" s="34">
        <f t="shared" si="34"/>
        <v>48500000</v>
      </c>
      <c r="AH42" s="2">
        <v>199000000</v>
      </c>
    </row>
    <row r="43" s="2" customFormat="1" ht="66" customHeight="1" spans="1:34">
      <c r="A43" s="27">
        <v>40</v>
      </c>
      <c r="B43" s="27" t="s">
        <v>47</v>
      </c>
      <c r="C43" s="30" t="s">
        <v>160</v>
      </c>
      <c r="D43" s="29"/>
      <c r="E43" s="29" t="s">
        <v>156</v>
      </c>
      <c r="F43" s="29" t="s">
        <v>161</v>
      </c>
      <c r="G43" s="29"/>
      <c r="H43" s="29" t="s">
        <v>159</v>
      </c>
      <c r="I43" s="30" t="s">
        <v>46</v>
      </c>
      <c r="J43" s="31">
        <f>67000000-51500000</f>
        <v>15500000</v>
      </c>
      <c r="K43" s="32">
        <v>0.7</v>
      </c>
      <c r="L43" s="31">
        <v>15500000</v>
      </c>
      <c r="M43" s="31">
        <f t="shared" si="18"/>
        <v>0</v>
      </c>
      <c r="N43" s="31">
        <f t="shared" si="33"/>
        <v>0</v>
      </c>
      <c r="O43" s="31"/>
      <c r="P43" s="54">
        <f t="shared" si="28"/>
        <v>0</v>
      </c>
      <c r="Q43" s="54">
        <f t="shared" si="29"/>
        <v>0</v>
      </c>
      <c r="R43" s="31">
        <v>14719900</v>
      </c>
      <c r="S43" s="31">
        <v>10850000</v>
      </c>
      <c r="T43" s="31"/>
      <c r="U43" s="31">
        <v>3869900</v>
      </c>
      <c r="V43" s="34">
        <f t="shared" si="37"/>
        <v>3869900</v>
      </c>
      <c r="W43" s="88">
        <f t="shared" si="31"/>
        <v>0</v>
      </c>
      <c r="X43" s="34">
        <v>3869900</v>
      </c>
      <c r="Y43" s="34"/>
      <c r="Z43" s="34"/>
      <c r="AA43" s="34"/>
      <c r="AB43" s="34"/>
      <c r="AC43" s="34">
        <f t="shared" si="35"/>
        <v>4650000</v>
      </c>
      <c r="AD43" s="34">
        <f t="shared" si="36"/>
        <v>780100</v>
      </c>
      <c r="AE43" s="34">
        <f t="shared" si="34"/>
        <v>4650000</v>
      </c>
      <c r="AH43" s="2">
        <v>15500000</v>
      </c>
    </row>
    <row r="44" s="2" customFormat="1" ht="66" customHeight="1" spans="1:34">
      <c r="A44" s="27">
        <v>41</v>
      </c>
      <c r="B44" s="27" t="s">
        <v>47</v>
      </c>
      <c r="C44" s="30" t="s">
        <v>162</v>
      </c>
      <c r="D44" s="29"/>
      <c r="E44" s="29" t="s">
        <v>156</v>
      </c>
      <c r="F44" s="29" t="s">
        <v>163</v>
      </c>
      <c r="G44" s="29"/>
      <c r="H44" s="29" t="s">
        <v>159</v>
      </c>
      <c r="I44" s="30" t="s">
        <v>46</v>
      </c>
      <c r="J44" s="31">
        <v>8250000</v>
      </c>
      <c r="K44" s="32">
        <v>0.7</v>
      </c>
      <c r="L44" s="31">
        <v>5010000</v>
      </c>
      <c r="M44" s="31">
        <f t="shared" si="18"/>
        <v>3240000</v>
      </c>
      <c r="N44" s="31">
        <f t="shared" si="33"/>
        <v>2268000</v>
      </c>
      <c r="O44" s="31">
        <v>3240000</v>
      </c>
      <c r="P44" s="54">
        <f t="shared" si="28"/>
        <v>3240000</v>
      </c>
      <c r="Q44" s="54">
        <f t="shared" si="29"/>
        <v>2268000</v>
      </c>
      <c r="R44" s="31">
        <f>4500000+U44</f>
        <v>5775000</v>
      </c>
      <c r="S44" s="31">
        <v>4500000</v>
      </c>
      <c r="T44" s="31"/>
      <c r="U44" s="31">
        <v>1275000</v>
      </c>
      <c r="V44" s="34">
        <f t="shared" si="37"/>
        <v>1275000</v>
      </c>
      <c r="W44" s="88">
        <f t="shared" si="31"/>
        <v>0</v>
      </c>
      <c r="X44" s="34">
        <v>1275000</v>
      </c>
      <c r="Y44" s="34"/>
      <c r="Z44" s="34"/>
      <c r="AA44" s="34"/>
      <c r="AB44" s="34"/>
      <c r="AC44" s="34">
        <f t="shared" si="35"/>
        <v>510000</v>
      </c>
      <c r="AD44" s="34">
        <f t="shared" si="36"/>
        <v>2475000</v>
      </c>
      <c r="AE44" s="34">
        <f t="shared" si="34"/>
        <v>3750000</v>
      </c>
      <c r="AH44" s="2">
        <v>5010000</v>
      </c>
    </row>
    <row r="45" s="2" customFormat="1" ht="66" customHeight="1" spans="1:34">
      <c r="A45" s="27">
        <v>42</v>
      </c>
      <c r="B45" s="27" t="s">
        <v>47</v>
      </c>
      <c r="C45" s="30" t="s">
        <v>164</v>
      </c>
      <c r="D45" s="29"/>
      <c r="E45" s="29" t="s">
        <v>165</v>
      </c>
      <c r="F45" s="29" t="s">
        <v>166</v>
      </c>
      <c r="G45" s="29"/>
      <c r="H45" s="29" t="s">
        <v>51</v>
      </c>
      <c r="I45" s="30" t="s">
        <v>46</v>
      </c>
      <c r="J45" s="31">
        <v>36639000</v>
      </c>
      <c r="K45" s="32">
        <v>0.7</v>
      </c>
      <c r="L45" s="31">
        <v>35210450.717</v>
      </c>
      <c r="M45" s="31">
        <f t="shared" si="18"/>
        <v>1428549.283</v>
      </c>
      <c r="N45" s="31">
        <f t="shared" si="33"/>
        <v>999984.4981</v>
      </c>
      <c r="O45" s="31">
        <v>1428549.283</v>
      </c>
      <c r="P45" s="54">
        <f t="shared" si="28"/>
        <v>1428549.283</v>
      </c>
      <c r="Q45" s="54">
        <f t="shared" si="29"/>
        <v>999984.4981</v>
      </c>
      <c r="R45" s="31">
        <f>27599999.62+U45</f>
        <v>31948306.62</v>
      </c>
      <c r="S45" s="31">
        <v>27599999.62</v>
      </c>
      <c r="T45" s="31">
        <v>0</v>
      </c>
      <c r="U45" s="34">
        <v>4348307</v>
      </c>
      <c r="V45" s="34">
        <f t="shared" si="37"/>
        <v>4348307</v>
      </c>
      <c r="W45" s="88">
        <f t="shared" si="31"/>
        <v>0</v>
      </c>
      <c r="X45" s="34">
        <v>4348307</v>
      </c>
      <c r="Y45" s="34"/>
      <c r="Z45" s="34"/>
      <c r="AA45" s="34"/>
      <c r="AB45" s="34"/>
      <c r="AC45" s="34">
        <f t="shared" si="35"/>
        <v>7610451.097</v>
      </c>
      <c r="AD45" s="34">
        <f t="shared" si="36"/>
        <v>4690693.38</v>
      </c>
      <c r="AE45" s="34">
        <f t="shared" si="34"/>
        <v>9039000.38</v>
      </c>
      <c r="AH45" s="2">
        <v>35210450.717</v>
      </c>
    </row>
    <row r="46" s="2" customFormat="1" ht="82" customHeight="1" spans="1:34">
      <c r="A46" s="27">
        <v>43</v>
      </c>
      <c r="B46" s="27" t="s">
        <v>47</v>
      </c>
      <c r="C46" s="30" t="s">
        <v>167</v>
      </c>
      <c r="D46" s="29"/>
      <c r="E46" s="29" t="s">
        <v>156</v>
      </c>
      <c r="F46" s="29" t="s">
        <v>168</v>
      </c>
      <c r="G46" s="29"/>
      <c r="H46" s="29" t="s">
        <v>159</v>
      </c>
      <c r="I46" s="30" t="s">
        <v>46</v>
      </c>
      <c r="J46" s="31">
        <v>18725956.5</v>
      </c>
      <c r="K46" s="32">
        <v>0.7</v>
      </c>
      <c r="L46" s="7"/>
      <c r="M46" s="31">
        <f t="shared" si="18"/>
        <v>18725956.5</v>
      </c>
      <c r="N46" s="31">
        <f t="shared" si="33"/>
        <v>13108169.55</v>
      </c>
      <c r="O46" s="31"/>
      <c r="P46" s="54">
        <f t="shared" si="28"/>
        <v>0</v>
      </c>
      <c r="Q46" s="54">
        <f t="shared" si="29"/>
        <v>0</v>
      </c>
      <c r="R46" s="31">
        <v>3600000</v>
      </c>
      <c r="S46" s="31">
        <v>3600000</v>
      </c>
      <c r="T46" s="31"/>
      <c r="U46" s="31">
        <v>0</v>
      </c>
      <c r="V46" s="34">
        <f t="shared" si="37"/>
        <v>0</v>
      </c>
      <c r="W46" s="88">
        <f t="shared" si="31"/>
        <v>0</v>
      </c>
      <c r="X46" s="34">
        <v>0</v>
      </c>
      <c r="Y46" s="34"/>
      <c r="Z46" s="34"/>
      <c r="AA46" s="34"/>
      <c r="AB46" s="34"/>
      <c r="AC46" s="34">
        <f t="shared" si="35"/>
        <v>0</v>
      </c>
      <c r="AD46" s="34">
        <f t="shared" si="36"/>
        <v>15125956.5</v>
      </c>
      <c r="AE46" s="34">
        <f t="shared" si="34"/>
        <v>15125956.5</v>
      </c>
    </row>
    <row r="47" s="2" customFormat="1" ht="82" customHeight="1" spans="1:34">
      <c r="A47" s="27">
        <v>44</v>
      </c>
      <c r="B47" s="27" t="s">
        <v>47</v>
      </c>
      <c r="C47" s="30" t="s">
        <v>169</v>
      </c>
      <c r="D47" s="29"/>
      <c r="E47" s="29" t="s">
        <v>156</v>
      </c>
      <c r="F47" s="29" t="s">
        <v>170</v>
      </c>
      <c r="G47" s="29" t="s">
        <v>171</v>
      </c>
      <c r="H47" s="29" t="s">
        <v>69</v>
      </c>
      <c r="I47" s="30" t="s">
        <v>70</v>
      </c>
      <c r="J47" s="31">
        <v>20000000</v>
      </c>
      <c r="K47" s="32">
        <v>0.7</v>
      </c>
      <c r="L47" s="94">
        <v>20000000</v>
      </c>
      <c r="M47" s="31">
        <f t="shared" si="18"/>
        <v>0</v>
      </c>
      <c r="N47" s="68">
        <f t="shared" si="33"/>
        <v>0</v>
      </c>
      <c r="O47" s="31">
        <v>20000000</v>
      </c>
      <c r="P47" s="54">
        <f t="shared" si="28"/>
        <v>0</v>
      </c>
      <c r="Q47" s="54">
        <f t="shared" si="29"/>
        <v>0</v>
      </c>
      <c r="R47" s="31">
        <v>16500000</v>
      </c>
      <c r="S47" s="31">
        <v>16500000</v>
      </c>
      <c r="T47" s="31">
        <v>0</v>
      </c>
      <c r="U47" s="31">
        <v>0</v>
      </c>
      <c r="V47" s="34">
        <f t="shared" si="37"/>
        <v>0</v>
      </c>
      <c r="W47" s="88">
        <f t="shared" si="31"/>
        <v>0</v>
      </c>
      <c r="X47" s="34"/>
      <c r="Y47" s="34"/>
      <c r="Z47" s="34"/>
      <c r="AA47" s="34"/>
      <c r="AB47" s="34"/>
      <c r="AC47" s="34">
        <f t="shared" ref="AC47:AC62" si="38">IF(L47-S47&gt;=0,L47-S47,0)</f>
        <v>3500000</v>
      </c>
      <c r="AD47" s="34">
        <f t="shared" ref="AD47:AD62" si="39">IF(J47-R47&gt;=0,J47-R47,0)</f>
        <v>3500000</v>
      </c>
      <c r="AE47" s="34">
        <f t="shared" si="34"/>
        <v>3500000</v>
      </c>
    </row>
    <row r="48" s="2" customFormat="1" ht="82" customHeight="1" spans="1:34">
      <c r="A48" s="27">
        <v>45</v>
      </c>
      <c r="B48" s="27" t="s">
        <v>47</v>
      </c>
      <c r="C48" s="30" t="s">
        <v>172</v>
      </c>
      <c r="D48" s="29"/>
      <c r="E48" s="29" t="s">
        <v>173</v>
      </c>
      <c r="F48" s="29" t="s">
        <v>174</v>
      </c>
      <c r="G48" s="29"/>
      <c r="H48" s="29" t="s">
        <v>41</v>
      </c>
      <c r="I48" s="30" t="s">
        <v>42</v>
      </c>
      <c r="J48" s="31">
        <v>58320000</v>
      </c>
      <c r="K48" s="32">
        <v>0.7</v>
      </c>
      <c r="L48" s="49"/>
      <c r="M48" s="31">
        <v>0</v>
      </c>
      <c r="N48" s="31">
        <f t="shared" si="33"/>
        <v>0</v>
      </c>
      <c r="O48" s="31"/>
      <c r="P48" s="54">
        <f t="shared" si="28"/>
        <v>0</v>
      </c>
      <c r="Q48" s="54">
        <f t="shared" si="29"/>
        <v>0</v>
      </c>
      <c r="R48" s="31">
        <v>0</v>
      </c>
      <c r="S48" s="31">
        <v>0</v>
      </c>
      <c r="T48" s="31">
        <v>0</v>
      </c>
      <c r="U48" s="31">
        <v>0</v>
      </c>
      <c r="V48" s="34">
        <f t="shared" si="37"/>
        <v>0</v>
      </c>
      <c r="W48" s="88">
        <f t="shared" si="31"/>
        <v>0</v>
      </c>
      <c r="X48" s="34"/>
      <c r="Y48" s="34"/>
      <c r="Z48" s="34"/>
      <c r="AA48" s="34"/>
      <c r="AB48" s="34"/>
      <c r="AC48" s="34">
        <f t="shared" si="38"/>
        <v>0</v>
      </c>
      <c r="AD48" s="34">
        <f t="shared" si="39"/>
        <v>58320000</v>
      </c>
      <c r="AE48" s="34">
        <f t="shared" si="34"/>
        <v>58320000</v>
      </c>
    </row>
    <row r="49" s="2" customFormat="1" ht="66" customHeight="1" spans="1:34">
      <c r="A49" s="27">
        <v>46</v>
      </c>
      <c r="B49" s="27" t="s">
        <v>36</v>
      </c>
      <c r="C49" s="30" t="s">
        <v>175</v>
      </c>
      <c r="D49" s="29"/>
      <c r="E49" s="29" t="s">
        <v>176</v>
      </c>
      <c r="F49" s="29" t="s">
        <v>177</v>
      </c>
      <c r="G49" s="29"/>
      <c r="H49" s="29" t="s">
        <v>51</v>
      </c>
      <c r="I49" s="30" t="s">
        <v>46</v>
      </c>
      <c r="J49" s="31">
        <v>1380000</v>
      </c>
      <c r="K49" s="32">
        <v>0.7</v>
      </c>
      <c r="L49" s="31"/>
      <c r="M49" s="31">
        <f t="shared" ref="M49:M52" si="40">J49-L49</f>
        <v>1380000</v>
      </c>
      <c r="N49" s="31">
        <f t="shared" si="33"/>
        <v>966000</v>
      </c>
      <c r="O49" s="31"/>
      <c r="P49" s="54">
        <f t="shared" si="28"/>
        <v>0</v>
      </c>
      <c r="Q49" s="54">
        <f t="shared" si="29"/>
        <v>0</v>
      </c>
      <c r="R49" s="31">
        <v>1242000</v>
      </c>
      <c r="S49" s="31"/>
      <c r="T49" s="31">
        <v>1242000</v>
      </c>
      <c r="U49" s="31"/>
      <c r="V49" s="34">
        <f t="shared" ref="V49:V55" si="41">R49-S49</f>
        <v>1242000</v>
      </c>
      <c r="W49" s="88">
        <f t="shared" si="31"/>
        <v>0</v>
      </c>
      <c r="X49" s="34">
        <v>0</v>
      </c>
      <c r="Y49" s="34">
        <v>828000</v>
      </c>
      <c r="Z49" s="34">
        <v>414000</v>
      </c>
      <c r="AA49" s="34"/>
      <c r="AB49" s="34"/>
      <c r="AC49" s="34">
        <f t="shared" si="38"/>
        <v>0</v>
      </c>
      <c r="AD49" s="34">
        <f t="shared" si="39"/>
        <v>138000</v>
      </c>
      <c r="AE49" s="34">
        <f t="shared" si="34"/>
        <v>1380000</v>
      </c>
    </row>
    <row r="50" s="2" customFormat="1" ht="82" customHeight="1" spans="1:34">
      <c r="A50" s="27">
        <v>47</v>
      </c>
      <c r="B50" s="27" t="s">
        <v>47</v>
      </c>
      <c r="C50" s="30" t="s">
        <v>178</v>
      </c>
      <c r="D50" s="43" t="s">
        <v>179</v>
      </c>
      <c r="E50" s="29" t="s">
        <v>180</v>
      </c>
      <c r="F50" s="29" t="s">
        <v>181</v>
      </c>
      <c r="G50" s="29" t="s">
        <v>182</v>
      </c>
      <c r="H50" s="29" t="s">
        <v>51</v>
      </c>
      <c r="I50" s="30" t="s">
        <v>46</v>
      </c>
      <c r="J50" s="31">
        <v>9095400</v>
      </c>
      <c r="K50" s="32">
        <v>0.7</v>
      </c>
      <c r="L50" s="31">
        <v>9039600</v>
      </c>
      <c r="M50" s="31">
        <v>0</v>
      </c>
      <c r="N50" s="31">
        <f t="shared" ref="N50:N55" si="42">M50*K50</f>
        <v>0</v>
      </c>
      <c r="O50" s="31"/>
      <c r="P50" s="54">
        <f t="shared" si="28"/>
        <v>0</v>
      </c>
      <c r="Q50" s="54">
        <f t="shared" si="29"/>
        <v>0</v>
      </c>
      <c r="R50" s="31">
        <v>9039600</v>
      </c>
      <c r="S50" s="31">
        <v>7790000</v>
      </c>
      <c r="T50" s="95">
        <v>1249600</v>
      </c>
      <c r="U50" s="31"/>
      <c r="V50" s="34">
        <f t="shared" si="41"/>
        <v>1249600</v>
      </c>
      <c r="W50" s="88">
        <f t="shared" si="31"/>
        <v>0</v>
      </c>
      <c r="X50" s="34"/>
      <c r="Y50" s="34"/>
      <c r="Z50" s="34"/>
      <c r="AA50" s="34"/>
      <c r="AB50" s="34">
        <v>1249600</v>
      </c>
      <c r="AC50" s="34">
        <f t="shared" si="38"/>
        <v>1249600</v>
      </c>
      <c r="AD50" s="34">
        <f t="shared" si="39"/>
        <v>55800</v>
      </c>
      <c r="AE50" s="34">
        <f t="shared" ref="AE50:AE55" si="43">J50-S50</f>
        <v>1305400</v>
      </c>
      <c r="AH50" s="2">
        <v>9039600</v>
      </c>
    </row>
    <row r="51" s="2" customFormat="1" ht="82" customHeight="1" spans="1:34">
      <c r="A51" s="27">
        <v>48</v>
      </c>
      <c r="B51" s="27" t="s">
        <v>47</v>
      </c>
      <c r="C51" s="30" t="s">
        <v>183</v>
      </c>
      <c r="D51" s="37"/>
      <c r="E51" s="29" t="s">
        <v>184</v>
      </c>
      <c r="F51" s="79" t="s">
        <v>185</v>
      </c>
      <c r="G51" s="29"/>
      <c r="H51" s="29" t="s">
        <v>116</v>
      </c>
      <c r="I51" s="30"/>
      <c r="J51" s="31">
        <v>7200000</v>
      </c>
      <c r="K51" s="32">
        <v>0.7</v>
      </c>
      <c r="L51" s="31"/>
      <c r="M51" s="31">
        <f t="shared" si="40"/>
        <v>7200000</v>
      </c>
      <c r="N51" s="31">
        <f t="shared" si="42"/>
        <v>5040000</v>
      </c>
      <c r="O51" s="31">
        <v>7200000</v>
      </c>
      <c r="P51" s="54">
        <f t="shared" si="28"/>
        <v>7200000</v>
      </c>
      <c r="Q51" s="54">
        <f t="shared" si="29"/>
        <v>5040000</v>
      </c>
      <c r="R51" s="31">
        <v>1440000</v>
      </c>
      <c r="S51" s="31">
        <v>1440000</v>
      </c>
      <c r="T51" s="31"/>
      <c r="U51" s="31"/>
      <c r="V51" s="34">
        <f t="shared" si="41"/>
        <v>0</v>
      </c>
      <c r="W51" s="88">
        <f t="shared" si="31"/>
        <v>0</v>
      </c>
      <c r="X51" s="34"/>
      <c r="Y51" s="34"/>
      <c r="Z51" s="34"/>
      <c r="AA51" s="34"/>
      <c r="AB51" s="34"/>
      <c r="AC51" s="34">
        <f t="shared" si="38"/>
        <v>0</v>
      </c>
      <c r="AD51" s="34">
        <f t="shared" si="39"/>
        <v>5760000</v>
      </c>
      <c r="AE51" s="34">
        <f t="shared" si="43"/>
        <v>5760000</v>
      </c>
    </row>
    <row r="52" s="2" customFormat="1" ht="82" customHeight="1" spans="1:34">
      <c r="A52" s="27">
        <v>49</v>
      </c>
      <c r="B52" s="27" t="s">
        <v>36</v>
      </c>
      <c r="C52" s="30" t="s">
        <v>186</v>
      </c>
      <c r="D52" s="43" t="s">
        <v>187</v>
      </c>
      <c r="E52" s="29" t="s">
        <v>188</v>
      </c>
      <c r="F52" s="29" t="s">
        <v>189</v>
      </c>
      <c r="G52" s="29"/>
      <c r="H52" s="29" t="s">
        <v>132</v>
      </c>
      <c r="I52" s="30"/>
      <c r="J52" s="31">
        <v>2793000</v>
      </c>
      <c r="K52" s="32">
        <v>0.7</v>
      </c>
      <c r="L52" s="31">
        <v>2793000</v>
      </c>
      <c r="M52" s="31">
        <f t="shared" si="40"/>
        <v>0</v>
      </c>
      <c r="N52" s="31">
        <f t="shared" si="42"/>
        <v>0</v>
      </c>
      <c r="O52" s="31"/>
      <c r="P52" s="54">
        <f t="shared" si="28"/>
        <v>0</v>
      </c>
      <c r="Q52" s="54">
        <f t="shared" si="29"/>
        <v>0</v>
      </c>
      <c r="R52" s="31">
        <v>1117200</v>
      </c>
      <c r="S52" s="31">
        <v>0</v>
      </c>
      <c r="T52" s="31"/>
      <c r="U52" s="31">
        <v>1117200</v>
      </c>
      <c r="V52" s="34">
        <f t="shared" si="41"/>
        <v>1117200</v>
      </c>
      <c r="W52" s="88">
        <f t="shared" si="31"/>
        <v>0</v>
      </c>
      <c r="X52" s="34">
        <v>1117200</v>
      </c>
      <c r="Y52" s="34"/>
      <c r="Z52" s="34"/>
      <c r="AA52" s="34"/>
      <c r="AB52" s="34"/>
      <c r="AC52" s="34">
        <f t="shared" si="38"/>
        <v>2793000</v>
      </c>
      <c r="AD52" s="34">
        <f t="shared" si="39"/>
        <v>1675800</v>
      </c>
      <c r="AE52" s="34">
        <f t="shared" si="43"/>
        <v>2793000</v>
      </c>
      <c r="AH52" s="2">
        <v>2793000</v>
      </c>
    </row>
    <row r="53" s="2" customFormat="1" ht="82" customHeight="1" spans="1:34">
      <c r="A53" s="27">
        <v>50</v>
      </c>
      <c r="B53" s="27" t="s">
        <v>36</v>
      </c>
      <c r="C53" s="30" t="s">
        <v>190</v>
      </c>
      <c r="D53" s="37"/>
      <c r="E53" s="29" t="s">
        <v>191</v>
      </c>
      <c r="F53" s="29" t="s">
        <v>192</v>
      </c>
      <c r="G53" s="29"/>
      <c r="H53" s="29" t="s">
        <v>132</v>
      </c>
      <c r="I53" s="30"/>
      <c r="J53" s="96">
        <v>1960000</v>
      </c>
      <c r="K53" s="32">
        <v>0.7</v>
      </c>
      <c r="L53" s="31">
        <v>1960000</v>
      </c>
      <c r="M53" s="31">
        <f t="shared" ref="M51:M70" si="44">J53-L53</f>
        <v>0</v>
      </c>
      <c r="N53" s="31">
        <f t="shared" si="42"/>
        <v>0</v>
      </c>
      <c r="O53" s="31">
        <v>1960000.0064</v>
      </c>
      <c r="P53" s="54">
        <f t="shared" si="28"/>
        <v>0.00640000007115304</v>
      </c>
      <c r="Q53" s="54">
        <f t="shared" si="29"/>
        <v>0.00448000004980713</v>
      </c>
      <c r="R53" s="31">
        <f>588000</f>
        <v>588000</v>
      </c>
      <c r="S53" s="31"/>
      <c r="T53" s="31">
        <v>588000</v>
      </c>
      <c r="U53" s="31">
        <v>0</v>
      </c>
      <c r="V53" s="34">
        <f t="shared" si="41"/>
        <v>588000</v>
      </c>
      <c r="W53" s="88">
        <f t="shared" si="31"/>
        <v>0</v>
      </c>
      <c r="X53" s="34"/>
      <c r="Y53" s="34">
        <v>588000</v>
      </c>
      <c r="Z53" s="34"/>
      <c r="AA53" s="34"/>
      <c r="AB53" s="34"/>
      <c r="AC53" s="34">
        <f t="shared" si="38"/>
        <v>1960000</v>
      </c>
      <c r="AD53" s="34">
        <f t="shared" si="39"/>
        <v>1372000</v>
      </c>
      <c r="AE53" s="34">
        <f t="shared" si="43"/>
        <v>1960000</v>
      </c>
      <c r="AH53" s="2">
        <v>0</v>
      </c>
    </row>
    <row r="54" s="2" customFormat="1" ht="82" customHeight="1" spans="1:34">
      <c r="A54" s="27">
        <v>51</v>
      </c>
      <c r="B54" s="27" t="s">
        <v>36</v>
      </c>
      <c r="C54" s="30" t="s">
        <v>193</v>
      </c>
      <c r="D54" s="37"/>
      <c r="E54" s="29" t="s">
        <v>194</v>
      </c>
      <c r="F54" s="29" t="s">
        <v>195</v>
      </c>
      <c r="G54" s="29"/>
      <c r="H54" s="29" t="s">
        <v>76</v>
      </c>
      <c r="I54" s="30"/>
      <c r="J54" s="96">
        <v>708000</v>
      </c>
      <c r="K54" s="32">
        <v>1</v>
      </c>
      <c r="L54" s="31"/>
      <c r="M54" s="31">
        <f t="shared" si="44"/>
        <v>708000</v>
      </c>
      <c r="N54" s="31">
        <f t="shared" si="42"/>
        <v>708000</v>
      </c>
      <c r="O54" s="31">
        <v>708000</v>
      </c>
      <c r="P54" s="54">
        <f t="shared" si="28"/>
        <v>708000</v>
      </c>
      <c r="Q54" s="54">
        <f t="shared" si="29"/>
        <v>708000</v>
      </c>
      <c r="R54" s="31">
        <v>212400</v>
      </c>
      <c r="S54" s="31">
        <v>212400</v>
      </c>
      <c r="T54" s="31">
        <v>0</v>
      </c>
      <c r="U54" s="31"/>
      <c r="V54" s="34">
        <f t="shared" si="41"/>
        <v>0</v>
      </c>
      <c r="W54" s="88">
        <f t="shared" si="31"/>
        <v>0</v>
      </c>
      <c r="X54" s="34">
        <v>0</v>
      </c>
      <c r="Y54" s="34"/>
      <c r="Z54" s="34"/>
      <c r="AA54" s="34"/>
      <c r="AB54" s="34"/>
      <c r="AC54" s="34">
        <f t="shared" si="38"/>
        <v>0</v>
      </c>
      <c r="AD54" s="34">
        <f t="shared" si="39"/>
        <v>495600</v>
      </c>
      <c r="AE54" s="34">
        <f t="shared" si="43"/>
        <v>495600</v>
      </c>
    </row>
    <row r="55" s="2" customFormat="1" ht="82" customHeight="1" spans="1:34">
      <c r="A55" s="27">
        <v>52</v>
      </c>
      <c r="B55" s="27" t="s">
        <v>36</v>
      </c>
      <c r="C55" s="30" t="s">
        <v>196</v>
      </c>
      <c r="D55" s="37"/>
      <c r="E55" s="29" t="s">
        <v>188</v>
      </c>
      <c r="F55" s="29" t="s">
        <v>197</v>
      </c>
      <c r="G55" s="29"/>
      <c r="H55" s="29" t="s">
        <v>132</v>
      </c>
      <c r="I55" s="30"/>
      <c r="J55" s="96">
        <v>980000</v>
      </c>
      <c r="K55" s="32">
        <v>0.7</v>
      </c>
      <c r="L55" s="31">
        <v>980000</v>
      </c>
      <c r="M55" s="31">
        <f t="shared" si="44"/>
        <v>0</v>
      </c>
      <c r="N55" s="31">
        <f t="shared" si="42"/>
        <v>0</v>
      </c>
      <c r="O55" s="31">
        <v>980000</v>
      </c>
      <c r="P55" s="54">
        <f t="shared" si="28"/>
        <v>0</v>
      </c>
      <c r="Q55" s="54">
        <f t="shared" si="29"/>
        <v>0</v>
      </c>
      <c r="R55" s="31">
        <v>294000</v>
      </c>
      <c r="S55" s="31"/>
      <c r="T55" s="31"/>
      <c r="U55" s="31">
        <v>294000</v>
      </c>
      <c r="V55" s="34">
        <f t="shared" si="41"/>
        <v>294000</v>
      </c>
      <c r="W55" s="88">
        <f t="shared" si="31"/>
        <v>0</v>
      </c>
      <c r="X55" s="34">
        <v>294000</v>
      </c>
      <c r="Y55" s="34"/>
      <c r="Z55" s="34"/>
      <c r="AA55" s="34"/>
      <c r="AB55" s="34"/>
      <c r="AC55" s="34">
        <f t="shared" si="38"/>
        <v>980000</v>
      </c>
      <c r="AD55" s="34">
        <f t="shared" si="39"/>
        <v>686000</v>
      </c>
      <c r="AE55" s="34">
        <f t="shared" si="43"/>
        <v>980000</v>
      </c>
    </row>
    <row r="56" s="2" customFormat="1" ht="82" customHeight="1" spans="1:34">
      <c r="A56" s="27">
        <v>53</v>
      </c>
      <c r="B56" s="27" t="s">
        <v>36</v>
      </c>
      <c r="C56" s="30" t="s">
        <v>186</v>
      </c>
      <c r="D56" s="37"/>
      <c r="E56" s="29" t="s">
        <v>194</v>
      </c>
      <c r="F56" s="29" t="s">
        <v>198</v>
      </c>
      <c r="G56" s="29"/>
      <c r="H56" s="29" t="s">
        <v>132</v>
      </c>
      <c r="I56" s="30"/>
      <c r="J56" s="96">
        <v>2631800</v>
      </c>
      <c r="K56" s="32">
        <v>0.7</v>
      </c>
      <c r="L56" s="31">
        <v>2631800</v>
      </c>
      <c r="M56" s="31">
        <f t="shared" si="44"/>
        <v>0</v>
      </c>
      <c r="N56" s="31">
        <f t="shared" ref="N56:N70" si="45">M56*K56</f>
        <v>0</v>
      </c>
      <c r="O56" s="31"/>
      <c r="P56" s="54">
        <f t="shared" si="28"/>
        <v>0</v>
      </c>
      <c r="Q56" s="54">
        <f t="shared" si="29"/>
        <v>0</v>
      </c>
      <c r="R56" s="31">
        <v>0</v>
      </c>
      <c r="S56" s="31">
        <v>0</v>
      </c>
      <c r="T56" s="31"/>
      <c r="U56" s="31"/>
      <c r="V56" s="34"/>
      <c r="W56" s="88">
        <f t="shared" si="31"/>
        <v>0</v>
      </c>
      <c r="X56" s="34"/>
      <c r="Y56" s="34"/>
      <c r="Z56" s="34"/>
      <c r="AA56" s="34"/>
      <c r="AB56" s="34"/>
      <c r="AC56" s="34">
        <f t="shared" si="38"/>
        <v>2631800</v>
      </c>
      <c r="AD56" s="34">
        <f t="shared" si="39"/>
        <v>2631800</v>
      </c>
      <c r="AE56" s="34">
        <f t="shared" ref="AE56:AE62" si="46">J56-S56</f>
        <v>2631800</v>
      </c>
      <c r="AH56" s="2">
        <v>2631800</v>
      </c>
    </row>
    <row r="57" s="2" customFormat="1" ht="82" customHeight="1" spans="1:34">
      <c r="A57" s="27">
        <v>54</v>
      </c>
      <c r="B57" s="27" t="s">
        <v>47</v>
      </c>
      <c r="C57" s="30" t="s">
        <v>199</v>
      </c>
      <c r="D57" s="43" t="s">
        <v>200</v>
      </c>
      <c r="E57" s="29" t="s">
        <v>201</v>
      </c>
      <c r="F57" s="29" t="s">
        <v>202</v>
      </c>
      <c r="G57" s="29" t="s">
        <v>203</v>
      </c>
      <c r="H57" s="29" t="s">
        <v>41</v>
      </c>
      <c r="I57" s="30" t="s">
        <v>42</v>
      </c>
      <c r="J57" s="31">
        <v>25544998.5</v>
      </c>
      <c r="K57" s="32">
        <v>0.7</v>
      </c>
      <c r="L57" s="31">
        <v>25544998.5</v>
      </c>
      <c r="M57" s="31">
        <f t="shared" si="44"/>
        <v>0</v>
      </c>
      <c r="N57" s="31">
        <f t="shared" si="45"/>
        <v>0</v>
      </c>
      <c r="O57" s="31"/>
      <c r="P57" s="54">
        <f t="shared" si="28"/>
        <v>0</v>
      </c>
      <c r="Q57" s="54">
        <f t="shared" si="29"/>
        <v>0</v>
      </c>
      <c r="R57" s="31">
        <v>25544998.5</v>
      </c>
      <c r="S57" s="31">
        <v>22775000</v>
      </c>
      <c r="T57" s="31">
        <v>2769998.5</v>
      </c>
      <c r="U57" s="31"/>
      <c r="V57" s="34">
        <f t="shared" ref="V57:V60" si="47">R57-S57</f>
        <v>2769998.5</v>
      </c>
      <c r="W57" s="88">
        <f t="shared" si="31"/>
        <v>0</v>
      </c>
      <c r="X57" s="34"/>
      <c r="Y57" s="34"/>
      <c r="Z57" s="34"/>
      <c r="AA57" s="34"/>
      <c r="AB57" s="34">
        <v>2769998.5</v>
      </c>
      <c r="AC57" s="34">
        <f t="shared" si="38"/>
        <v>2769998.5</v>
      </c>
      <c r="AD57" s="34">
        <f t="shared" si="39"/>
        <v>0</v>
      </c>
      <c r="AE57" s="34">
        <f t="shared" si="46"/>
        <v>2769998.5</v>
      </c>
      <c r="AH57" s="2">
        <v>25544998.5</v>
      </c>
    </row>
    <row r="58" s="2" customFormat="1" ht="66" customHeight="1" spans="1:34">
      <c r="A58" s="27">
        <v>55</v>
      </c>
      <c r="B58" s="27" t="s">
        <v>47</v>
      </c>
      <c r="C58" s="30" t="s">
        <v>204</v>
      </c>
      <c r="D58" s="44"/>
      <c r="E58" s="29" t="s">
        <v>205</v>
      </c>
      <c r="F58" s="29" t="s">
        <v>206</v>
      </c>
      <c r="G58" s="29"/>
      <c r="H58" s="29" t="s">
        <v>116</v>
      </c>
      <c r="I58" s="30"/>
      <c r="J58" s="97">
        <v>16000000</v>
      </c>
      <c r="K58" s="32">
        <v>0.7</v>
      </c>
      <c r="L58" s="31">
        <v>16000000</v>
      </c>
      <c r="M58" s="31">
        <f t="shared" si="44"/>
        <v>0</v>
      </c>
      <c r="N58" s="31">
        <f t="shared" si="45"/>
        <v>0</v>
      </c>
      <c r="O58" s="54">
        <v>16000000</v>
      </c>
      <c r="P58" s="54">
        <f t="shared" si="28"/>
        <v>0</v>
      </c>
      <c r="Q58" s="54">
        <f t="shared" si="29"/>
        <v>0</v>
      </c>
      <c r="R58" s="54">
        <v>14400000</v>
      </c>
      <c r="S58" s="31">
        <v>14400000</v>
      </c>
      <c r="T58" s="31"/>
      <c r="U58" s="31"/>
      <c r="V58" s="34">
        <f t="shared" si="47"/>
        <v>0</v>
      </c>
      <c r="W58" s="88">
        <f t="shared" si="31"/>
        <v>0</v>
      </c>
      <c r="X58" s="34"/>
      <c r="Y58" s="34"/>
      <c r="Z58" s="34"/>
      <c r="AA58" s="34"/>
      <c r="AB58" s="34"/>
      <c r="AC58" s="34">
        <f t="shared" si="38"/>
        <v>1600000</v>
      </c>
      <c r="AD58" s="34">
        <f t="shared" si="39"/>
        <v>1600000</v>
      </c>
      <c r="AE58" s="34">
        <f t="shared" si="46"/>
        <v>1600000</v>
      </c>
      <c r="AH58" s="2">
        <v>0</v>
      </c>
    </row>
    <row r="59" s="2" customFormat="1" ht="66" customHeight="1" spans="1:34">
      <c r="A59" s="27">
        <v>56</v>
      </c>
      <c r="B59" s="27" t="s">
        <v>47</v>
      </c>
      <c r="C59" s="30" t="s">
        <v>207</v>
      </c>
      <c r="D59" s="43" t="s">
        <v>208</v>
      </c>
      <c r="E59" s="29" t="s">
        <v>209</v>
      </c>
      <c r="F59" s="29" t="s">
        <v>210</v>
      </c>
      <c r="G59" s="29"/>
      <c r="H59" s="29" t="s">
        <v>59</v>
      </c>
      <c r="I59" s="30" t="s">
        <v>60</v>
      </c>
      <c r="J59" s="31">
        <v>10300000</v>
      </c>
      <c r="K59" s="32">
        <v>1</v>
      </c>
      <c r="L59" s="31">
        <v>4820742.268</v>
      </c>
      <c r="M59" s="31">
        <f t="shared" si="44"/>
        <v>5479257.732</v>
      </c>
      <c r="N59" s="31">
        <f t="shared" si="45"/>
        <v>5479257.732</v>
      </c>
      <c r="O59" s="31">
        <v>10300000</v>
      </c>
      <c r="P59" s="54">
        <f t="shared" si="28"/>
        <v>5479257.732</v>
      </c>
      <c r="Q59" s="54">
        <f t="shared" si="29"/>
        <v>5479257.732</v>
      </c>
      <c r="R59" s="31">
        <v>3224109</v>
      </c>
      <c r="S59" s="31">
        <v>2750000</v>
      </c>
      <c r="T59" s="31">
        <v>0</v>
      </c>
      <c r="U59" s="31">
        <v>474109</v>
      </c>
      <c r="V59" s="34">
        <f t="shared" si="47"/>
        <v>474109</v>
      </c>
      <c r="W59" s="88">
        <f t="shared" si="31"/>
        <v>0</v>
      </c>
      <c r="X59" s="34">
        <v>474109</v>
      </c>
      <c r="Y59" s="34"/>
      <c r="Z59" s="34"/>
      <c r="AA59" s="34"/>
      <c r="AB59" s="34"/>
      <c r="AC59" s="34">
        <f t="shared" si="38"/>
        <v>2070742.268</v>
      </c>
      <c r="AD59" s="34">
        <f t="shared" si="39"/>
        <v>7075891</v>
      </c>
      <c r="AE59" s="34">
        <f t="shared" si="46"/>
        <v>7550000</v>
      </c>
      <c r="AH59" s="2">
        <v>0</v>
      </c>
    </row>
    <row r="60" s="3" customFormat="1" ht="65" customHeight="1" spans="1:34">
      <c r="A60" s="27">
        <v>57</v>
      </c>
      <c r="B60" s="27" t="s">
        <v>36</v>
      </c>
      <c r="C60" s="30" t="s">
        <v>211</v>
      </c>
      <c r="D60" s="37"/>
      <c r="E60" s="29" t="s">
        <v>212</v>
      </c>
      <c r="F60" s="29" t="s">
        <v>213</v>
      </c>
      <c r="G60" s="29"/>
      <c r="H60" s="29" t="s">
        <v>76</v>
      </c>
      <c r="I60" s="30" t="s">
        <v>77</v>
      </c>
      <c r="J60" s="29">
        <v>44260000</v>
      </c>
      <c r="K60" s="32">
        <v>1</v>
      </c>
      <c r="L60" s="31">
        <v>20000000.0065</v>
      </c>
      <c r="M60" s="31">
        <f t="shared" si="44"/>
        <v>24259999.9935</v>
      </c>
      <c r="N60" s="31">
        <f t="shared" si="45"/>
        <v>24259999.9935</v>
      </c>
      <c r="O60" s="31">
        <v>44260000</v>
      </c>
      <c r="P60" s="54">
        <f t="shared" si="28"/>
        <v>24259999.9935</v>
      </c>
      <c r="Q60" s="54">
        <f t="shared" si="29"/>
        <v>24259999.9935</v>
      </c>
      <c r="R60" s="31">
        <v>44260000</v>
      </c>
      <c r="S60" s="31">
        <v>0</v>
      </c>
      <c r="T60" s="31"/>
      <c r="U60" s="31">
        <v>44260000</v>
      </c>
      <c r="V60" s="34">
        <f t="shared" si="47"/>
        <v>44260000</v>
      </c>
      <c r="W60" s="88">
        <f t="shared" si="31"/>
        <v>0</v>
      </c>
      <c r="X60" s="34">
        <v>44260000</v>
      </c>
      <c r="Y60" s="34"/>
      <c r="Z60" s="34"/>
      <c r="AA60" s="34"/>
      <c r="AB60" s="34"/>
      <c r="AC60" s="34">
        <f t="shared" si="38"/>
        <v>20000000.0065</v>
      </c>
      <c r="AD60" s="34">
        <f t="shared" si="39"/>
        <v>0</v>
      </c>
      <c r="AE60" s="34">
        <f t="shared" si="46"/>
        <v>44260000</v>
      </c>
    </row>
    <row r="61" s="3" customFormat="1" ht="65" customHeight="1" spans="1:34">
      <c r="A61" s="27">
        <v>58</v>
      </c>
      <c r="B61" s="27" t="s">
        <v>47</v>
      </c>
      <c r="C61" s="30" t="s">
        <v>214</v>
      </c>
      <c r="D61" s="37"/>
      <c r="E61" s="29" t="s">
        <v>215</v>
      </c>
      <c r="F61" s="29" t="s">
        <v>216</v>
      </c>
      <c r="G61" s="29"/>
      <c r="H61" s="29" t="s">
        <v>59</v>
      </c>
      <c r="I61" s="30" t="s">
        <v>60</v>
      </c>
      <c r="J61" s="29">
        <v>7325000</v>
      </c>
      <c r="K61" s="32">
        <v>1</v>
      </c>
      <c r="L61" s="29"/>
      <c r="M61" s="31">
        <f t="shared" si="44"/>
        <v>7325000</v>
      </c>
      <c r="N61" s="31">
        <f t="shared" si="45"/>
        <v>7325000</v>
      </c>
      <c r="O61" s="31"/>
      <c r="P61" s="54">
        <f t="shared" si="28"/>
        <v>0</v>
      </c>
      <c r="Q61" s="54">
        <f t="shared" si="29"/>
        <v>0</v>
      </c>
      <c r="R61" s="31"/>
      <c r="S61" s="31"/>
      <c r="T61" s="31"/>
      <c r="U61" s="31"/>
      <c r="V61" s="34"/>
      <c r="W61" s="88">
        <f t="shared" si="31"/>
        <v>0</v>
      </c>
      <c r="X61" s="34"/>
      <c r="Y61" s="34"/>
      <c r="Z61" s="34"/>
      <c r="AA61" s="34"/>
      <c r="AB61" s="34"/>
      <c r="AC61" s="34">
        <f t="shared" si="38"/>
        <v>0</v>
      </c>
      <c r="AD61" s="34">
        <f t="shared" si="39"/>
        <v>7325000</v>
      </c>
      <c r="AE61" s="34">
        <f t="shared" si="46"/>
        <v>7325000</v>
      </c>
    </row>
    <row r="62" s="3" customFormat="1" ht="65" customHeight="1" spans="1:34">
      <c r="A62" s="27">
        <v>59</v>
      </c>
      <c r="B62" s="27" t="s">
        <v>47</v>
      </c>
      <c r="C62" s="30" t="s">
        <v>217</v>
      </c>
      <c r="D62" s="44"/>
      <c r="E62" s="29" t="s">
        <v>215</v>
      </c>
      <c r="F62" s="29" t="s">
        <v>218</v>
      </c>
      <c r="G62" s="29"/>
      <c r="H62" s="29" t="s">
        <v>59</v>
      </c>
      <c r="I62" s="30" t="s">
        <v>60</v>
      </c>
      <c r="J62" s="29">
        <v>6495000</v>
      </c>
      <c r="K62" s="32">
        <v>0.7</v>
      </c>
      <c r="L62" s="29"/>
      <c r="M62" s="31">
        <f t="shared" si="44"/>
        <v>6495000</v>
      </c>
      <c r="N62" s="31">
        <f t="shared" si="45"/>
        <v>4546500</v>
      </c>
      <c r="O62" s="31"/>
      <c r="P62" s="54">
        <f t="shared" si="28"/>
        <v>0</v>
      </c>
      <c r="Q62" s="54">
        <f t="shared" si="29"/>
        <v>0</v>
      </c>
      <c r="R62" s="31"/>
      <c r="S62" s="31"/>
      <c r="T62" s="31"/>
      <c r="U62" s="31"/>
      <c r="V62" s="34"/>
      <c r="W62" s="88">
        <f t="shared" si="31"/>
        <v>0</v>
      </c>
      <c r="X62" s="34"/>
      <c r="Y62" s="34"/>
      <c r="Z62" s="34"/>
      <c r="AA62" s="34"/>
      <c r="AB62" s="34"/>
      <c r="AC62" s="34">
        <f t="shared" si="38"/>
        <v>0</v>
      </c>
      <c r="AD62" s="34">
        <f t="shared" si="39"/>
        <v>6495000</v>
      </c>
      <c r="AE62" s="34">
        <f t="shared" si="46"/>
        <v>6495000</v>
      </c>
    </row>
    <row r="63" s="3" customFormat="1" ht="65" customHeight="1" spans="1:34">
      <c r="A63" s="27">
        <v>60</v>
      </c>
      <c r="B63" s="27" t="s">
        <v>36</v>
      </c>
      <c r="C63" s="30" t="s">
        <v>219</v>
      </c>
      <c r="D63" s="29" t="s">
        <v>220</v>
      </c>
      <c r="E63" s="29" t="s">
        <v>221</v>
      </c>
      <c r="F63" s="29" t="s">
        <v>222</v>
      </c>
      <c r="G63" s="29"/>
      <c r="H63" s="29" t="s">
        <v>69</v>
      </c>
      <c r="I63" s="29" t="s">
        <v>70</v>
      </c>
      <c r="J63" s="29">
        <v>640000</v>
      </c>
      <c r="K63" s="32">
        <v>1</v>
      </c>
      <c r="L63" s="29">
        <v>640000</v>
      </c>
      <c r="M63" s="31">
        <f t="shared" si="44"/>
        <v>0</v>
      </c>
      <c r="N63" s="31">
        <f t="shared" si="45"/>
        <v>0</v>
      </c>
      <c r="O63" s="31"/>
      <c r="P63" s="54">
        <f t="shared" si="28"/>
        <v>0</v>
      </c>
      <c r="Q63" s="54">
        <f t="shared" si="29"/>
        <v>0</v>
      </c>
      <c r="R63" s="31">
        <v>640000</v>
      </c>
      <c r="S63" s="31">
        <v>550000</v>
      </c>
      <c r="T63" s="31">
        <v>90000</v>
      </c>
      <c r="U63" s="31"/>
      <c r="V63" s="34">
        <f>R63-S63</f>
        <v>90000</v>
      </c>
      <c r="W63" s="88">
        <f t="shared" si="31"/>
        <v>0</v>
      </c>
      <c r="X63" s="34"/>
      <c r="Y63" s="34"/>
      <c r="Z63" s="34">
        <v>90000</v>
      </c>
      <c r="AA63" s="34"/>
      <c r="AB63" s="34"/>
      <c r="AC63" s="34">
        <f t="shared" ref="AC63:AC69" si="48">IF(L63-S63&gt;=0,L63-S63,0)</f>
        <v>90000</v>
      </c>
      <c r="AD63" s="34">
        <f t="shared" ref="AD63:AD70" si="49">IF(J63-R63&gt;=0,J63-R63,0)</f>
        <v>0</v>
      </c>
      <c r="AE63" s="34">
        <f t="shared" ref="AE63:AE66" si="50">J63-S63</f>
        <v>90000</v>
      </c>
      <c r="AH63" s="3">
        <v>640000</v>
      </c>
    </row>
    <row r="64" s="2" customFormat="1" ht="66" customHeight="1" spans="1:34">
      <c r="A64" s="27">
        <v>61</v>
      </c>
      <c r="B64" s="27" t="s">
        <v>36</v>
      </c>
      <c r="C64" s="30" t="s">
        <v>223</v>
      </c>
      <c r="D64" s="43" t="s">
        <v>224</v>
      </c>
      <c r="E64" s="29" t="s">
        <v>225</v>
      </c>
      <c r="F64" s="29" t="s">
        <v>226</v>
      </c>
      <c r="G64" s="29"/>
      <c r="H64" s="29" t="s">
        <v>51</v>
      </c>
      <c r="I64" s="30" t="s">
        <v>46</v>
      </c>
      <c r="J64" s="31">
        <v>1700000</v>
      </c>
      <c r="K64" s="32">
        <v>1</v>
      </c>
      <c r="L64" s="31">
        <v>1700000</v>
      </c>
      <c r="M64" s="31">
        <f t="shared" si="44"/>
        <v>0</v>
      </c>
      <c r="N64" s="31">
        <f t="shared" si="45"/>
        <v>0</v>
      </c>
      <c r="O64" s="31"/>
      <c r="P64" s="54">
        <f t="shared" si="28"/>
        <v>0</v>
      </c>
      <c r="Q64" s="54">
        <f t="shared" si="29"/>
        <v>0</v>
      </c>
      <c r="R64" s="31">
        <v>1530000</v>
      </c>
      <c r="S64" s="31">
        <v>1002100</v>
      </c>
      <c r="T64" s="31">
        <v>527900</v>
      </c>
      <c r="U64" s="31"/>
      <c r="V64" s="34">
        <f>R64-S64</f>
        <v>527900</v>
      </c>
      <c r="W64" s="88">
        <f t="shared" si="31"/>
        <v>0</v>
      </c>
      <c r="X64" s="34"/>
      <c r="Y64" s="34">
        <v>527900</v>
      </c>
      <c r="Z64" s="34"/>
      <c r="AA64" s="34"/>
      <c r="AB64" s="34"/>
      <c r="AC64" s="34">
        <f t="shared" si="48"/>
        <v>697900</v>
      </c>
      <c r="AD64" s="34">
        <f t="shared" si="49"/>
        <v>170000</v>
      </c>
      <c r="AE64" s="34">
        <f t="shared" si="50"/>
        <v>697900</v>
      </c>
      <c r="AH64" s="2">
        <v>1700000</v>
      </c>
    </row>
    <row r="65" s="2" customFormat="1" ht="66" customHeight="1" spans="1:34">
      <c r="A65" s="27">
        <v>62</v>
      </c>
      <c r="B65" s="27" t="s">
        <v>36</v>
      </c>
      <c r="C65" s="30" t="s">
        <v>223</v>
      </c>
      <c r="D65" s="37"/>
      <c r="E65" s="29" t="s">
        <v>225</v>
      </c>
      <c r="F65" s="29" t="s">
        <v>227</v>
      </c>
      <c r="G65" s="29"/>
      <c r="H65" s="29" t="s">
        <v>51</v>
      </c>
      <c r="I65" s="30" t="s">
        <v>46</v>
      </c>
      <c r="J65" s="31">
        <v>210000</v>
      </c>
      <c r="K65" s="32">
        <v>1</v>
      </c>
      <c r="L65" s="54">
        <v>107000</v>
      </c>
      <c r="M65" s="31">
        <f t="shared" si="44"/>
        <v>103000</v>
      </c>
      <c r="N65" s="31">
        <f t="shared" si="45"/>
        <v>103000</v>
      </c>
      <c r="O65" s="31">
        <v>103000</v>
      </c>
      <c r="P65" s="54">
        <f t="shared" si="28"/>
        <v>103000</v>
      </c>
      <c r="Q65" s="54">
        <f t="shared" si="29"/>
        <v>103000</v>
      </c>
      <c r="R65" s="31">
        <v>63000</v>
      </c>
      <c r="S65" s="31">
        <v>32100</v>
      </c>
      <c r="T65" s="31">
        <v>30900</v>
      </c>
      <c r="U65" s="31"/>
      <c r="V65" s="34">
        <f>R65-S65</f>
        <v>30900</v>
      </c>
      <c r="W65" s="88">
        <f t="shared" si="31"/>
        <v>0</v>
      </c>
      <c r="X65" s="34">
        <v>0</v>
      </c>
      <c r="Y65" s="34"/>
      <c r="Z65" s="34">
        <v>30900</v>
      </c>
      <c r="AA65" s="34"/>
      <c r="AB65" s="34"/>
      <c r="AC65" s="34">
        <f t="shared" si="48"/>
        <v>74900</v>
      </c>
      <c r="AD65" s="34">
        <f t="shared" si="49"/>
        <v>147000</v>
      </c>
      <c r="AE65" s="34">
        <f t="shared" si="50"/>
        <v>177900</v>
      </c>
      <c r="AH65" s="2">
        <v>107000</v>
      </c>
    </row>
    <row r="66" s="2" customFormat="1" ht="66" customHeight="1" spans="1:34">
      <c r="A66" s="27">
        <v>63</v>
      </c>
      <c r="B66" s="27" t="s">
        <v>36</v>
      </c>
      <c r="C66" s="30" t="s">
        <v>228</v>
      </c>
      <c r="D66" s="44"/>
      <c r="E66" s="29" t="s">
        <v>229</v>
      </c>
      <c r="F66" s="30" t="s">
        <v>230</v>
      </c>
      <c r="G66" s="30"/>
      <c r="H66" s="29" t="s">
        <v>45</v>
      </c>
      <c r="I66" s="30" t="s">
        <v>231</v>
      </c>
      <c r="J66" s="31">
        <v>7851000</v>
      </c>
      <c r="K66" s="32">
        <v>1</v>
      </c>
      <c r="L66" s="31">
        <v>0</v>
      </c>
      <c r="M66" s="31">
        <f t="shared" si="44"/>
        <v>7851000</v>
      </c>
      <c r="N66" s="31">
        <f t="shared" si="45"/>
        <v>7851000</v>
      </c>
      <c r="O66" s="31">
        <v>7851000</v>
      </c>
      <c r="P66" s="54">
        <f t="shared" si="28"/>
        <v>7851000</v>
      </c>
      <c r="Q66" s="54">
        <f t="shared" si="29"/>
        <v>7851000</v>
      </c>
      <c r="R66" s="31">
        <v>0</v>
      </c>
      <c r="S66" s="31">
        <v>0</v>
      </c>
      <c r="T66" s="31"/>
      <c r="U66" s="31"/>
      <c r="V66" s="34">
        <v>0</v>
      </c>
      <c r="W66" s="88">
        <v>0</v>
      </c>
      <c r="X66" s="34"/>
      <c r="Y66" s="34"/>
      <c r="Z66" s="34"/>
      <c r="AA66" s="34"/>
      <c r="AB66" s="34"/>
      <c r="AC66" s="34">
        <f t="shared" si="48"/>
        <v>0</v>
      </c>
      <c r="AD66" s="34">
        <f t="shared" si="49"/>
        <v>7851000</v>
      </c>
      <c r="AE66" s="34">
        <f t="shared" si="50"/>
        <v>7851000</v>
      </c>
    </row>
    <row r="67" s="2" customFormat="1" ht="66" customHeight="1" spans="1:34">
      <c r="A67" s="27">
        <v>64</v>
      </c>
      <c r="B67" s="27" t="s">
        <v>47</v>
      </c>
      <c r="C67" s="30" t="s">
        <v>232</v>
      </c>
      <c r="D67" s="29" t="s">
        <v>233</v>
      </c>
      <c r="E67" s="29" t="s">
        <v>234</v>
      </c>
      <c r="F67" s="30" t="s">
        <v>235</v>
      </c>
      <c r="G67" s="30"/>
      <c r="H67" s="29" t="s">
        <v>159</v>
      </c>
      <c r="I67" s="30" t="s">
        <v>46</v>
      </c>
      <c r="J67" s="31">
        <v>13764000</v>
      </c>
      <c r="K67" s="32">
        <v>0.7</v>
      </c>
      <c r="L67" s="31">
        <v>0</v>
      </c>
      <c r="M67" s="31">
        <f t="shared" si="44"/>
        <v>13764000</v>
      </c>
      <c r="N67" s="31">
        <f t="shared" si="45"/>
        <v>9634800</v>
      </c>
      <c r="O67" s="31">
        <v>13764000</v>
      </c>
      <c r="P67" s="54">
        <f t="shared" si="28"/>
        <v>13764000</v>
      </c>
      <c r="Q67" s="54">
        <f t="shared" si="29"/>
        <v>9634800</v>
      </c>
      <c r="R67" s="31">
        <v>4000000</v>
      </c>
      <c r="S67" s="31">
        <v>4000000</v>
      </c>
      <c r="T67" s="31">
        <v>0</v>
      </c>
      <c r="U67" s="31"/>
      <c r="V67" s="34">
        <f>R67-S67</f>
        <v>0</v>
      </c>
      <c r="W67" s="88">
        <f>V67-SUM(X67:AB67)</f>
        <v>0</v>
      </c>
      <c r="X67" s="34"/>
      <c r="Y67" s="34">
        <v>0</v>
      </c>
      <c r="Z67" s="34"/>
      <c r="AA67" s="34"/>
      <c r="AB67" s="34"/>
      <c r="AC67" s="34">
        <f t="shared" si="48"/>
        <v>0</v>
      </c>
      <c r="AD67" s="34">
        <f t="shared" si="49"/>
        <v>9764000</v>
      </c>
      <c r="AE67" s="34">
        <f t="shared" ref="AE67:AE74" si="51">J67-S67</f>
        <v>9764000</v>
      </c>
      <c r="AH67" s="2">
        <v>0</v>
      </c>
    </row>
    <row r="68" s="2" customFormat="1" ht="66" customHeight="1" spans="1:34">
      <c r="A68" s="27">
        <v>65</v>
      </c>
      <c r="B68" s="27" t="s">
        <v>47</v>
      </c>
      <c r="C68" s="30" t="s">
        <v>236</v>
      </c>
      <c r="D68" s="29" t="s">
        <v>237</v>
      </c>
      <c r="E68" s="29" t="s">
        <v>238</v>
      </c>
      <c r="F68" s="30" t="s">
        <v>239</v>
      </c>
      <c r="G68" s="30" t="s">
        <v>240</v>
      </c>
      <c r="H68" s="30" t="s">
        <v>76</v>
      </c>
      <c r="I68" s="30" t="s">
        <v>77</v>
      </c>
      <c r="J68" s="31">
        <v>30348000</v>
      </c>
      <c r="K68" s="32">
        <v>1</v>
      </c>
      <c r="L68" s="31">
        <v>30348000</v>
      </c>
      <c r="M68" s="31">
        <f t="shared" si="44"/>
        <v>0</v>
      </c>
      <c r="N68" s="31">
        <f t="shared" si="45"/>
        <v>0</v>
      </c>
      <c r="O68" s="31"/>
      <c r="P68" s="54">
        <f t="shared" si="28"/>
        <v>0</v>
      </c>
      <c r="Q68" s="54">
        <f t="shared" si="29"/>
        <v>0</v>
      </c>
      <c r="R68" s="31">
        <v>30348000</v>
      </c>
      <c r="S68" s="31">
        <v>26029235.6</v>
      </c>
      <c r="T68" s="31">
        <v>4318764.4</v>
      </c>
      <c r="U68" s="31"/>
      <c r="V68" s="34">
        <f>R68-S68</f>
        <v>4318764.4</v>
      </c>
      <c r="W68" s="88">
        <f>V68-SUM(X68:AB68)</f>
        <v>0</v>
      </c>
      <c r="X68" s="34"/>
      <c r="Y68" s="34">
        <v>4318764.4</v>
      </c>
      <c r="Z68" s="34"/>
      <c r="AA68" s="34"/>
      <c r="AB68" s="34"/>
      <c r="AC68" s="34">
        <f t="shared" si="48"/>
        <v>4318764.4</v>
      </c>
      <c r="AD68" s="34">
        <f t="shared" si="49"/>
        <v>0</v>
      </c>
      <c r="AE68" s="34">
        <f t="shared" si="51"/>
        <v>4318764.4</v>
      </c>
      <c r="AH68" s="2">
        <v>30348000</v>
      </c>
    </row>
    <row r="69" s="2" customFormat="1" ht="66" customHeight="1" spans="1:34">
      <c r="A69" s="27">
        <v>66</v>
      </c>
      <c r="B69" s="27" t="s">
        <v>47</v>
      </c>
      <c r="C69" s="30" t="s">
        <v>236</v>
      </c>
      <c r="D69" s="29"/>
      <c r="E69" s="29" t="s">
        <v>238</v>
      </c>
      <c r="F69" s="30" t="s">
        <v>239</v>
      </c>
      <c r="G69" s="30" t="s">
        <v>241</v>
      </c>
      <c r="H69" s="30" t="s">
        <v>76</v>
      </c>
      <c r="I69" s="30" t="s">
        <v>77</v>
      </c>
      <c r="J69" s="31">
        <v>30348000</v>
      </c>
      <c r="K69" s="32">
        <v>1</v>
      </c>
      <c r="L69" s="31">
        <v>30348000</v>
      </c>
      <c r="M69" s="31">
        <f t="shared" si="44"/>
        <v>0</v>
      </c>
      <c r="N69" s="31">
        <f t="shared" si="45"/>
        <v>0</v>
      </c>
      <c r="O69" s="31"/>
      <c r="P69" s="54">
        <f t="shared" si="28"/>
        <v>0</v>
      </c>
      <c r="Q69" s="54">
        <f t="shared" si="29"/>
        <v>0</v>
      </c>
      <c r="R69" s="31">
        <v>30353347.8</v>
      </c>
      <c r="S69" s="31">
        <v>24295561.2</v>
      </c>
      <c r="T69" s="31">
        <v>6057786.6</v>
      </c>
      <c r="U69" s="7"/>
      <c r="V69" s="34">
        <f>R69-S69</f>
        <v>6057786.6</v>
      </c>
      <c r="W69" s="88">
        <f>V69-SUM(X69:AB69)</f>
        <v>0</v>
      </c>
      <c r="X69" s="34"/>
      <c r="Y69" s="34">
        <v>6057786.6</v>
      </c>
      <c r="Z69" s="34"/>
      <c r="AA69" s="34"/>
      <c r="AB69" s="34"/>
      <c r="AC69" s="34">
        <f t="shared" si="48"/>
        <v>6052438.8</v>
      </c>
      <c r="AD69" s="34">
        <f t="shared" si="49"/>
        <v>0</v>
      </c>
      <c r="AE69" s="34">
        <f t="shared" si="51"/>
        <v>6052438.8</v>
      </c>
      <c r="AH69" s="2">
        <v>30348000</v>
      </c>
    </row>
    <row r="70" s="3" customFormat="1" ht="82" customHeight="1" spans="1:34">
      <c r="A70" s="27">
        <v>67</v>
      </c>
      <c r="B70" s="27" t="s">
        <v>47</v>
      </c>
      <c r="C70" s="30" t="s">
        <v>242</v>
      </c>
      <c r="D70" s="29"/>
      <c r="E70" s="29" t="s">
        <v>243</v>
      </c>
      <c r="F70" s="30" t="s">
        <v>244</v>
      </c>
      <c r="G70" s="87" t="s">
        <v>245</v>
      </c>
      <c r="H70" s="29" t="s">
        <v>76</v>
      </c>
      <c r="I70" s="30" t="s">
        <v>60</v>
      </c>
      <c r="J70" s="31">
        <v>3677090.91</v>
      </c>
      <c r="K70" s="32">
        <v>1</v>
      </c>
      <c r="L70" s="31">
        <v>3677090.91</v>
      </c>
      <c r="M70" s="31">
        <f t="shared" si="44"/>
        <v>0</v>
      </c>
      <c r="N70" s="31">
        <f t="shared" si="45"/>
        <v>0</v>
      </c>
      <c r="O70" s="31"/>
      <c r="P70" s="54">
        <f t="shared" si="28"/>
        <v>0</v>
      </c>
      <c r="Q70" s="54">
        <f t="shared" si="29"/>
        <v>0</v>
      </c>
      <c r="R70" s="31">
        <v>3677090.91</v>
      </c>
      <c r="S70" s="31">
        <v>2700000</v>
      </c>
      <c r="T70" s="31">
        <v>258775.15</v>
      </c>
      <c r="U70" s="88"/>
      <c r="V70" s="34">
        <v>258775.15</v>
      </c>
      <c r="W70" s="88">
        <v>0</v>
      </c>
      <c r="X70" s="34"/>
      <c r="Y70" s="34"/>
      <c r="Z70" s="34"/>
      <c r="AA70" s="34">
        <v>258775.15</v>
      </c>
      <c r="AB70" s="34"/>
      <c r="AC70" s="34">
        <v>977090.91</v>
      </c>
      <c r="AD70" s="34">
        <f t="shared" si="49"/>
        <v>0</v>
      </c>
      <c r="AE70" s="34">
        <v>977090.91</v>
      </c>
      <c r="AH70" s="3">
        <v>3677090.91</v>
      </c>
    </row>
    <row r="71" s="5" customFormat="1" ht="66" customHeight="1" spans="1:34">
      <c r="A71" s="27">
        <v>68</v>
      </c>
      <c r="B71" s="27" t="s">
        <v>47</v>
      </c>
      <c r="C71" s="60" t="s">
        <v>246</v>
      </c>
      <c r="D71" s="29"/>
      <c r="E71" s="60" t="s">
        <v>243</v>
      </c>
      <c r="F71" s="60" t="s">
        <v>244</v>
      </c>
      <c r="G71" s="30" t="s">
        <v>247</v>
      </c>
      <c r="H71" s="29" t="s">
        <v>76</v>
      </c>
      <c r="I71" s="30" t="s">
        <v>60</v>
      </c>
      <c r="J71" s="61">
        <v>35329478.49</v>
      </c>
      <c r="K71" s="32">
        <v>1</v>
      </c>
      <c r="L71" s="62">
        <v>30561224.85</v>
      </c>
      <c r="M71" s="31">
        <v>0</v>
      </c>
      <c r="N71" s="31">
        <v>0</v>
      </c>
      <c r="O71" s="63"/>
      <c r="P71" s="54">
        <f t="shared" si="28"/>
        <v>0</v>
      </c>
      <c r="Q71" s="54">
        <f t="shared" si="29"/>
        <v>0</v>
      </c>
      <c r="R71" s="63">
        <v>30561224.85</v>
      </c>
      <c r="S71" s="63">
        <v>26240000</v>
      </c>
      <c r="T71" s="31">
        <v>4321224.85</v>
      </c>
      <c r="U71" s="31"/>
      <c r="V71" s="34">
        <f>R71-S71</f>
        <v>4321224.85</v>
      </c>
      <c r="W71" s="88">
        <f>V71-SUM(X71:AB71)</f>
        <v>0</v>
      </c>
      <c r="X71" s="34"/>
      <c r="Y71" s="34"/>
      <c r="Z71" s="34"/>
      <c r="AA71" s="34"/>
      <c r="AB71" s="34">
        <v>4321224.85</v>
      </c>
      <c r="AC71" s="34">
        <v>4092909.09</v>
      </c>
      <c r="AD71" s="34">
        <v>0</v>
      </c>
      <c r="AE71" s="34">
        <v>4092909.09</v>
      </c>
      <c r="AH71" s="5">
        <v>30561224.85</v>
      </c>
    </row>
    <row r="72" s="2" customFormat="1" ht="66" customHeight="1" spans="1:34">
      <c r="A72" s="27">
        <v>69</v>
      </c>
      <c r="B72" s="27" t="s">
        <v>47</v>
      </c>
      <c r="C72" s="29" t="s">
        <v>248</v>
      </c>
      <c r="D72" s="29"/>
      <c r="E72" s="29" t="s">
        <v>249</v>
      </c>
      <c r="F72" s="64" t="s">
        <v>250</v>
      </c>
      <c r="G72" s="30" t="s">
        <v>251</v>
      </c>
      <c r="H72" s="30" t="s">
        <v>252</v>
      </c>
      <c r="I72" s="30" t="s">
        <v>60</v>
      </c>
      <c r="J72" s="31">
        <v>1450000</v>
      </c>
      <c r="K72" s="32">
        <v>1</v>
      </c>
      <c r="L72" s="31">
        <v>1450000</v>
      </c>
      <c r="M72" s="31">
        <f>J72-L72</f>
        <v>0</v>
      </c>
      <c r="N72" s="31">
        <f t="shared" ref="N72:N77" si="52">M72*K72</f>
        <v>0</v>
      </c>
      <c r="O72" s="31">
        <v>1450000</v>
      </c>
      <c r="P72" s="54">
        <f t="shared" si="28"/>
        <v>0</v>
      </c>
      <c r="Q72" s="54">
        <f t="shared" si="29"/>
        <v>0</v>
      </c>
      <c r="R72" s="31">
        <v>400000</v>
      </c>
      <c r="S72" s="31">
        <v>400000</v>
      </c>
      <c r="T72" s="31">
        <v>0</v>
      </c>
      <c r="U72" s="31"/>
      <c r="V72" s="34">
        <f>R72-S72</f>
        <v>0</v>
      </c>
      <c r="W72" s="88">
        <f>V72-SUM(X72:AB72)</f>
        <v>0</v>
      </c>
      <c r="X72" s="34"/>
      <c r="Y72" s="34"/>
      <c r="Z72" s="34"/>
      <c r="AA72" s="34"/>
      <c r="AB72" s="34"/>
      <c r="AC72" s="34">
        <f t="shared" ref="AC72:AC77" si="53">IF(L72-S72&gt;=0,L72-S72,0)</f>
        <v>1050000</v>
      </c>
      <c r="AD72" s="34">
        <f t="shared" ref="AD72:AD77" si="54">IF(J72-R72&gt;=0,J72-R72,0)</f>
        <v>1050000</v>
      </c>
      <c r="AE72" s="34">
        <f t="shared" ref="AE72:AE77" si="55">J72-S72</f>
        <v>1050000</v>
      </c>
    </row>
    <row r="73" s="2" customFormat="1" ht="66" customHeight="1" spans="1:34">
      <c r="A73" s="27">
        <v>70</v>
      </c>
      <c r="B73" s="27" t="s">
        <v>47</v>
      </c>
      <c r="C73" s="30" t="s">
        <v>253</v>
      </c>
      <c r="D73" s="29"/>
      <c r="E73" s="29" t="s">
        <v>249</v>
      </c>
      <c r="F73" s="30" t="s">
        <v>254</v>
      </c>
      <c r="G73" s="30" t="s">
        <v>255</v>
      </c>
      <c r="H73" s="30" t="s">
        <v>252</v>
      </c>
      <c r="I73" s="30" t="s">
        <v>60</v>
      </c>
      <c r="J73" s="31">
        <v>1300000</v>
      </c>
      <c r="K73" s="32">
        <v>1</v>
      </c>
      <c r="L73" s="31">
        <v>1300000</v>
      </c>
      <c r="M73" s="31">
        <f>J73-L73</f>
        <v>0</v>
      </c>
      <c r="N73" s="31">
        <f t="shared" si="52"/>
        <v>0</v>
      </c>
      <c r="O73" s="54"/>
      <c r="P73" s="54">
        <f t="shared" si="28"/>
        <v>0</v>
      </c>
      <c r="Q73" s="54">
        <f t="shared" si="29"/>
        <v>0</v>
      </c>
      <c r="R73" s="54">
        <v>1170000</v>
      </c>
      <c r="S73" s="31">
        <v>1170000</v>
      </c>
      <c r="T73" s="31">
        <v>0</v>
      </c>
      <c r="U73" s="31"/>
      <c r="V73" s="34">
        <f>R73-S73</f>
        <v>0</v>
      </c>
      <c r="W73" s="88">
        <f>V73-SUM(X73:AB73)</f>
        <v>0</v>
      </c>
      <c r="X73" s="34"/>
      <c r="Y73" s="34"/>
      <c r="Z73" s="34"/>
      <c r="AA73" s="34"/>
      <c r="AB73" s="34"/>
      <c r="AC73" s="34">
        <f t="shared" si="53"/>
        <v>130000</v>
      </c>
      <c r="AD73" s="34">
        <f t="shared" si="54"/>
        <v>130000</v>
      </c>
      <c r="AE73" s="34">
        <f t="shared" si="55"/>
        <v>130000</v>
      </c>
      <c r="AH73" s="2">
        <v>1300000</v>
      </c>
    </row>
    <row r="74" s="2" customFormat="1" ht="66" customHeight="1" spans="1:34">
      <c r="A74" s="27">
        <v>71</v>
      </c>
      <c r="B74" s="27" t="s">
        <v>47</v>
      </c>
      <c r="C74" s="30" t="s">
        <v>256</v>
      </c>
      <c r="D74" s="29"/>
      <c r="E74" s="29" t="s">
        <v>249</v>
      </c>
      <c r="F74" s="29" t="s">
        <v>257</v>
      </c>
      <c r="G74" s="30"/>
      <c r="H74" s="30" t="s">
        <v>252</v>
      </c>
      <c r="I74" s="30" t="s">
        <v>60</v>
      </c>
      <c r="J74" s="31">
        <v>38370000</v>
      </c>
      <c r="K74" s="32">
        <v>1</v>
      </c>
      <c r="L74" s="31">
        <v>38370000</v>
      </c>
      <c r="M74" s="31">
        <f>J74-L74</f>
        <v>0</v>
      </c>
      <c r="N74" s="31">
        <f t="shared" si="52"/>
        <v>0</v>
      </c>
      <c r="O74" s="31"/>
      <c r="P74" s="54">
        <f t="shared" si="28"/>
        <v>0</v>
      </c>
      <c r="Q74" s="54">
        <f t="shared" si="29"/>
        <v>0</v>
      </c>
      <c r="R74" s="31">
        <v>34533000</v>
      </c>
      <c r="S74" s="31">
        <v>34533000</v>
      </c>
      <c r="T74" s="31">
        <v>0</v>
      </c>
      <c r="U74" s="31"/>
      <c r="V74" s="34">
        <f>R74-S74</f>
        <v>0</v>
      </c>
      <c r="W74" s="88">
        <f>V74-SUM(X74:AB74)</f>
        <v>0</v>
      </c>
      <c r="X74" s="34"/>
      <c r="Y74" s="34"/>
      <c r="Z74" s="34"/>
      <c r="AA74" s="34"/>
      <c r="AB74" s="34"/>
      <c r="AC74" s="34">
        <f t="shared" si="53"/>
        <v>3837000</v>
      </c>
      <c r="AD74" s="34">
        <f t="shared" si="54"/>
        <v>3837000</v>
      </c>
      <c r="AE74" s="34">
        <f t="shared" si="55"/>
        <v>3837000</v>
      </c>
      <c r="AH74" s="2">
        <v>38370000</v>
      </c>
    </row>
    <row r="75" s="2" customFormat="1" ht="66" customHeight="1" spans="1:34">
      <c r="A75" s="27">
        <v>72</v>
      </c>
      <c r="B75" s="27" t="s">
        <v>47</v>
      </c>
      <c r="C75" s="30" t="s">
        <v>258</v>
      </c>
      <c r="D75" s="29"/>
      <c r="E75" s="29" t="s">
        <v>249</v>
      </c>
      <c r="F75" s="30" t="s">
        <v>259</v>
      </c>
      <c r="G75" s="30"/>
      <c r="H75" s="30" t="s">
        <v>252</v>
      </c>
      <c r="I75" s="30"/>
      <c r="J75" s="31">
        <v>17980000</v>
      </c>
      <c r="K75" s="32">
        <v>1</v>
      </c>
      <c r="L75" s="31">
        <v>17980000</v>
      </c>
      <c r="M75" s="31">
        <f t="shared" ref="M75:M77" si="56">J75-L75</f>
        <v>0</v>
      </c>
      <c r="N75" s="31">
        <f t="shared" si="52"/>
        <v>0</v>
      </c>
      <c r="O75" s="66"/>
      <c r="P75" s="54">
        <f t="shared" si="28"/>
        <v>0</v>
      </c>
      <c r="Q75" s="54">
        <f t="shared" si="29"/>
        <v>0</v>
      </c>
      <c r="R75" s="66">
        <v>12586000</v>
      </c>
      <c r="S75" s="65">
        <v>12586000</v>
      </c>
      <c r="T75" s="31">
        <v>0</v>
      </c>
      <c r="U75" s="31"/>
      <c r="V75" s="34">
        <f>R75-S75</f>
        <v>0</v>
      </c>
      <c r="W75" s="88">
        <f>V75-SUM(X75:AB75)</f>
        <v>0</v>
      </c>
      <c r="X75" s="34"/>
      <c r="Y75" s="34"/>
      <c r="Z75" s="34"/>
      <c r="AA75" s="34"/>
      <c r="AB75" s="34"/>
      <c r="AC75" s="34">
        <f t="shared" si="53"/>
        <v>5394000</v>
      </c>
      <c r="AD75" s="34">
        <f t="shared" si="54"/>
        <v>5394000</v>
      </c>
      <c r="AE75" s="34">
        <f t="shared" si="55"/>
        <v>5394000</v>
      </c>
      <c r="AH75" s="2">
        <v>17980000</v>
      </c>
    </row>
    <row r="76" s="2" customFormat="1" ht="66" customHeight="1" spans="1:34">
      <c r="A76" s="27">
        <v>73</v>
      </c>
      <c r="B76" s="27" t="s">
        <v>47</v>
      </c>
      <c r="C76" s="30" t="s">
        <v>260</v>
      </c>
      <c r="D76" s="29"/>
      <c r="E76" s="30" t="s">
        <v>249</v>
      </c>
      <c r="F76" s="30" t="s">
        <v>261</v>
      </c>
      <c r="G76" s="30"/>
      <c r="H76" s="30" t="s">
        <v>252</v>
      </c>
      <c r="I76" s="30"/>
      <c r="J76" s="31">
        <v>19280000</v>
      </c>
      <c r="K76" s="32">
        <v>1</v>
      </c>
      <c r="L76" s="31">
        <v>0</v>
      </c>
      <c r="M76" s="31">
        <f t="shared" si="56"/>
        <v>19280000</v>
      </c>
      <c r="N76" s="31">
        <f t="shared" si="52"/>
        <v>19280000</v>
      </c>
      <c r="O76" s="98">
        <v>19280000</v>
      </c>
      <c r="P76" s="54">
        <f t="shared" si="28"/>
        <v>19280000</v>
      </c>
      <c r="Q76" s="54">
        <f t="shared" si="29"/>
        <v>19280000</v>
      </c>
      <c r="R76" s="66"/>
      <c r="S76" s="66"/>
      <c r="T76" s="54"/>
      <c r="U76" s="31"/>
      <c r="V76" s="34"/>
      <c r="W76" s="88"/>
      <c r="X76" s="34"/>
      <c r="Y76" s="34"/>
      <c r="Z76" s="34"/>
      <c r="AA76" s="34"/>
      <c r="AB76" s="34"/>
      <c r="AC76" s="34">
        <f t="shared" si="53"/>
        <v>0</v>
      </c>
      <c r="AD76" s="34">
        <f t="shared" si="54"/>
        <v>19280000</v>
      </c>
      <c r="AE76" s="34">
        <f t="shared" si="55"/>
        <v>19280000</v>
      </c>
    </row>
    <row r="77" s="2" customFormat="1" ht="66" customHeight="1" spans="1:34">
      <c r="A77" s="27">
        <v>74</v>
      </c>
      <c r="B77" s="27" t="s">
        <v>47</v>
      </c>
      <c r="C77" s="30" t="s">
        <v>262</v>
      </c>
      <c r="D77" s="29"/>
      <c r="E77" s="30" t="s">
        <v>249</v>
      </c>
      <c r="F77" s="30" t="s">
        <v>263</v>
      </c>
      <c r="G77" s="30"/>
      <c r="H77" s="30" t="s">
        <v>252</v>
      </c>
      <c r="I77" s="30"/>
      <c r="J77" s="31">
        <v>1300000</v>
      </c>
      <c r="K77" s="32">
        <v>1</v>
      </c>
      <c r="L77" s="31">
        <v>0</v>
      </c>
      <c r="M77" s="31">
        <f t="shared" si="56"/>
        <v>1300000</v>
      </c>
      <c r="N77" s="31">
        <f t="shared" si="52"/>
        <v>1300000</v>
      </c>
      <c r="O77" s="98">
        <v>1300000</v>
      </c>
      <c r="P77" s="54">
        <f t="shared" si="28"/>
        <v>1300000</v>
      </c>
      <c r="Q77" s="54">
        <f t="shared" si="29"/>
        <v>1300000</v>
      </c>
      <c r="R77" s="66"/>
      <c r="S77" s="66"/>
      <c r="T77" s="54"/>
      <c r="U77" s="31"/>
      <c r="V77" s="34"/>
      <c r="W77" s="88"/>
      <c r="X77" s="34"/>
      <c r="Y77" s="34"/>
      <c r="Z77" s="34"/>
      <c r="AA77" s="34"/>
      <c r="AB77" s="34"/>
      <c r="AC77" s="34">
        <f t="shared" si="53"/>
        <v>0</v>
      </c>
      <c r="AD77" s="34">
        <f t="shared" si="54"/>
        <v>1300000</v>
      </c>
      <c r="AE77" s="34">
        <f t="shared" si="55"/>
        <v>1300000</v>
      </c>
    </row>
    <row r="78" s="2" customFormat="1" ht="66" customHeight="1" spans="1:34">
      <c r="A78" s="27">
        <v>75</v>
      </c>
      <c r="B78" s="27" t="s">
        <v>47</v>
      </c>
      <c r="C78" s="30" t="s">
        <v>264</v>
      </c>
      <c r="D78" s="29"/>
      <c r="E78" s="29" t="s">
        <v>265</v>
      </c>
      <c r="F78" s="64" t="s">
        <v>266</v>
      </c>
      <c r="G78" s="30" t="s">
        <v>267</v>
      </c>
      <c r="H78" s="30" t="s">
        <v>252</v>
      </c>
      <c r="I78" s="30" t="s">
        <v>60</v>
      </c>
      <c r="J78" s="31">
        <v>26725898</v>
      </c>
      <c r="K78" s="32">
        <v>1</v>
      </c>
      <c r="L78" s="31">
        <v>28509697.9899</v>
      </c>
      <c r="M78" s="31">
        <v>0</v>
      </c>
      <c r="N78" s="31">
        <v>0</v>
      </c>
      <c r="O78" s="66"/>
      <c r="P78" s="54">
        <f t="shared" ref="P78:P99" si="57">O78-(L78-AH78)</f>
        <v>0</v>
      </c>
      <c r="Q78" s="54">
        <f t="shared" ref="Q78:Q99" si="58">P78*K78</f>
        <v>0</v>
      </c>
      <c r="R78" s="66">
        <v>25645380.4</v>
      </c>
      <c r="S78" s="66">
        <v>23799895.4</v>
      </c>
      <c r="T78" s="54">
        <v>1845485</v>
      </c>
      <c r="U78" s="31"/>
      <c r="V78" s="34">
        <f t="shared" ref="V78:V93" si="59">R78-S78</f>
        <v>1845485</v>
      </c>
      <c r="W78" s="88">
        <f t="shared" ref="W78:W99" si="60">V78-SUM(X78:AB78)</f>
        <v>0</v>
      </c>
      <c r="X78" s="34"/>
      <c r="Y78" s="34">
        <v>1053722</v>
      </c>
      <c r="Z78" s="34">
        <v>791763</v>
      </c>
      <c r="AA78" s="34"/>
      <c r="AB78" s="34"/>
      <c r="AC78" s="34">
        <f t="shared" ref="AC78:AC84" si="61">IF(L78-S78&gt;=0,L78-S78,0)</f>
        <v>4709802.5899</v>
      </c>
      <c r="AD78" s="34">
        <f t="shared" ref="AD78:AD89" si="62">IF(J78-R78&gt;=0,J78-R78,0)</f>
        <v>1080517.6</v>
      </c>
      <c r="AE78" s="34">
        <f t="shared" ref="AE78:AE89" si="63">J78-S78</f>
        <v>2926002.6</v>
      </c>
      <c r="AH78" s="2">
        <v>28509697.9899</v>
      </c>
    </row>
    <row r="79" s="2" customFormat="1" ht="66" customHeight="1" spans="1:34">
      <c r="A79" s="27">
        <v>76</v>
      </c>
      <c r="B79" s="27" t="s">
        <v>47</v>
      </c>
      <c r="C79" s="30" t="s">
        <v>268</v>
      </c>
      <c r="D79" s="29"/>
      <c r="E79" s="29" t="s">
        <v>265</v>
      </c>
      <c r="F79" s="30" t="s">
        <v>269</v>
      </c>
      <c r="G79" s="30" t="s">
        <v>270</v>
      </c>
      <c r="H79" s="30" t="s">
        <v>252</v>
      </c>
      <c r="I79" s="30" t="s">
        <v>60</v>
      </c>
      <c r="J79" s="31">
        <v>2100000</v>
      </c>
      <c r="K79" s="32">
        <v>1</v>
      </c>
      <c r="L79" s="31">
        <v>2100000</v>
      </c>
      <c r="M79" s="31">
        <f t="shared" ref="M78:M89" si="64">J79-L79</f>
        <v>0</v>
      </c>
      <c r="N79" s="31">
        <f t="shared" ref="N78:N89" si="65">M79*K79</f>
        <v>0</v>
      </c>
      <c r="O79" s="31"/>
      <c r="P79" s="54">
        <f t="shared" si="57"/>
        <v>0</v>
      </c>
      <c r="Q79" s="54">
        <f t="shared" si="58"/>
        <v>0</v>
      </c>
      <c r="R79" s="31">
        <v>2028804</v>
      </c>
      <c r="S79" s="31">
        <v>1820000</v>
      </c>
      <c r="T79" s="31">
        <v>208804</v>
      </c>
      <c r="U79" s="31"/>
      <c r="V79" s="34">
        <f t="shared" si="59"/>
        <v>208804</v>
      </c>
      <c r="W79" s="88">
        <f t="shared" si="60"/>
        <v>0</v>
      </c>
      <c r="X79" s="34"/>
      <c r="Y79" s="34"/>
      <c r="Z79" s="34">
        <v>208804</v>
      </c>
      <c r="AA79" s="34"/>
      <c r="AB79" s="34"/>
      <c r="AC79" s="34">
        <f t="shared" si="61"/>
        <v>280000</v>
      </c>
      <c r="AD79" s="34">
        <f t="shared" si="62"/>
        <v>71196</v>
      </c>
      <c r="AE79" s="34">
        <f t="shared" si="63"/>
        <v>280000</v>
      </c>
      <c r="AH79" s="2">
        <v>2100000</v>
      </c>
    </row>
    <row r="80" s="2" customFormat="1" ht="66" customHeight="1" spans="1:34">
      <c r="A80" s="27">
        <v>77</v>
      </c>
      <c r="B80" s="27" t="s">
        <v>47</v>
      </c>
      <c r="C80" s="30" t="s">
        <v>271</v>
      </c>
      <c r="D80" s="29"/>
      <c r="E80" s="29" t="s">
        <v>265</v>
      </c>
      <c r="F80" s="29" t="s">
        <v>272</v>
      </c>
      <c r="G80" s="30" t="s">
        <v>273</v>
      </c>
      <c r="H80" s="30" t="s">
        <v>252</v>
      </c>
      <c r="I80" s="30" t="s">
        <v>274</v>
      </c>
      <c r="J80" s="54">
        <v>10920000</v>
      </c>
      <c r="K80" s="32">
        <v>1</v>
      </c>
      <c r="L80" s="31">
        <v>10920000</v>
      </c>
      <c r="M80" s="31">
        <f t="shared" si="64"/>
        <v>0</v>
      </c>
      <c r="N80" s="31">
        <f t="shared" si="65"/>
        <v>0</v>
      </c>
      <c r="O80" s="66">
        <v>357433.0007</v>
      </c>
      <c r="P80" s="54">
        <f t="shared" si="57"/>
        <v>-6.98491930961609e-10</v>
      </c>
      <c r="Q80" s="54">
        <f t="shared" si="58"/>
        <v>-6.98491930961609e-10</v>
      </c>
      <c r="R80" s="66">
        <v>8046526.8</v>
      </c>
      <c r="S80" s="66">
        <v>8046526.8</v>
      </c>
      <c r="T80" s="31">
        <v>0</v>
      </c>
      <c r="U80" s="54"/>
      <c r="V80" s="34">
        <f t="shared" si="59"/>
        <v>0</v>
      </c>
      <c r="W80" s="88">
        <f t="shared" si="60"/>
        <v>0</v>
      </c>
      <c r="X80" s="34"/>
      <c r="Y80" s="34"/>
      <c r="Z80" s="34"/>
      <c r="AA80" s="34"/>
      <c r="AB80" s="34"/>
      <c r="AC80" s="34">
        <f t="shared" si="61"/>
        <v>2873473.2</v>
      </c>
      <c r="AD80" s="34">
        <f t="shared" si="62"/>
        <v>2873473.2</v>
      </c>
      <c r="AE80" s="34">
        <f t="shared" si="63"/>
        <v>2873473.2</v>
      </c>
      <c r="AH80" s="2">
        <v>10562566.9993</v>
      </c>
    </row>
    <row r="81" s="2" customFormat="1" ht="66" customHeight="1" spans="1:34">
      <c r="A81" s="27">
        <v>78</v>
      </c>
      <c r="B81" s="27" t="s">
        <v>47</v>
      </c>
      <c r="C81" s="30" t="s">
        <v>275</v>
      </c>
      <c r="D81" s="29"/>
      <c r="E81" s="30" t="s">
        <v>265</v>
      </c>
      <c r="F81" s="30" t="s">
        <v>276</v>
      </c>
      <c r="G81" s="99" t="s">
        <v>277</v>
      </c>
      <c r="H81" s="30" t="s">
        <v>59</v>
      </c>
      <c r="I81" s="30" t="s">
        <v>60</v>
      </c>
      <c r="J81" s="31">
        <f>24270600/2</f>
        <v>12135300</v>
      </c>
      <c r="K81" s="32">
        <v>1</v>
      </c>
      <c r="L81" s="54">
        <v>12135300</v>
      </c>
      <c r="M81" s="31">
        <f t="shared" si="64"/>
        <v>0</v>
      </c>
      <c r="N81" s="31">
        <f t="shared" si="65"/>
        <v>0</v>
      </c>
      <c r="O81" s="30"/>
      <c r="P81" s="54">
        <f t="shared" si="57"/>
        <v>0</v>
      </c>
      <c r="Q81" s="54">
        <f t="shared" si="58"/>
        <v>0</v>
      </c>
      <c r="R81" s="30">
        <v>12135300</v>
      </c>
      <c r="S81" s="66">
        <v>10777260</v>
      </c>
      <c r="T81" s="31">
        <v>0</v>
      </c>
      <c r="U81" s="66">
        <v>1358040</v>
      </c>
      <c r="V81" s="34">
        <f t="shared" si="59"/>
        <v>1358040</v>
      </c>
      <c r="W81" s="88">
        <f t="shared" si="60"/>
        <v>0</v>
      </c>
      <c r="X81" s="34">
        <v>1358040</v>
      </c>
      <c r="Y81" s="34">
        <v>0</v>
      </c>
      <c r="Z81" s="34"/>
      <c r="AA81" s="34"/>
      <c r="AB81" s="34"/>
      <c r="AC81" s="34">
        <f t="shared" si="61"/>
        <v>1358040</v>
      </c>
      <c r="AD81" s="34">
        <f t="shared" si="62"/>
        <v>0</v>
      </c>
      <c r="AE81" s="34">
        <f t="shared" si="63"/>
        <v>1358040</v>
      </c>
      <c r="AH81" s="2">
        <v>12135300</v>
      </c>
    </row>
    <row r="82" s="2" customFormat="1" ht="66" customHeight="1" spans="1:34">
      <c r="A82" s="27">
        <v>79</v>
      </c>
      <c r="B82" s="27" t="s">
        <v>47</v>
      </c>
      <c r="C82" s="30" t="s">
        <v>275</v>
      </c>
      <c r="D82" s="29"/>
      <c r="E82" s="30" t="s">
        <v>265</v>
      </c>
      <c r="F82" s="30" t="s">
        <v>276</v>
      </c>
      <c r="G82" s="99" t="s">
        <v>278</v>
      </c>
      <c r="H82" s="30" t="s">
        <v>59</v>
      </c>
      <c r="I82" s="30" t="s">
        <v>60</v>
      </c>
      <c r="J82" s="31">
        <v>12135300</v>
      </c>
      <c r="K82" s="32">
        <v>1</v>
      </c>
      <c r="L82" s="31">
        <v>11388647.9804</v>
      </c>
      <c r="M82" s="31">
        <f t="shared" si="64"/>
        <v>746652.0196</v>
      </c>
      <c r="N82" s="31">
        <f t="shared" si="65"/>
        <v>746652.0196</v>
      </c>
      <c r="O82" s="30">
        <v>3460282.5192</v>
      </c>
      <c r="P82" s="54">
        <f t="shared" si="57"/>
        <v>746652.019599999</v>
      </c>
      <c r="Q82" s="54">
        <f t="shared" si="58"/>
        <v>746652.019599999</v>
      </c>
      <c r="R82" s="30">
        <v>11827038.83</v>
      </c>
      <c r="S82" s="66">
        <v>7087574.83</v>
      </c>
      <c r="T82" s="31">
        <v>2375265</v>
      </c>
      <c r="U82" s="66">
        <v>2364199</v>
      </c>
      <c r="V82" s="34">
        <f t="shared" si="59"/>
        <v>4739464</v>
      </c>
      <c r="W82" s="88">
        <f t="shared" si="60"/>
        <v>0</v>
      </c>
      <c r="X82" s="34">
        <v>2364199</v>
      </c>
      <c r="Y82" s="34"/>
      <c r="Z82" s="34">
        <v>2375265</v>
      </c>
      <c r="AA82" s="34"/>
      <c r="AB82" s="34"/>
      <c r="AC82" s="34">
        <f t="shared" si="61"/>
        <v>4301073.1504</v>
      </c>
      <c r="AD82" s="34">
        <f t="shared" si="62"/>
        <v>308261.17</v>
      </c>
      <c r="AE82" s="34">
        <f t="shared" si="63"/>
        <v>5047725.17</v>
      </c>
      <c r="AH82" s="2">
        <v>8675017.4808</v>
      </c>
    </row>
    <row r="83" s="2" customFormat="1" ht="66" customHeight="1" spans="1:34">
      <c r="A83" s="27">
        <v>80</v>
      </c>
      <c r="B83" s="27" t="s">
        <v>47</v>
      </c>
      <c r="C83" s="30" t="s">
        <v>279</v>
      </c>
      <c r="D83" s="29"/>
      <c r="E83" s="30" t="s">
        <v>265</v>
      </c>
      <c r="F83" s="30" t="s">
        <v>280</v>
      </c>
      <c r="G83" s="30"/>
      <c r="H83" s="30" t="s">
        <v>252</v>
      </c>
      <c r="I83" s="30" t="s">
        <v>60</v>
      </c>
      <c r="J83" s="31">
        <f>1718100+65700</f>
        <v>1783800</v>
      </c>
      <c r="K83" s="32">
        <v>1</v>
      </c>
      <c r="L83" s="31">
        <v>0</v>
      </c>
      <c r="M83" s="31">
        <f t="shared" si="64"/>
        <v>1783800</v>
      </c>
      <c r="N83" s="31">
        <f t="shared" si="65"/>
        <v>1783800</v>
      </c>
      <c r="O83" s="54">
        <v>1783800</v>
      </c>
      <c r="P83" s="54">
        <f t="shared" si="57"/>
        <v>1783800</v>
      </c>
      <c r="Q83" s="54">
        <f t="shared" si="58"/>
        <v>1783800</v>
      </c>
      <c r="R83" s="54">
        <v>1546290</v>
      </c>
      <c r="S83" s="31">
        <v>1546290</v>
      </c>
      <c r="T83" s="31">
        <v>0</v>
      </c>
      <c r="U83" s="31">
        <v>0</v>
      </c>
      <c r="V83" s="34">
        <f t="shared" si="59"/>
        <v>0</v>
      </c>
      <c r="W83" s="88">
        <f t="shared" si="60"/>
        <v>0</v>
      </c>
      <c r="X83" s="34"/>
      <c r="Y83" s="34"/>
      <c r="Z83" s="34"/>
      <c r="AA83" s="34"/>
      <c r="AB83" s="34"/>
      <c r="AC83" s="34">
        <f t="shared" si="61"/>
        <v>0</v>
      </c>
      <c r="AD83" s="34">
        <f t="shared" si="62"/>
        <v>237510</v>
      </c>
      <c r="AE83" s="34">
        <f t="shared" si="63"/>
        <v>237510</v>
      </c>
      <c r="AH83" s="2">
        <v>0</v>
      </c>
    </row>
    <row r="84" s="2" customFormat="1" ht="66" customHeight="1" spans="1:34">
      <c r="A84" s="27">
        <v>81</v>
      </c>
      <c r="B84" s="27" t="s">
        <v>47</v>
      </c>
      <c r="C84" s="29" t="s">
        <v>281</v>
      </c>
      <c r="D84" s="29"/>
      <c r="E84" s="29" t="s">
        <v>265</v>
      </c>
      <c r="F84" s="29" t="s">
        <v>282</v>
      </c>
      <c r="G84" s="30"/>
      <c r="H84" s="30" t="s">
        <v>252</v>
      </c>
      <c r="I84" s="30" t="s">
        <v>60</v>
      </c>
      <c r="J84" s="31">
        <v>6600000</v>
      </c>
      <c r="K84" s="32">
        <v>1</v>
      </c>
      <c r="L84" s="31">
        <v>2400000</v>
      </c>
      <c r="M84" s="31">
        <f t="shared" si="64"/>
        <v>4200000</v>
      </c>
      <c r="N84" s="31">
        <f t="shared" si="65"/>
        <v>4200000</v>
      </c>
      <c r="O84" s="31">
        <v>2400000</v>
      </c>
      <c r="P84" s="54">
        <f t="shared" si="57"/>
        <v>2400000</v>
      </c>
      <c r="Q84" s="54">
        <f t="shared" si="58"/>
        <v>2400000</v>
      </c>
      <c r="R84" s="31">
        <v>350000</v>
      </c>
      <c r="S84" s="31">
        <v>350000</v>
      </c>
      <c r="T84" s="31">
        <v>0</v>
      </c>
      <c r="U84" s="31"/>
      <c r="V84" s="34">
        <f t="shared" si="59"/>
        <v>0</v>
      </c>
      <c r="W84" s="88">
        <f t="shared" si="60"/>
        <v>0</v>
      </c>
      <c r="X84" s="34"/>
      <c r="Y84" s="34"/>
      <c r="Z84" s="34"/>
      <c r="AA84" s="34"/>
      <c r="AB84" s="34"/>
      <c r="AC84" s="34">
        <f t="shared" si="61"/>
        <v>2050000</v>
      </c>
      <c r="AD84" s="34">
        <f t="shared" si="62"/>
        <v>6250000</v>
      </c>
      <c r="AE84" s="34">
        <f t="shared" si="63"/>
        <v>6250000</v>
      </c>
      <c r="AH84" s="2">
        <v>2400000</v>
      </c>
    </row>
    <row r="85" s="4" customFormat="1" ht="66" customHeight="1" spans="1:34">
      <c r="A85" s="27">
        <v>82</v>
      </c>
      <c r="B85" s="27" t="s">
        <v>47</v>
      </c>
      <c r="C85" s="30" t="s">
        <v>283</v>
      </c>
      <c r="D85" s="29"/>
      <c r="E85" s="29" t="s">
        <v>265</v>
      </c>
      <c r="F85" s="64" t="s">
        <v>284</v>
      </c>
      <c r="G85" s="30" t="s">
        <v>285</v>
      </c>
      <c r="H85" s="30" t="s">
        <v>59</v>
      </c>
      <c r="I85" s="30" t="s">
        <v>60</v>
      </c>
      <c r="J85" s="31">
        <f>23877300/2</f>
        <v>11938650</v>
      </c>
      <c r="K85" s="32">
        <v>1</v>
      </c>
      <c r="L85" s="31">
        <v>10995299.9748</v>
      </c>
      <c r="M85" s="31">
        <f t="shared" si="64"/>
        <v>943350.0252</v>
      </c>
      <c r="N85" s="31">
        <f t="shared" si="65"/>
        <v>943350.0252</v>
      </c>
      <c r="O85" s="31">
        <v>943350.0252</v>
      </c>
      <c r="P85" s="54">
        <f t="shared" si="57"/>
        <v>943350.0252</v>
      </c>
      <c r="Q85" s="54">
        <f t="shared" si="58"/>
        <v>943350.0252</v>
      </c>
      <c r="R85" s="31">
        <v>10328171</v>
      </c>
      <c r="S85" s="100">
        <v>8619255</v>
      </c>
      <c r="T85" s="34"/>
      <c r="U85" s="34">
        <v>1708916</v>
      </c>
      <c r="V85" s="34">
        <f t="shared" si="59"/>
        <v>1708916</v>
      </c>
      <c r="W85" s="88">
        <f t="shared" si="60"/>
        <v>0</v>
      </c>
      <c r="X85" s="34">
        <v>1708916</v>
      </c>
      <c r="Y85" s="34"/>
      <c r="Z85" s="34"/>
      <c r="AA85" s="34"/>
      <c r="AB85" s="34"/>
      <c r="AC85" s="34">
        <f>SUM(L85:L86)-SUM(S85:S86)</f>
        <v>147116.1877</v>
      </c>
      <c r="AD85" s="34">
        <f t="shared" si="62"/>
        <v>1610479</v>
      </c>
      <c r="AE85" s="34">
        <f t="shared" si="63"/>
        <v>3319395</v>
      </c>
      <c r="AH85" s="4">
        <v>10995299.9748</v>
      </c>
    </row>
    <row r="86" s="4" customFormat="1" ht="66" customHeight="1" spans="1:34">
      <c r="A86" s="27">
        <v>83</v>
      </c>
      <c r="B86" s="27" t="s">
        <v>47</v>
      </c>
      <c r="C86" s="30" t="s">
        <v>283</v>
      </c>
      <c r="D86" s="29"/>
      <c r="E86" s="29" t="s">
        <v>265</v>
      </c>
      <c r="F86" s="64" t="s">
        <v>284</v>
      </c>
      <c r="G86" s="30" t="s">
        <v>286</v>
      </c>
      <c r="H86" s="30" t="s">
        <v>59</v>
      </c>
      <c r="I86" s="30" t="s">
        <v>60</v>
      </c>
      <c r="J86" s="31">
        <v>11938650</v>
      </c>
      <c r="K86" s="32">
        <v>1</v>
      </c>
      <c r="L86" s="31">
        <v>8840700.0129</v>
      </c>
      <c r="M86" s="31">
        <f t="shared" si="64"/>
        <v>3097949.9871</v>
      </c>
      <c r="N86" s="31">
        <f t="shared" si="65"/>
        <v>3097949.9871</v>
      </c>
      <c r="O86" s="31">
        <v>3097949.9871</v>
      </c>
      <c r="P86" s="54">
        <f t="shared" si="57"/>
        <v>3097949.9871</v>
      </c>
      <c r="Q86" s="54">
        <f t="shared" si="58"/>
        <v>3097949.9871</v>
      </c>
      <c r="R86" s="31">
        <v>11069628.8</v>
      </c>
      <c r="S86" s="100">
        <v>11069628.8</v>
      </c>
      <c r="T86" s="34">
        <v>0</v>
      </c>
      <c r="U86" s="34">
        <v>0</v>
      </c>
      <c r="V86" s="34">
        <f t="shared" si="59"/>
        <v>0</v>
      </c>
      <c r="W86" s="88">
        <f t="shared" si="60"/>
        <v>0</v>
      </c>
      <c r="X86" s="34">
        <v>0</v>
      </c>
      <c r="Y86" s="34"/>
      <c r="Z86" s="34"/>
      <c r="AA86" s="34"/>
      <c r="AB86" s="34"/>
      <c r="AC86" s="34"/>
      <c r="AD86" s="34">
        <f t="shared" si="62"/>
        <v>869021.199999999</v>
      </c>
      <c r="AE86" s="34">
        <f t="shared" si="63"/>
        <v>869021.199999999</v>
      </c>
      <c r="AH86" s="4">
        <v>8840700.0129</v>
      </c>
    </row>
    <row r="87" s="3" customFormat="1" ht="66" customHeight="1" spans="1:34">
      <c r="A87" s="27">
        <v>84</v>
      </c>
      <c r="B87" s="27" t="s">
        <v>47</v>
      </c>
      <c r="C87" s="30" t="s">
        <v>287</v>
      </c>
      <c r="D87" s="29"/>
      <c r="E87" s="29" t="s">
        <v>288</v>
      </c>
      <c r="F87" s="80">
        <v>25082024</v>
      </c>
      <c r="G87" s="30"/>
      <c r="H87" s="30" t="s">
        <v>252</v>
      </c>
      <c r="I87" s="30" t="s">
        <v>244</v>
      </c>
      <c r="J87" s="31">
        <v>25380000</v>
      </c>
      <c r="K87" s="32">
        <v>1</v>
      </c>
      <c r="L87" s="31">
        <v>25380000</v>
      </c>
      <c r="M87" s="31">
        <f t="shared" si="64"/>
        <v>0</v>
      </c>
      <c r="N87" s="31">
        <f t="shared" si="65"/>
        <v>0</v>
      </c>
      <c r="O87" s="31"/>
      <c r="P87" s="54">
        <f t="shared" si="57"/>
        <v>0</v>
      </c>
      <c r="Q87" s="54">
        <f t="shared" si="58"/>
        <v>0</v>
      </c>
      <c r="R87" s="31">
        <v>15228000</v>
      </c>
      <c r="S87" s="31">
        <v>15228000</v>
      </c>
      <c r="T87" s="31">
        <v>0</v>
      </c>
      <c r="U87" s="31">
        <v>0</v>
      </c>
      <c r="V87" s="34">
        <f t="shared" si="59"/>
        <v>0</v>
      </c>
      <c r="W87" s="88">
        <f t="shared" si="60"/>
        <v>0</v>
      </c>
      <c r="X87" s="34"/>
      <c r="Y87" s="34"/>
      <c r="Z87" s="34"/>
      <c r="AA87" s="34"/>
      <c r="AB87" s="34"/>
      <c r="AC87" s="34">
        <f>IF(L87-S87&gt;=0,L87-S87,0)</f>
        <v>10152000</v>
      </c>
      <c r="AD87" s="34">
        <f t="shared" si="62"/>
        <v>10152000</v>
      </c>
      <c r="AE87" s="34">
        <f t="shared" si="63"/>
        <v>10152000</v>
      </c>
      <c r="AH87" s="3">
        <v>25380000</v>
      </c>
    </row>
    <row r="88" s="3" customFormat="1" ht="66" customHeight="1" spans="1:34">
      <c r="A88" s="27">
        <v>85</v>
      </c>
      <c r="B88" s="27" t="s">
        <v>47</v>
      </c>
      <c r="C88" s="30" t="s">
        <v>289</v>
      </c>
      <c r="D88" s="29"/>
      <c r="E88" s="29" t="s">
        <v>288</v>
      </c>
      <c r="F88" s="80">
        <v>25082075</v>
      </c>
      <c r="G88" s="30"/>
      <c r="H88" s="30" t="s">
        <v>252</v>
      </c>
      <c r="I88" s="30" t="s">
        <v>60</v>
      </c>
      <c r="J88" s="31">
        <v>61600000</v>
      </c>
      <c r="K88" s="32">
        <v>1</v>
      </c>
      <c r="L88" s="31"/>
      <c r="M88" s="31">
        <f t="shared" si="64"/>
        <v>61600000</v>
      </c>
      <c r="N88" s="31">
        <f t="shared" si="65"/>
        <v>61600000</v>
      </c>
      <c r="O88" s="31">
        <v>61600000</v>
      </c>
      <c r="P88" s="54">
        <f t="shared" si="57"/>
        <v>61600000</v>
      </c>
      <c r="Q88" s="54">
        <f t="shared" si="58"/>
        <v>61600000</v>
      </c>
      <c r="R88" s="31">
        <v>6160000</v>
      </c>
      <c r="S88" s="94">
        <v>6160000</v>
      </c>
      <c r="T88" s="94"/>
      <c r="U88" s="31"/>
      <c r="V88" s="34"/>
      <c r="W88" s="88">
        <f t="shared" si="60"/>
        <v>0</v>
      </c>
      <c r="X88" s="34"/>
      <c r="Y88" s="34"/>
      <c r="Z88" s="34"/>
      <c r="AA88" s="34"/>
      <c r="AB88" s="34"/>
      <c r="AC88" s="34">
        <f>IF(L88-S88&gt;=0,L88-S88,0)</f>
        <v>0</v>
      </c>
      <c r="AD88" s="34">
        <f t="shared" si="62"/>
        <v>55440000</v>
      </c>
      <c r="AE88" s="34">
        <f t="shared" si="63"/>
        <v>55440000</v>
      </c>
    </row>
    <row r="89" s="3" customFormat="1" ht="66" customHeight="1" spans="1:34">
      <c r="A89" s="27">
        <v>86</v>
      </c>
      <c r="B89" s="27" t="s">
        <v>47</v>
      </c>
      <c r="C89" s="30" t="s">
        <v>290</v>
      </c>
      <c r="D89" s="29"/>
      <c r="E89" s="29" t="s">
        <v>291</v>
      </c>
      <c r="F89" s="30" t="s">
        <v>292</v>
      </c>
      <c r="G89" s="30" t="s">
        <v>293</v>
      </c>
      <c r="H89" s="30" t="s">
        <v>132</v>
      </c>
      <c r="I89" s="30" t="s">
        <v>77</v>
      </c>
      <c r="J89" s="31">
        <v>25355200</v>
      </c>
      <c r="K89" s="32">
        <v>0.7</v>
      </c>
      <c r="L89" s="31">
        <v>25355200</v>
      </c>
      <c r="M89" s="31">
        <f t="shared" si="64"/>
        <v>0</v>
      </c>
      <c r="N89" s="31">
        <f t="shared" si="65"/>
        <v>0</v>
      </c>
      <c r="O89" s="31"/>
      <c r="P89" s="54">
        <f t="shared" si="57"/>
        <v>0</v>
      </c>
      <c r="Q89" s="54">
        <f t="shared" si="58"/>
        <v>0</v>
      </c>
      <c r="R89" s="31">
        <v>25355200.44</v>
      </c>
      <c r="S89" s="94">
        <v>23953057.44</v>
      </c>
      <c r="T89" s="94">
        <v>1402143</v>
      </c>
      <c r="U89" s="31">
        <v>0</v>
      </c>
      <c r="V89" s="34">
        <f t="shared" ref="V89:V94" si="66">R89-S89</f>
        <v>1402143</v>
      </c>
      <c r="W89" s="88">
        <f t="shared" si="60"/>
        <v>0</v>
      </c>
      <c r="X89" s="34"/>
      <c r="Y89" s="34">
        <v>1267760</v>
      </c>
      <c r="Z89" s="34"/>
      <c r="AA89" s="34">
        <v>134383</v>
      </c>
      <c r="AB89" s="34"/>
      <c r="AC89" s="34">
        <f>IF(L89-S89&gt;=0,L89-S89,0)</f>
        <v>1402142.56</v>
      </c>
      <c r="AD89" s="34">
        <f t="shared" si="62"/>
        <v>0</v>
      </c>
      <c r="AE89" s="34">
        <f t="shared" si="63"/>
        <v>1402142.56</v>
      </c>
      <c r="AH89" s="3">
        <v>25355200</v>
      </c>
    </row>
    <row r="90" s="2" customFormat="1" ht="82" customHeight="1" spans="1:34">
      <c r="A90" s="27">
        <v>87</v>
      </c>
      <c r="B90" s="27" t="s">
        <v>47</v>
      </c>
      <c r="C90" s="30" t="s">
        <v>294</v>
      </c>
      <c r="D90" s="29"/>
      <c r="E90" s="29" t="s">
        <v>295</v>
      </c>
      <c r="F90" s="30" t="s">
        <v>296</v>
      </c>
      <c r="G90" s="30" t="s">
        <v>297</v>
      </c>
      <c r="H90" s="30" t="s">
        <v>76</v>
      </c>
      <c r="I90" s="30" t="s">
        <v>70</v>
      </c>
      <c r="J90" s="31">
        <v>3989250</v>
      </c>
      <c r="K90" s="32">
        <v>0.8</v>
      </c>
      <c r="L90" s="31">
        <v>1949540</v>
      </c>
      <c r="M90" s="31">
        <v>0</v>
      </c>
      <c r="N90" s="31">
        <f t="shared" ref="N90:N99" si="67">M90*K90</f>
        <v>0</v>
      </c>
      <c r="O90" s="31"/>
      <c r="P90" s="54">
        <f t="shared" si="57"/>
        <v>0</v>
      </c>
      <c r="Q90" s="54">
        <f t="shared" si="58"/>
        <v>0</v>
      </c>
      <c r="R90" s="31">
        <v>1949540</v>
      </c>
      <c r="S90" s="31">
        <f>1658951.93+50000+200000</f>
        <v>1908951.93</v>
      </c>
      <c r="T90" s="31">
        <v>40588.0700000001</v>
      </c>
      <c r="U90" s="31"/>
      <c r="V90" s="34">
        <f t="shared" si="66"/>
        <v>40588.0700000001</v>
      </c>
      <c r="W90" s="88">
        <f t="shared" si="60"/>
        <v>0</v>
      </c>
      <c r="X90" s="34"/>
      <c r="Y90" s="34">
        <v>40588.0700000001</v>
      </c>
      <c r="Z90" s="34"/>
      <c r="AA90" s="34">
        <v>0</v>
      </c>
      <c r="AB90" s="34"/>
      <c r="AC90" s="34">
        <f t="shared" ref="AC90:AC99" si="68">IF(L90-S90&gt;=0,L90-S90,0)</f>
        <v>40588.0700000001</v>
      </c>
      <c r="AD90" s="34">
        <f t="shared" ref="AD90:AD99" si="69">IF(J90-R90&gt;=0,J90-R90,0)</f>
        <v>2039710</v>
      </c>
      <c r="AE90" s="34">
        <f t="shared" ref="AE90:AE99" si="70">J90-S90</f>
        <v>2080298.07</v>
      </c>
      <c r="AH90" s="2">
        <v>1949540</v>
      </c>
    </row>
    <row r="91" s="2" customFormat="1" ht="82" customHeight="1" spans="1:34">
      <c r="A91" s="27">
        <v>88</v>
      </c>
      <c r="B91" s="27" t="s">
        <v>47</v>
      </c>
      <c r="C91" s="30" t="s">
        <v>298</v>
      </c>
      <c r="D91" s="29"/>
      <c r="E91" s="29" t="s">
        <v>295</v>
      </c>
      <c r="F91" s="30" t="s">
        <v>296</v>
      </c>
      <c r="G91" s="30" t="s">
        <v>299</v>
      </c>
      <c r="H91" s="30" t="s">
        <v>76</v>
      </c>
      <c r="I91" s="30" t="s">
        <v>70</v>
      </c>
      <c r="J91" s="31">
        <v>3989250</v>
      </c>
      <c r="K91" s="32">
        <v>0.8</v>
      </c>
      <c r="L91" s="31">
        <v>2251930</v>
      </c>
      <c r="M91" s="31">
        <v>0</v>
      </c>
      <c r="N91" s="31">
        <f t="shared" si="67"/>
        <v>0</v>
      </c>
      <c r="O91" s="31"/>
      <c r="P91" s="54">
        <f t="shared" si="57"/>
        <v>0</v>
      </c>
      <c r="Q91" s="54">
        <f t="shared" si="58"/>
        <v>0</v>
      </c>
      <c r="R91" s="31">
        <v>2251930</v>
      </c>
      <c r="S91" s="31">
        <v>1654637</v>
      </c>
      <c r="T91" s="31">
        <v>597293</v>
      </c>
      <c r="U91" s="31"/>
      <c r="V91" s="34">
        <f t="shared" si="66"/>
        <v>597293</v>
      </c>
      <c r="W91" s="88">
        <f t="shared" si="60"/>
        <v>0</v>
      </c>
      <c r="X91" s="34"/>
      <c r="Y91" s="34">
        <v>278770</v>
      </c>
      <c r="Z91" s="34"/>
      <c r="AA91" s="34">
        <v>318523</v>
      </c>
      <c r="AB91" s="34"/>
      <c r="AC91" s="34">
        <f t="shared" si="68"/>
        <v>597293</v>
      </c>
      <c r="AD91" s="34">
        <f t="shared" si="69"/>
        <v>1737320</v>
      </c>
      <c r="AE91" s="34">
        <f t="shared" si="70"/>
        <v>2334613</v>
      </c>
      <c r="AH91" s="2">
        <v>2251930</v>
      </c>
    </row>
    <row r="92" s="2" customFormat="1" ht="66" customHeight="1" spans="1:34">
      <c r="A92" s="27">
        <v>89</v>
      </c>
      <c r="B92" s="27" t="s">
        <v>47</v>
      </c>
      <c r="C92" s="30" t="s">
        <v>300</v>
      </c>
      <c r="D92" s="29"/>
      <c r="E92" s="29" t="s">
        <v>301</v>
      </c>
      <c r="F92" s="29" t="s">
        <v>302</v>
      </c>
      <c r="G92" s="30"/>
      <c r="H92" s="30" t="s">
        <v>51</v>
      </c>
      <c r="I92" s="30"/>
      <c r="J92" s="31">
        <v>9500000</v>
      </c>
      <c r="K92" s="32">
        <v>0.7</v>
      </c>
      <c r="L92" s="31">
        <v>0</v>
      </c>
      <c r="M92" s="31">
        <f t="shared" ref="M92:M99" si="71">J92-L92</f>
        <v>9500000</v>
      </c>
      <c r="N92" s="31">
        <f t="shared" si="67"/>
        <v>6650000</v>
      </c>
      <c r="O92" s="31">
        <v>9500000</v>
      </c>
      <c r="P92" s="54">
        <f t="shared" si="57"/>
        <v>9500000</v>
      </c>
      <c r="Q92" s="54">
        <f t="shared" si="58"/>
        <v>6650000</v>
      </c>
      <c r="R92" s="31">
        <v>3000000</v>
      </c>
      <c r="S92" s="31">
        <v>2400000</v>
      </c>
      <c r="T92" s="31">
        <v>0</v>
      </c>
      <c r="U92" s="31">
        <v>600000</v>
      </c>
      <c r="V92" s="34">
        <f t="shared" si="66"/>
        <v>600000</v>
      </c>
      <c r="W92" s="88">
        <f t="shared" si="60"/>
        <v>0</v>
      </c>
      <c r="X92" s="34">
        <v>600000</v>
      </c>
      <c r="Y92" s="34"/>
      <c r="Z92" s="34"/>
      <c r="AA92" s="34"/>
      <c r="AB92" s="34"/>
      <c r="AC92" s="34">
        <f t="shared" si="68"/>
        <v>0</v>
      </c>
      <c r="AD92" s="34">
        <f t="shared" si="69"/>
        <v>6500000</v>
      </c>
      <c r="AE92" s="34">
        <f t="shared" si="70"/>
        <v>7100000</v>
      </c>
      <c r="AH92" s="2">
        <v>0</v>
      </c>
    </row>
    <row r="93" s="2" customFormat="1" ht="66" customHeight="1" spans="1:34">
      <c r="A93" s="27">
        <v>90</v>
      </c>
      <c r="B93" s="27" t="s">
        <v>47</v>
      </c>
      <c r="C93" s="30" t="s">
        <v>303</v>
      </c>
      <c r="D93" s="29"/>
      <c r="E93" s="29" t="s">
        <v>301</v>
      </c>
      <c r="F93" s="29" t="s">
        <v>304</v>
      </c>
      <c r="G93" s="30"/>
      <c r="H93" s="30" t="s">
        <v>51</v>
      </c>
      <c r="I93" s="30"/>
      <c r="J93" s="31">
        <v>2499000</v>
      </c>
      <c r="K93" s="31">
        <v>0.7</v>
      </c>
      <c r="L93" s="31">
        <v>2499000</v>
      </c>
      <c r="M93" s="31">
        <f t="shared" si="71"/>
        <v>0</v>
      </c>
      <c r="N93" s="31">
        <f t="shared" si="67"/>
        <v>0</v>
      </c>
      <c r="O93" s="31">
        <v>2498999.9946</v>
      </c>
      <c r="P93" s="54">
        <f t="shared" si="57"/>
        <v>-0.00540000014007092</v>
      </c>
      <c r="Q93" s="54">
        <f t="shared" si="58"/>
        <v>-0.00378000009804964</v>
      </c>
      <c r="R93" s="31">
        <v>1499400</v>
      </c>
      <c r="S93" s="31">
        <v>699400</v>
      </c>
      <c r="T93" s="31">
        <v>0</v>
      </c>
      <c r="U93" s="31">
        <v>800000</v>
      </c>
      <c r="V93" s="34">
        <f t="shared" si="66"/>
        <v>800000</v>
      </c>
      <c r="W93" s="88">
        <f t="shared" si="60"/>
        <v>0</v>
      </c>
      <c r="X93" s="31">
        <v>800000</v>
      </c>
      <c r="Y93" s="34"/>
      <c r="Z93" s="34"/>
      <c r="AA93" s="34"/>
      <c r="AB93" s="34"/>
      <c r="AC93" s="34">
        <f t="shared" si="68"/>
        <v>1799600</v>
      </c>
      <c r="AD93" s="34">
        <f t="shared" si="69"/>
        <v>999600</v>
      </c>
      <c r="AE93" s="34">
        <f t="shared" si="70"/>
        <v>1799600</v>
      </c>
      <c r="AH93" s="2">
        <v>0</v>
      </c>
    </row>
    <row r="94" s="2" customFormat="1" ht="66" customHeight="1" spans="1:34">
      <c r="A94" s="27">
        <v>91</v>
      </c>
      <c r="B94" s="27" t="s">
        <v>47</v>
      </c>
      <c r="C94" s="30" t="s">
        <v>305</v>
      </c>
      <c r="D94" s="29"/>
      <c r="E94" s="29" t="s">
        <v>306</v>
      </c>
      <c r="F94" s="29" t="s">
        <v>307</v>
      </c>
      <c r="G94" s="30" t="s">
        <v>308</v>
      </c>
      <c r="H94" s="30" t="s">
        <v>252</v>
      </c>
      <c r="I94" s="30" t="s">
        <v>60</v>
      </c>
      <c r="J94" s="31">
        <v>36000000</v>
      </c>
      <c r="K94" s="32">
        <v>1</v>
      </c>
      <c r="L94" s="31">
        <v>20011221.1147</v>
      </c>
      <c r="M94" s="31">
        <f t="shared" si="71"/>
        <v>15988778.8853</v>
      </c>
      <c r="N94" s="31">
        <f t="shared" si="67"/>
        <v>15988778.8853</v>
      </c>
      <c r="O94" s="31">
        <v>16000000</v>
      </c>
      <c r="P94" s="54">
        <f t="shared" si="57"/>
        <v>15988778.8853</v>
      </c>
      <c r="Q94" s="54">
        <f t="shared" si="58"/>
        <v>15988778.8853</v>
      </c>
      <c r="R94" s="31">
        <v>20000000</v>
      </c>
      <c r="S94" s="31">
        <v>20000000</v>
      </c>
      <c r="T94" s="31">
        <v>0</v>
      </c>
      <c r="U94" s="31"/>
      <c r="V94" s="34">
        <f t="shared" si="66"/>
        <v>0</v>
      </c>
      <c r="W94" s="88">
        <f t="shared" si="60"/>
        <v>0</v>
      </c>
      <c r="X94" s="34"/>
      <c r="Y94" s="34"/>
      <c r="Z94" s="34"/>
      <c r="AA94" s="34"/>
      <c r="AB94" s="34"/>
      <c r="AC94" s="34">
        <f t="shared" si="68"/>
        <v>11221.1147000007</v>
      </c>
      <c r="AD94" s="34">
        <f t="shared" si="69"/>
        <v>16000000</v>
      </c>
      <c r="AE94" s="34">
        <f t="shared" si="70"/>
        <v>16000000</v>
      </c>
      <c r="AH94" s="2">
        <v>20000000</v>
      </c>
    </row>
    <row r="95" s="6" customFormat="1" ht="66" customHeight="1" spans="1:34">
      <c r="A95" s="27">
        <v>92</v>
      </c>
      <c r="B95" s="27" t="s">
        <v>47</v>
      </c>
      <c r="C95" s="30" t="s">
        <v>309</v>
      </c>
      <c r="D95" s="29"/>
      <c r="E95" s="29" t="s">
        <v>306</v>
      </c>
      <c r="F95" s="57" t="s">
        <v>310</v>
      </c>
      <c r="G95" s="101"/>
      <c r="H95" s="30" t="s">
        <v>59</v>
      </c>
      <c r="I95" s="30" t="s">
        <v>60</v>
      </c>
      <c r="J95" s="61">
        <v>28820400</v>
      </c>
      <c r="K95" s="32">
        <v>1</v>
      </c>
      <c r="L95" s="62">
        <f>627929.2*1.13</f>
        <v>709559.996</v>
      </c>
      <c r="M95" s="31">
        <f t="shared" si="71"/>
        <v>28110840.004</v>
      </c>
      <c r="N95" s="31">
        <f t="shared" si="67"/>
        <v>28110840.004</v>
      </c>
      <c r="O95" s="66">
        <v>15000000</v>
      </c>
      <c r="P95" s="54">
        <f t="shared" si="57"/>
        <v>14290440.004</v>
      </c>
      <c r="Q95" s="54">
        <f t="shared" si="58"/>
        <v>14290440.004</v>
      </c>
      <c r="R95" s="66">
        <v>4000000</v>
      </c>
      <c r="S95" s="66">
        <v>4000000</v>
      </c>
      <c r="T95" s="31">
        <v>0</v>
      </c>
      <c r="U95" s="31"/>
      <c r="V95" s="34">
        <v>0</v>
      </c>
      <c r="W95" s="88">
        <f t="shared" si="60"/>
        <v>0</v>
      </c>
      <c r="X95" s="34"/>
      <c r="Y95" s="34"/>
      <c r="Z95" s="34"/>
      <c r="AA95" s="34"/>
      <c r="AB95" s="34"/>
      <c r="AC95" s="34">
        <f t="shared" si="68"/>
        <v>0</v>
      </c>
      <c r="AD95" s="34">
        <f t="shared" si="69"/>
        <v>24820400</v>
      </c>
      <c r="AE95" s="34">
        <f t="shared" si="70"/>
        <v>24820400</v>
      </c>
      <c r="AH95" s="6">
        <v>0</v>
      </c>
    </row>
    <row r="96" s="6" customFormat="1" ht="66" customHeight="1" spans="1:34">
      <c r="A96" s="27">
        <v>93</v>
      </c>
      <c r="B96" s="27" t="s">
        <v>36</v>
      </c>
      <c r="C96" s="57" t="s">
        <v>311</v>
      </c>
      <c r="D96" s="29"/>
      <c r="E96" s="57" t="s">
        <v>312</v>
      </c>
      <c r="F96" s="57" t="s">
        <v>313</v>
      </c>
      <c r="G96" s="101"/>
      <c r="H96" s="29" t="s">
        <v>69</v>
      </c>
      <c r="I96" s="29" t="s">
        <v>70</v>
      </c>
      <c r="J96" s="61">
        <v>1840000</v>
      </c>
      <c r="K96" s="32">
        <v>1</v>
      </c>
      <c r="L96" s="62">
        <v>1840000</v>
      </c>
      <c r="M96" s="31">
        <f t="shared" si="71"/>
        <v>0</v>
      </c>
      <c r="N96" s="31">
        <f t="shared" si="67"/>
        <v>0</v>
      </c>
      <c r="O96" s="66"/>
      <c r="P96" s="54">
        <f t="shared" si="57"/>
        <v>0</v>
      </c>
      <c r="Q96" s="54">
        <f t="shared" si="58"/>
        <v>0</v>
      </c>
      <c r="R96" s="66">
        <v>1656000</v>
      </c>
      <c r="S96" s="66">
        <v>1656000</v>
      </c>
      <c r="T96" s="31">
        <v>0</v>
      </c>
      <c r="U96" s="31"/>
      <c r="V96" s="34">
        <f>R96-S96</f>
        <v>0</v>
      </c>
      <c r="W96" s="88">
        <f t="shared" si="60"/>
        <v>0</v>
      </c>
      <c r="X96" s="34"/>
      <c r="Y96" s="34"/>
      <c r="Z96" s="34"/>
      <c r="AA96" s="34"/>
      <c r="AB96" s="34"/>
      <c r="AC96" s="34">
        <f t="shared" si="68"/>
        <v>184000</v>
      </c>
      <c r="AD96" s="34">
        <f t="shared" si="69"/>
        <v>184000</v>
      </c>
      <c r="AE96" s="34">
        <f t="shared" si="70"/>
        <v>184000</v>
      </c>
      <c r="AH96" s="6">
        <v>1840000</v>
      </c>
    </row>
    <row r="97" s="6" customFormat="1" ht="66" customHeight="1" spans="1:34">
      <c r="A97" s="27">
        <v>94</v>
      </c>
      <c r="B97" s="27" t="s">
        <v>47</v>
      </c>
      <c r="C97" s="29" t="s">
        <v>314</v>
      </c>
      <c r="D97" s="29"/>
      <c r="E97" s="29" t="s">
        <v>315</v>
      </c>
      <c r="F97" s="29" t="s">
        <v>316</v>
      </c>
      <c r="G97" s="101"/>
      <c r="H97" s="29" t="s">
        <v>116</v>
      </c>
      <c r="I97" s="30" t="s">
        <v>42</v>
      </c>
      <c r="J97" s="68">
        <v>21000768</v>
      </c>
      <c r="K97" s="32">
        <v>0.7</v>
      </c>
      <c r="L97" s="62"/>
      <c r="M97" s="31">
        <f t="shared" si="71"/>
        <v>21000768</v>
      </c>
      <c r="N97" s="31">
        <f t="shared" si="67"/>
        <v>14700537.6</v>
      </c>
      <c r="O97" s="66">
        <v>1000000</v>
      </c>
      <c r="P97" s="54">
        <f t="shared" si="57"/>
        <v>1000000</v>
      </c>
      <c r="Q97" s="54">
        <f t="shared" si="58"/>
        <v>700000</v>
      </c>
      <c r="R97" s="66">
        <v>3150000</v>
      </c>
      <c r="S97" s="66">
        <v>3150000</v>
      </c>
      <c r="T97" s="31">
        <v>0</v>
      </c>
      <c r="U97" s="31"/>
      <c r="V97" s="34">
        <f>R97-S97</f>
        <v>0</v>
      </c>
      <c r="W97" s="88">
        <f t="shared" si="60"/>
        <v>0</v>
      </c>
      <c r="X97" s="34"/>
      <c r="Y97" s="34"/>
      <c r="Z97" s="34"/>
      <c r="AA97" s="34"/>
      <c r="AB97" s="34"/>
      <c r="AC97" s="34">
        <f t="shared" si="68"/>
        <v>0</v>
      </c>
      <c r="AD97" s="34">
        <f t="shared" si="69"/>
        <v>17850768</v>
      </c>
      <c r="AE97" s="34">
        <f t="shared" si="70"/>
        <v>17850768</v>
      </c>
    </row>
    <row r="98" s="6" customFormat="1" ht="66" customHeight="1" spans="1:34">
      <c r="A98" s="27">
        <v>95</v>
      </c>
      <c r="B98" s="27" t="s">
        <v>47</v>
      </c>
      <c r="C98" s="29" t="s">
        <v>317</v>
      </c>
      <c r="D98" s="29"/>
      <c r="E98" s="29" t="s">
        <v>318</v>
      </c>
      <c r="F98" s="29" t="s">
        <v>319</v>
      </c>
      <c r="G98" s="29"/>
      <c r="H98" s="29" t="s">
        <v>116</v>
      </c>
      <c r="I98" s="30" t="s">
        <v>42</v>
      </c>
      <c r="J98" s="61">
        <v>109000008.32</v>
      </c>
      <c r="K98" s="32">
        <v>0.7</v>
      </c>
      <c r="L98" s="62"/>
      <c r="M98" s="31">
        <f t="shared" si="71"/>
        <v>109000008.32</v>
      </c>
      <c r="N98" s="31">
        <f t="shared" si="67"/>
        <v>76300005.824</v>
      </c>
      <c r="O98" s="66"/>
      <c r="P98" s="54">
        <f t="shared" si="57"/>
        <v>0</v>
      </c>
      <c r="Q98" s="54">
        <f t="shared" si="58"/>
        <v>0</v>
      </c>
      <c r="R98" s="66">
        <v>32700000</v>
      </c>
      <c r="S98" s="66">
        <v>32700000</v>
      </c>
      <c r="T98" s="31">
        <v>0</v>
      </c>
      <c r="U98" s="31"/>
      <c r="V98" s="34">
        <f>R98-S98</f>
        <v>0</v>
      </c>
      <c r="W98" s="88">
        <f t="shared" si="60"/>
        <v>0</v>
      </c>
      <c r="X98" s="34"/>
      <c r="Y98" s="34"/>
      <c r="Z98" s="34"/>
      <c r="AA98" s="34"/>
      <c r="AB98" s="34"/>
      <c r="AC98" s="34">
        <f t="shared" si="68"/>
        <v>0</v>
      </c>
      <c r="AD98" s="34">
        <f t="shared" si="69"/>
        <v>76300008.32</v>
      </c>
      <c r="AE98" s="34">
        <f t="shared" si="70"/>
        <v>76300008.32</v>
      </c>
    </row>
    <row r="99" s="6" customFormat="1" ht="66" customHeight="1" spans="1:34">
      <c r="A99" s="27">
        <v>96</v>
      </c>
      <c r="B99" s="27" t="s">
        <v>36</v>
      </c>
      <c r="C99" s="29" t="s">
        <v>320</v>
      </c>
      <c r="D99" s="29"/>
      <c r="E99" s="29" t="s">
        <v>321</v>
      </c>
      <c r="F99" s="29" t="s">
        <v>322</v>
      </c>
      <c r="G99" s="29"/>
      <c r="H99" s="29" t="s">
        <v>69</v>
      </c>
      <c r="I99" s="30"/>
      <c r="J99" s="61">
        <v>960000</v>
      </c>
      <c r="K99" s="32">
        <v>1</v>
      </c>
      <c r="L99" s="62">
        <v>960000</v>
      </c>
      <c r="M99" s="31">
        <f t="shared" si="71"/>
        <v>0</v>
      </c>
      <c r="N99" s="31">
        <f t="shared" si="67"/>
        <v>0</v>
      </c>
      <c r="O99" s="66"/>
      <c r="P99" s="54">
        <f t="shared" si="57"/>
        <v>0</v>
      </c>
      <c r="Q99" s="54">
        <f t="shared" si="58"/>
        <v>0</v>
      </c>
      <c r="R99" s="66">
        <v>931200</v>
      </c>
      <c r="S99" s="66">
        <v>931200</v>
      </c>
      <c r="T99" s="31">
        <v>0</v>
      </c>
      <c r="U99" s="31">
        <v>0</v>
      </c>
      <c r="V99" s="34">
        <f>R99-S99</f>
        <v>0</v>
      </c>
      <c r="W99" s="88">
        <f t="shared" si="60"/>
        <v>0</v>
      </c>
      <c r="X99" s="34"/>
      <c r="Y99" s="34"/>
      <c r="Z99" s="34"/>
      <c r="AA99" s="34"/>
      <c r="AB99" s="34"/>
      <c r="AC99" s="34">
        <f t="shared" si="68"/>
        <v>28800</v>
      </c>
      <c r="AD99" s="34">
        <f t="shared" si="69"/>
        <v>28800</v>
      </c>
      <c r="AE99" s="34">
        <f t="shared" si="70"/>
        <v>28800</v>
      </c>
      <c r="AH99" s="6">
        <v>960000</v>
      </c>
    </row>
    <row r="100" s="7" customFormat="1" ht="69" customHeight="1" spans="1:34">
      <c r="A100" s="27"/>
      <c r="B100" s="102" t="s">
        <v>323</v>
      </c>
      <c r="C100" s="102"/>
      <c r="D100" s="102"/>
      <c r="E100" s="103"/>
      <c r="F100" s="73"/>
      <c r="G100" s="73"/>
      <c r="H100" s="104"/>
      <c r="I100" s="104"/>
      <c r="J100" s="105">
        <f>SUBTOTAL(9,J4:J99)</f>
        <v>2168179461.12</v>
      </c>
      <c r="K100" s="55"/>
      <c r="L100" s="105">
        <f t="shared" ref="L100:V100" si="72">SUBTOTAL(9,L4:L99)</f>
        <v>1060355578.04191</v>
      </c>
      <c r="M100" s="105">
        <f t="shared" si="72"/>
        <v>1043397166.66799</v>
      </c>
      <c r="N100" s="105">
        <f t="shared" si="72"/>
        <v>871742602.273592</v>
      </c>
      <c r="O100" s="105">
        <f t="shared" si="72"/>
        <v>746400662.921193</v>
      </c>
      <c r="P100" s="105">
        <f t="shared" si="72"/>
        <v>533968658.848993</v>
      </c>
      <c r="Q100" s="105">
        <f t="shared" si="72"/>
        <v>461248526.146732</v>
      </c>
      <c r="R100" s="105">
        <f t="shared" si="72"/>
        <v>1156082095.12</v>
      </c>
      <c r="S100" s="105">
        <f t="shared" si="72"/>
        <v>865817810.79</v>
      </c>
      <c r="T100" s="105">
        <f t="shared" si="72"/>
        <v>80480703.57</v>
      </c>
      <c r="U100" s="105">
        <f t="shared" si="72"/>
        <v>209065265</v>
      </c>
      <c r="V100" s="105">
        <f t="shared" si="72"/>
        <v>289545968.57</v>
      </c>
      <c r="W100" s="105">
        <f t="shared" ref="W100:AE100" si="73">SUBTOTAL(9,W4:W99)</f>
        <v>0</v>
      </c>
      <c r="X100" s="105">
        <f t="shared" si="73"/>
        <v>201295265</v>
      </c>
      <c r="Y100" s="105">
        <f t="shared" si="73"/>
        <v>69890467.07</v>
      </c>
      <c r="Z100" s="105">
        <f t="shared" si="73"/>
        <v>7764732</v>
      </c>
      <c r="AA100" s="105">
        <f t="shared" si="73"/>
        <v>2254681.15</v>
      </c>
      <c r="AB100" s="105">
        <f t="shared" si="73"/>
        <v>8340823.35</v>
      </c>
      <c r="AC100" s="105">
        <f t="shared" si="73"/>
        <v>340036676.430707</v>
      </c>
      <c r="AD100" s="105">
        <f t="shared" si="73"/>
        <v>1009331471.49</v>
      </c>
      <c r="AE100" s="105">
        <f t="shared" si="73"/>
        <v>1301575648.17</v>
      </c>
    </row>
    <row r="101" ht="19" customHeight="1" spans="1:34">
      <c r="N101" s="10">
        <f t="shared" ref="N101:Q101" si="74">N100/1.13</f>
        <v>771453630.330612</v>
      </c>
      <c r="O101" s="10">
        <f t="shared" si="74"/>
        <v>660531560.107251</v>
      </c>
      <c r="P101" s="10">
        <f t="shared" si="74"/>
        <v>472538636.149552</v>
      </c>
      <c r="Q101" s="10">
        <f t="shared" si="74"/>
        <v>408184536.413037</v>
      </c>
    </row>
    <row r="110" spans="1:34">
      <c r="E110"/>
      <c r="M110" s="81"/>
    </row>
    <row r="111" spans="1:34">
      <c r="M111" s="81"/>
    </row>
    <row r="112" spans="1:34">
      <c r="M112" s="81"/>
    </row>
    <row r="181" spans="24:24">
      <c r="X181" s="7">
        <v>290588.07</v>
      </c>
    </row>
    <row r="182" spans="24:24">
      <c r="X182" s="7">
        <v>597293</v>
      </c>
    </row>
    <row r="187" spans="24:24">
      <c r="X187" s="7">
        <f>SUM(X181:X182)</f>
        <v>887881.07</v>
      </c>
    </row>
  </sheetData>
  <sheetProtection formatCells="0" insertHyperlinks="0" autoFilter="0"/>
  <mergeCells count="46">
    <mergeCell ref="L1:N1"/>
    <mergeCell ref="O1:Q1"/>
    <mergeCell ref="T1:AB1"/>
    <mergeCell ref="M2:N2"/>
    <mergeCell ref="X2:AB2"/>
    <mergeCell ref="B100:E100"/>
    <mergeCell ref="A1:A3"/>
    <mergeCell ref="B1:B3"/>
    <mergeCell ref="C1:C3"/>
    <mergeCell ref="D1:D3"/>
    <mergeCell ref="D4:D9"/>
    <mergeCell ref="D10:D19"/>
    <mergeCell ref="D20:D22"/>
    <mergeCell ref="D23:D28"/>
    <mergeCell ref="D29:D34"/>
    <mergeCell ref="D35:D41"/>
    <mergeCell ref="D42:D49"/>
    <mergeCell ref="D50:D51"/>
    <mergeCell ref="D52:D56"/>
    <mergeCell ref="D57:D58"/>
    <mergeCell ref="D59:D62"/>
    <mergeCell ref="D64:D66"/>
    <mergeCell ref="D68:D99"/>
    <mergeCell ref="E1:E3"/>
    <mergeCell ref="F1:F3"/>
    <mergeCell ref="G1:G3"/>
    <mergeCell ref="H1:H3"/>
    <mergeCell ref="I1:I3"/>
    <mergeCell ref="J1:J3"/>
    <mergeCell ref="K1:K3"/>
    <mergeCell ref="L2:L3"/>
    <mergeCell ref="O2:O3"/>
    <mergeCell ref="P2:P3"/>
    <mergeCell ref="Q2:Q3"/>
    <mergeCell ref="R1:R3"/>
    <mergeCell ref="S1:S3"/>
    <mergeCell ref="T2:T3"/>
    <mergeCell ref="U2:U3"/>
    <mergeCell ref="V2:V3"/>
    <mergeCell ref="W2:W3"/>
    <mergeCell ref="AC1:AC3"/>
    <mergeCell ref="AC35:AC37"/>
    <mergeCell ref="AC85:AC86"/>
    <mergeCell ref="AD1:AD3"/>
    <mergeCell ref="AE1:AE3"/>
    <mergeCell ref="AH1:AH3"/>
  </mergeCells>
  <pageMargins left="0.75" right="0.75" top="1" bottom="1" header="0.5" footer="0.5"/>
  <pageSetup paperSize="9" scale="10" orientation="portrait"/>
  <headerFooter/>
  <ignoredErrors>
    <ignoredError sqref="AC85 J91 AC35" formulaRange="1"/>
    <ignoredError sqref="Q4:Q99 R44 N16 N33 J43 J70 J81 J36 L10 N7 N40:N41 N23:N24 N20 N4 N89:N91 V36 L29 N52 N96:N99 N58:N59 N68:N69 M4:M20 P4:P20 P67:P75 M67:M75 M22:M23 P22:P24 P26 M26 M78:M99 P78:P99 M28:M65 P28:P6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31"/>
  <sheetViews>
    <sheetView zoomScale="55" zoomScaleNormal="55" workbookViewId="0">
      <pane xSplit="9" ySplit="3" topLeftCell="J17" activePane="bottomRight" state="frozen"/>
      <selection/>
      <selection pane="topRight"/>
      <selection pane="bottomLeft"/>
      <selection pane="bottomRight" activeCell="V12" sqref="V12:V19"/>
    </sheetView>
  </sheetViews>
  <sheetFormatPr defaultColWidth="9" defaultRowHeight="14"/>
  <cols>
    <col min="1" max="1" width="12.1181818181818" style="8" customWidth="1"/>
    <col min="2" max="2" width="17.8454545454545" customWidth="1"/>
    <col min="3" max="3" width="17.8454545454545" style="9" customWidth="1"/>
    <col min="4" max="4" width="14.9090909090909" customWidth="1"/>
    <col min="5" max="5" width="17.8454545454545" style="9" customWidth="1"/>
    <col min="6" max="7" width="17.8454545454545" customWidth="1"/>
    <col min="8" max="8" width="13.5454545454545" customWidth="1"/>
    <col min="9" max="9" width="14.6727272727273" customWidth="1"/>
    <col min="10" max="11" width="17.8454545454545" customWidth="1"/>
    <col min="12" max="12" width="18.8363636363636" customWidth="1"/>
    <col min="13" max="13" width="20" style="7" customWidth="1"/>
    <col min="14" max="14" width="20" style="10" customWidth="1"/>
    <col min="15" max="23" width="17.8454545454545" style="81" customWidth="1"/>
    <col min="24" max="31" width="17.8454545454545" style="7" customWidth="1"/>
    <col min="34" max="34" width="9" customWidth="1"/>
  </cols>
  <sheetData>
    <row r="1" customFormat="1" ht="37" customHeight="1" spans="1:34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3" t="s">
        <v>11</v>
      </c>
      <c r="M1" s="83"/>
      <c r="N1" s="83"/>
      <c r="O1" s="83" t="s">
        <v>12</v>
      </c>
      <c r="P1" s="83"/>
      <c r="Q1" s="83"/>
      <c r="R1" s="83" t="s">
        <v>13</v>
      </c>
      <c r="S1" s="83" t="s">
        <v>14</v>
      </c>
      <c r="T1" s="83" t="s">
        <v>15</v>
      </c>
      <c r="U1" s="83"/>
      <c r="V1" s="83"/>
      <c r="W1" s="83"/>
      <c r="X1" s="83"/>
      <c r="Y1" s="83"/>
      <c r="Z1" s="83"/>
      <c r="AA1" s="83"/>
      <c r="AB1" s="83"/>
      <c r="AC1" s="83" t="s">
        <v>16</v>
      </c>
      <c r="AD1" s="83" t="s">
        <v>17</v>
      </c>
      <c r="AE1" s="83" t="s">
        <v>18</v>
      </c>
      <c r="AH1" s="10" t="s">
        <v>19</v>
      </c>
    </row>
    <row r="2" s="1" customFormat="1" ht="37" customHeight="1" spans="1:34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 t="s">
        <v>20</v>
      </c>
      <c r="M2" s="83" t="s">
        <v>21</v>
      </c>
      <c r="N2" s="83"/>
      <c r="O2" s="84" t="s">
        <v>12</v>
      </c>
      <c r="P2" s="84" t="s">
        <v>22</v>
      </c>
      <c r="Q2" s="84" t="s">
        <v>23</v>
      </c>
      <c r="R2" s="83"/>
      <c r="S2" s="83"/>
      <c r="T2" s="83" t="s">
        <v>24</v>
      </c>
      <c r="U2" s="83" t="s">
        <v>25</v>
      </c>
      <c r="V2" s="83" t="s">
        <v>26</v>
      </c>
      <c r="W2" s="83" t="s">
        <v>27</v>
      </c>
      <c r="X2" s="83" t="s">
        <v>28</v>
      </c>
      <c r="Y2" s="83"/>
      <c r="Z2" s="83"/>
      <c r="AA2" s="83"/>
      <c r="AB2" s="83"/>
      <c r="AC2" s="83"/>
      <c r="AD2" s="83"/>
      <c r="AE2" s="83"/>
      <c r="AH2" s="10"/>
    </row>
    <row r="3" s="1" customFormat="1" ht="102" customHeight="1" spans="1:34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 t="s">
        <v>29</v>
      </c>
      <c r="N3" s="83" t="s">
        <v>30</v>
      </c>
      <c r="O3" s="85"/>
      <c r="P3" s="85"/>
      <c r="Q3" s="85"/>
      <c r="R3" s="83"/>
      <c r="S3" s="83"/>
      <c r="T3" s="83"/>
      <c r="U3" s="83"/>
      <c r="V3" s="83"/>
      <c r="W3" s="83"/>
      <c r="X3" s="86" t="s">
        <v>31</v>
      </c>
      <c r="Y3" s="86" t="s">
        <v>32</v>
      </c>
      <c r="Z3" s="86" t="s">
        <v>33</v>
      </c>
      <c r="AA3" s="86" t="s">
        <v>34</v>
      </c>
      <c r="AB3" s="86" t="s">
        <v>35</v>
      </c>
      <c r="AC3" s="83"/>
      <c r="AD3" s="83"/>
      <c r="AE3" s="83"/>
      <c r="AH3" s="10"/>
    </row>
    <row r="4" s="2" customFormat="1" ht="82" customHeight="1" spans="1:34">
      <c r="A4" s="27">
        <v>1</v>
      </c>
      <c r="B4" s="27" t="s">
        <v>36</v>
      </c>
      <c r="C4" s="30" t="s">
        <v>324</v>
      </c>
      <c r="D4" s="37"/>
      <c r="E4" s="29" t="s">
        <v>325</v>
      </c>
      <c r="F4" s="30" t="s">
        <v>326</v>
      </c>
      <c r="G4" s="87"/>
      <c r="H4" s="30" t="s">
        <v>69</v>
      </c>
      <c r="I4" s="30" t="s">
        <v>70</v>
      </c>
      <c r="J4" s="31">
        <v>30560000</v>
      </c>
      <c r="K4" s="32">
        <v>0.4</v>
      </c>
      <c r="L4" s="31"/>
      <c r="M4" s="31">
        <f t="shared" ref="M4:M29" si="0">J4-L4</f>
        <v>30560000</v>
      </c>
      <c r="N4" s="31">
        <f t="shared" ref="N4:N29" si="1">M4*K4</f>
        <v>12224000</v>
      </c>
      <c r="O4" s="31">
        <v>30560000</v>
      </c>
      <c r="P4" s="31">
        <f t="shared" ref="P4:P29" si="2">O4-(L4-AH4)</f>
        <v>30560000</v>
      </c>
      <c r="Q4" s="31">
        <f t="shared" ref="Q4:Q29" si="3">P4*K4</f>
        <v>12224000</v>
      </c>
      <c r="R4" s="31">
        <v>18684000</v>
      </c>
      <c r="S4" s="31"/>
      <c r="T4" s="31">
        <v>0</v>
      </c>
      <c r="U4" s="31">
        <v>18684000</v>
      </c>
      <c r="V4" s="34">
        <f t="shared" ref="V4:V10" si="4">R4-S4</f>
        <v>18684000</v>
      </c>
      <c r="W4" s="88">
        <f t="shared" ref="W4:W15" si="5">V4-SUM(X4:AB4)</f>
        <v>0</v>
      </c>
      <c r="X4" s="34">
        <v>18684000</v>
      </c>
      <c r="Y4" s="34"/>
      <c r="Z4" s="34"/>
      <c r="AA4" s="34"/>
      <c r="AB4" s="34"/>
      <c r="AC4" s="34">
        <f t="shared" ref="AC4:AC29" si="6">IF(L4-S4&gt;=0,L4-S4,0)</f>
        <v>0</v>
      </c>
      <c r="AD4" s="34">
        <f t="shared" ref="AD4:AD29" si="7">IF(J4-R4&gt;=0,J4-R4,0)</f>
        <v>11876000</v>
      </c>
      <c r="AE4" s="34">
        <f t="shared" ref="AE4:AE29" si="8">J4-S4</f>
        <v>30560000</v>
      </c>
    </row>
    <row r="5" s="2" customFormat="1" ht="82" customHeight="1" spans="1:34">
      <c r="A5" s="27">
        <v>2</v>
      </c>
      <c r="B5" s="27" t="s">
        <v>36</v>
      </c>
      <c r="C5" s="30" t="s">
        <v>43</v>
      </c>
      <c r="D5" s="44"/>
      <c r="E5" s="29" t="s">
        <v>325</v>
      </c>
      <c r="F5" s="30" t="s">
        <v>327</v>
      </c>
      <c r="G5" s="87"/>
      <c r="H5" s="30" t="s">
        <v>69</v>
      </c>
      <c r="I5" s="30" t="s">
        <v>70</v>
      </c>
      <c r="J5" s="31">
        <v>6255000</v>
      </c>
      <c r="K5" s="32">
        <v>0.3</v>
      </c>
      <c r="L5" s="31"/>
      <c r="M5" s="31">
        <f t="shared" si="0"/>
        <v>6255000</v>
      </c>
      <c r="N5" s="31">
        <f t="shared" si="1"/>
        <v>1876500</v>
      </c>
      <c r="O5" s="31">
        <v>6255000</v>
      </c>
      <c r="P5" s="31">
        <f t="shared" si="2"/>
        <v>6255000</v>
      </c>
      <c r="Q5" s="31">
        <f t="shared" si="3"/>
        <v>1876500</v>
      </c>
      <c r="R5" s="31">
        <v>5806260</v>
      </c>
      <c r="S5" s="31">
        <v>2085000</v>
      </c>
      <c r="T5" s="31">
        <v>0</v>
      </c>
      <c r="U5" s="31">
        <v>3721260</v>
      </c>
      <c r="V5" s="34">
        <f t="shared" si="4"/>
        <v>3721260</v>
      </c>
      <c r="W5" s="88">
        <f t="shared" si="5"/>
        <v>0</v>
      </c>
      <c r="X5" s="34">
        <v>3721260</v>
      </c>
      <c r="Y5" s="34"/>
      <c r="Z5" s="34"/>
      <c r="AA5" s="34"/>
      <c r="AB5" s="34"/>
      <c r="AC5" s="34">
        <f t="shared" si="6"/>
        <v>0</v>
      </c>
      <c r="AD5" s="34">
        <f t="shared" si="7"/>
        <v>448740</v>
      </c>
      <c r="AE5" s="34">
        <f t="shared" si="8"/>
        <v>4170000</v>
      </c>
    </row>
    <row r="6" s="2" customFormat="1" ht="82" customHeight="1" spans="1:34">
      <c r="A6" s="27">
        <v>3</v>
      </c>
      <c r="B6" s="27" t="s">
        <v>47</v>
      </c>
      <c r="C6" s="30" t="s">
        <v>328</v>
      </c>
      <c r="D6" s="29" t="s">
        <v>103</v>
      </c>
      <c r="E6" s="29" t="s">
        <v>329</v>
      </c>
      <c r="F6" s="30" t="s">
        <v>330</v>
      </c>
      <c r="G6" s="87"/>
      <c r="H6" s="30" t="s">
        <v>132</v>
      </c>
      <c r="I6" s="30" t="s">
        <v>77</v>
      </c>
      <c r="J6" s="54">
        <v>97881700</v>
      </c>
      <c r="K6" s="32">
        <v>0.4</v>
      </c>
      <c r="L6" s="31">
        <v>97881700</v>
      </c>
      <c r="M6" s="31">
        <f t="shared" si="0"/>
        <v>0</v>
      </c>
      <c r="N6" s="31">
        <f t="shared" si="1"/>
        <v>0</v>
      </c>
      <c r="O6" s="54"/>
      <c r="P6" s="31">
        <f t="shared" si="2"/>
        <v>0</v>
      </c>
      <c r="Q6" s="31">
        <f t="shared" si="3"/>
        <v>0</v>
      </c>
      <c r="R6" s="54">
        <v>97881700</v>
      </c>
      <c r="S6" s="54">
        <v>83178013.06</v>
      </c>
      <c r="T6" s="31">
        <v>14703686.94</v>
      </c>
      <c r="U6" s="31"/>
      <c r="V6" s="34">
        <f t="shared" si="4"/>
        <v>14703686.94</v>
      </c>
      <c r="W6" s="88">
        <f t="shared" si="5"/>
        <v>0</v>
      </c>
      <c r="X6" s="34"/>
      <c r="Y6" s="34"/>
      <c r="Z6" s="34">
        <v>14703686.94</v>
      </c>
      <c r="AA6" s="34"/>
      <c r="AB6" s="34"/>
      <c r="AC6" s="34">
        <f t="shared" si="6"/>
        <v>14703686.94</v>
      </c>
      <c r="AD6" s="34">
        <f t="shared" si="7"/>
        <v>0</v>
      </c>
      <c r="AE6" s="34">
        <f t="shared" si="8"/>
        <v>14703686.94</v>
      </c>
      <c r="AH6" s="2">
        <v>97881700</v>
      </c>
    </row>
    <row r="7" s="2" customFormat="1" ht="82" customHeight="1" spans="1:34">
      <c r="A7" s="27">
        <v>4</v>
      </c>
      <c r="B7" s="27" t="s">
        <v>36</v>
      </c>
      <c r="C7" s="30" t="s">
        <v>331</v>
      </c>
      <c r="D7" s="43" t="s">
        <v>120</v>
      </c>
      <c r="E7" s="29" t="s">
        <v>121</v>
      </c>
      <c r="F7" s="30" t="s">
        <v>332</v>
      </c>
      <c r="G7" s="87"/>
      <c r="H7" s="30" t="s">
        <v>59</v>
      </c>
      <c r="I7" s="30" t="s">
        <v>60</v>
      </c>
      <c r="J7" s="54">
        <v>5080000</v>
      </c>
      <c r="K7" s="32">
        <v>0.3</v>
      </c>
      <c r="L7" s="31">
        <v>5080000</v>
      </c>
      <c r="M7" s="31">
        <f t="shared" si="0"/>
        <v>0</v>
      </c>
      <c r="N7" s="31">
        <f t="shared" si="1"/>
        <v>0</v>
      </c>
      <c r="O7" s="54"/>
      <c r="P7" s="31">
        <f t="shared" si="2"/>
        <v>0</v>
      </c>
      <c r="Q7" s="31">
        <f t="shared" si="3"/>
        <v>0</v>
      </c>
      <c r="R7" s="54">
        <v>4572000</v>
      </c>
      <c r="S7" s="54">
        <v>2400000</v>
      </c>
      <c r="T7" s="31">
        <v>2172000</v>
      </c>
      <c r="U7" s="31"/>
      <c r="V7" s="34">
        <f t="shared" si="4"/>
        <v>2172000</v>
      </c>
      <c r="W7" s="88">
        <f t="shared" si="5"/>
        <v>0</v>
      </c>
      <c r="X7" s="34"/>
      <c r="Y7" s="34">
        <v>2172000</v>
      </c>
      <c r="Z7" s="34"/>
      <c r="AA7" s="34"/>
      <c r="AB7" s="34"/>
      <c r="AC7" s="34">
        <f t="shared" si="6"/>
        <v>2680000</v>
      </c>
      <c r="AD7" s="34">
        <f t="shared" si="7"/>
        <v>508000</v>
      </c>
      <c r="AE7" s="34">
        <f t="shared" si="8"/>
        <v>2680000</v>
      </c>
      <c r="AH7" s="2">
        <v>5080000</v>
      </c>
    </row>
    <row r="8" s="2" customFormat="1" ht="82" customHeight="1" spans="1:34">
      <c r="A8" s="27">
        <v>5</v>
      </c>
      <c r="B8" s="27" t="s">
        <v>36</v>
      </c>
      <c r="C8" s="30" t="s">
        <v>333</v>
      </c>
      <c r="D8" s="37"/>
      <c r="E8" s="29" t="s">
        <v>121</v>
      </c>
      <c r="F8" s="30" t="s">
        <v>334</v>
      </c>
      <c r="G8" s="87"/>
      <c r="H8" s="30" t="s">
        <v>59</v>
      </c>
      <c r="I8" s="30" t="s">
        <v>60</v>
      </c>
      <c r="J8" s="54">
        <v>17070000</v>
      </c>
      <c r="K8" s="32">
        <v>0.5</v>
      </c>
      <c r="L8" s="31">
        <v>17070000</v>
      </c>
      <c r="M8" s="31">
        <f t="shared" si="0"/>
        <v>0</v>
      </c>
      <c r="N8" s="31">
        <f t="shared" si="1"/>
        <v>0</v>
      </c>
      <c r="O8" s="54"/>
      <c r="P8" s="31">
        <f t="shared" si="2"/>
        <v>0</v>
      </c>
      <c r="Q8" s="31">
        <f t="shared" si="3"/>
        <v>0</v>
      </c>
      <c r="R8" s="54">
        <v>5121000</v>
      </c>
      <c r="S8" s="54">
        <v>0</v>
      </c>
      <c r="T8" s="31">
        <v>5121000</v>
      </c>
      <c r="U8" s="31"/>
      <c r="V8" s="34">
        <f t="shared" si="4"/>
        <v>5121000</v>
      </c>
      <c r="W8" s="88">
        <f t="shared" si="5"/>
        <v>0</v>
      </c>
      <c r="X8" s="34">
        <v>5121000</v>
      </c>
      <c r="Y8" s="34"/>
      <c r="Z8" s="34"/>
      <c r="AA8" s="34"/>
      <c r="AB8" s="34"/>
      <c r="AC8" s="34">
        <f t="shared" si="6"/>
        <v>17070000</v>
      </c>
      <c r="AD8" s="34">
        <f t="shared" si="7"/>
        <v>11949000</v>
      </c>
      <c r="AE8" s="34">
        <f t="shared" si="8"/>
        <v>17070000</v>
      </c>
      <c r="AH8" s="2">
        <v>17070000</v>
      </c>
    </row>
    <row r="9" s="2" customFormat="1" ht="82" customHeight="1" spans="1:34">
      <c r="A9" s="27">
        <v>6</v>
      </c>
      <c r="B9" s="27" t="s">
        <v>36</v>
      </c>
      <c r="C9" s="30" t="s">
        <v>335</v>
      </c>
      <c r="D9" s="44"/>
      <c r="E9" s="29" t="s">
        <v>121</v>
      </c>
      <c r="F9" s="30" t="s">
        <v>336</v>
      </c>
      <c r="G9" s="87"/>
      <c r="H9" s="30" t="s">
        <v>59</v>
      </c>
      <c r="I9" s="30" t="s">
        <v>60</v>
      </c>
      <c r="J9" s="54">
        <v>2540000</v>
      </c>
      <c r="K9" s="32">
        <v>0.3</v>
      </c>
      <c r="L9" s="31">
        <v>2540000</v>
      </c>
      <c r="M9" s="31">
        <f t="shared" si="0"/>
        <v>0</v>
      </c>
      <c r="N9" s="31">
        <f t="shared" si="1"/>
        <v>0</v>
      </c>
      <c r="O9" s="54"/>
      <c r="P9" s="31">
        <f t="shared" si="2"/>
        <v>0</v>
      </c>
      <c r="Q9" s="31">
        <f t="shared" si="3"/>
        <v>0</v>
      </c>
      <c r="R9" s="54">
        <v>2286000</v>
      </c>
      <c r="S9" s="54">
        <v>0</v>
      </c>
      <c r="T9" s="31">
        <v>2286000</v>
      </c>
      <c r="U9" s="31"/>
      <c r="V9" s="34">
        <f t="shared" si="4"/>
        <v>2286000</v>
      </c>
      <c r="W9" s="88">
        <f t="shared" si="5"/>
        <v>0</v>
      </c>
      <c r="X9" s="34">
        <v>2286000</v>
      </c>
      <c r="Y9" s="34"/>
      <c r="Z9" s="34"/>
      <c r="AA9" s="34"/>
      <c r="AB9" s="34"/>
      <c r="AC9" s="34">
        <f t="shared" si="6"/>
        <v>2540000</v>
      </c>
      <c r="AD9" s="34">
        <f t="shared" si="7"/>
        <v>254000</v>
      </c>
      <c r="AE9" s="34">
        <f t="shared" si="8"/>
        <v>2540000</v>
      </c>
      <c r="AH9" s="2">
        <v>2540000</v>
      </c>
    </row>
    <row r="10" s="2" customFormat="1" ht="82" customHeight="1" spans="1:34">
      <c r="A10" s="27">
        <v>7</v>
      </c>
      <c r="B10" s="27" t="s">
        <v>36</v>
      </c>
      <c r="C10" s="30" t="s">
        <v>337</v>
      </c>
      <c r="D10" s="43" t="s">
        <v>137</v>
      </c>
      <c r="E10" s="29" t="s">
        <v>147</v>
      </c>
      <c r="F10" s="30" t="s">
        <v>338</v>
      </c>
      <c r="G10" s="87"/>
      <c r="H10" s="30" t="s">
        <v>45</v>
      </c>
      <c r="I10" s="30" t="s">
        <v>42</v>
      </c>
      <c r="J10" s="54">
        <v>3071400</v>
      </c>
      <c r="K10" s="32">
        <v>0.3</v>
      </c>
      <c r="L10" s="31">
        <v>3071400</v>
      </c>
      <c r="M10" s="31">
        <f t="shared" si="0"/>
        <v>0</v>
      </c>
      <c r="N10" s="31">
        <f t="shared" si="1"/>
        <v>0</v>
      </c>
      <c r="O10" s="54"/>
      <c r="P10" s="31">
        <f t="shared" si="2"/>
        <v>0</v>
      </c>
      <c r="Q10" s="31">
        <f t="shared" si="3"/>
        <v>0</v>
      </c>
      <c r="R10" s="54">
        <v>2764260</v>
      </c>
      <c r="S10" s="54">
        <v>2764260</v>
      </c>
      <c r="T10" s="31"/>
      <c r="U10" s="31"/>
      <c r="V10" s="34">
        <f t="shared" si="4"/>
        <v>0</v>
      </c>
      <c r="W10" s="88">
        <f t="shared" si="5"/>
        <v>0</v>
      </c>
      <c r="X10" s="34"/>
      <c r="Y10" s="34"/>
      <c r="Z10" s="34"/>
      <c r="AA10" s="34"/>
      <c r="AB10" s="34"/>
      <c r="AC10" s="34">
        <f t="shared" si="6"/>
        <v>307140</v>
      </c>
      <c r="AD10" s="34">
        <f t="shared" si="7"/>
        <v>307140</v>
      </c>
      <c r="AE10" s="34">
        <f t="shared" si="8"/>
        <v>307140</v>
      </c>
      <c r="AH10" s="2">
        <v>3071400</v>
      </c>
    </row>
    <row r="11" s="2" customFormat="1" ht="82" customHeight="1" spans="1:34">
      <c r="A11" s="27">
        <v>8</v>
      </c>
      <c r="B11" s="27" t="s">
        <v>47</v>
      </c>
      <c r="C11" s="30" t="s">
        <v>339</v>
      </c>
      <c r="D11" s="44"/>
      <c r="E11" s="29" t="s">
        <v>147</v>
      </c>
      <c r="F11" s="30" t="s">
        <v>340</v>
      </c>
      <c r="G11" s="87"/>
      <c r="H11" s="30" t="s">
        <v>45</v>
      </c>
      <c r="I11" s="30" t="s">
        <v>42</v>
      </c>
      <c r="J11" s="54">
        <v>74200000</v>
      </c>
      <c r="K11" s="32">
        <v>0.3</v>
      </c>
      <c r="L11" s="31">
        <v>37100000</v>
      </c>
      <c r="M11" s="31">
        <f t="shared" si="0"/>
        <v>37100000</v>
      </c>
      <c r="N11" s="31">
        <f t="shared" si="1"/>
        <v>11130000</v>
      </c>
      <c r="O11" s="54">
        <v>37100000</v>
      </c>
      <c r="P11" s="31">
        <f t="shared" si="2"/>
        <v>37100000</v>
      </c>
      <c r="Q11" s="31">
        <f t="shared" si="3"/>
        <v>11130000</v>
      </c>
      <c r="R11" s="54">
        <v>44520000</v>
      </c>
      <c r="S11" s="54">
        <v>44520000</v>
      </c>
      <c r="T11" s="31"/>
      <c r="U11" s="31"/>
      <c r="V11" s="34"/>
      <c r="W11" s="88">
        <f t="shared" si="5"/>
        <v>0</v>
      </c>
      <c r="X11" s="34"/>
      <c r="Y11" s="34"/>
      <c r="Z11" s="34"/>
      <c r="AA11" s="34"/>
      <c r="AB11" s="34"/>
      <c r="AC11" s="34">
        <f t="shared" si="6"/>
        <v>0</v>
      </c>
      <c r="AD11" s="34">
        <f t="shared" si="7"/>
        <v>29680000</v>
      </c>
      <c r="AE11" s="34">
        <f t="shared" si="8"/>
        <v>29680000</v>
      </c>
      <c r="AH11" s="2">
        <v>37100000</v>
      </c>
    </row>
    <row r="12" s="2" customFormat="1" ht="82" customHeight="1" spans="1:34">
      <c r="A12" s="27">
        <v>9</v>
      </c>
      <c r="B12" s="27" t="s">
        <v>36</v>
      </c>
      <c r="C12" s="30" t="s">
        <v>341</v>
      </c>
      <c r="D12" s="43" t="s">
        <v>342</v>
      </c>
      <c r="E12" s="29" t="s">
        <v>343</v>
      </c>
      <c r="F12" s="30" t="s">
        <v>344</v>
      </c>
      <c r="G12" s="87"/>
      <c r="H12" s="30" t="s">
        <v>41</v>
      </c>
      <c r="I12" s="30" t="s">
        <v>42</v>
      </c>
      <c r="J12" s="54">
        <v>1420000</v>
      </c>
      <c r="K12" s="32">
        <v>0.3</v>
      </c>
      <c r="L12" s="31">
        <v>1420000</v>
      </c>
      <c r="M12" s="31">
        <f t="shared" si="0"/>
        <v>0</v>
      </c>
      <c r="N12" s="31">
        <f t="shared" si="1"/>
        <v>0</v>
      </c>
      <c r="O12" s="54"/>
      <c r="P12" s="31">
        <f t="shared" si="2"/>
        <v>0</v>
      </c>
      <c r="Q12" s="31">
        <f t="shared" si="3"/>
        <v>0</v>
      </c>
      <c r="R12" s="54">
        <f>J12*0.9</f>
        <v>1278000</v>
      </c>
      <c r="S12" s="54">
        <v>426000</v>
      </c>
      <c r="T12" s="31">
        <v>852000</v>
      </c>
      <c r="U12" s="31"/>
      <c r="V12" s="34">
        <f>R12-S12</f>
        <v>852000</v>
      </c>
      <c r="W12" s="88">
        <f t="shared" si="5"/>
        <v>0</v>
      </c>
      <c r="X12" s="34">
        <v>852000</v>
      </c>
      <c r="Y12" s="34"/>
      <c r="Z12" s="34"/>
      <c r="AA12" s="34"/>
      <c r="AB12" s="34"/>
      <c r="AC12" s="34">
        <f t="shared" si="6"/>
        <v>994000</v>
      </c>
      <c r="AD12" s="34">
        <f t="shared" si="7"/>
        <v>142000</v>
      </c>
      <c r="AE12" s="34">
        <f t="shared" si="8"/>
        <v>994000</v>
      </c>
      <c r="AH12" s="2">
        <v>1420000</v>
      </c>
    </row>
    <row r="13" s="2" customFormat="1" ht="82" customHeight="1" spans="1:34">
      <c r="A13" s="27">
        <v>10</v>
      </c>
      <c r="B13" s="27" t="s">
        <v>36</v>
      </c>
      <c r="C13" s="30" t="s">
        <v>345</v>
      </c>
      <c r="D13" s="37"/>
      <c r="E13" s="29" t="s">
        <v>343</v>
      </c>
      <c r="F13" s="30" t="s">
        <v>346</v>
      </c>
      <c r="G13" s="87"/>
      <c r="H13" s="30" t="s">
        <v>41</v>
      </c>
      <c r="I13" s="30" t="s">
        <v>42</v>
      </c>
      <c r="J13" s="54">
        <v>4120000</v>
      </c>
      <c r="K13" s="32">
        <v>0.3</v>
      </c>
      <c r="L13" s="31">
        <v>4120000</v>
      </c>
      <c r="M13" s="31">
        <f t="shared" si="0"/>
        <v>0</v>
      </c>
      <c r="N13" s="31">
        <f t="shared" si="1"/>
        <v>0</v>
      </c>
      <c r="O13" s="54"/>
      <c r="P13" s="31">
        <f t="shared" si="2"/>
        <v>0</v>
      </c>
      <c r="Q13" s="31">
        <f t="shared" si="3"/>
        <v>0</v>
      </c>
      <c r="R13" s="54">
        <v>3708000</v>
      </c>
      <c r="S13" s="54">
        <v>1236000</v>
      </c>
      <c r="T13" s="31"/>
      <c r="U13" s="31">
        <v>2472000</v>
      </c>
      <c r="V13" s="34">
        <f>R13-S13</f>
        <v>2472000</v>
      </c>
      <c r="W13" s="88">
        <f t="shared" si="5"/>
        <v>0</v>
      </c>
      <c r="X13" s="34">
        <v>2472000</v>
      </c>
      <c r="Y13" s="34"/>
      <c r="Z13" s="34"/>
      <c r="AA13" s="34"/>
      <c r="AB13" s="34"/>
      <c r="AC13" s="34">
        <f t="shared" si="6"/>
        <v>2884000</v>
      </c>
      <c r="AD13" s="34">
        <f t="shared" si="7"/>
        <v>412000</v>
      </c>
      <c r="AE13" s="34">
        <f t="shared" si="8"/>
        <v>2884000</v>
      </c>
      <c r="AH13" s="2">
        <v>4120000</v>
      </c>
    </row>
    <row r="14" s="2" customFormat="1" ht="82" customHeight="1" spans="1:34">
      <c r="A14" s="27">
        <v>11</v>
      </c>
      <c r="B14" s="27" t="s">
        <v>36</v>
      </c>
      <c r="C14" s="30" t="s">
        <v>347</v>
      </c>
      <c r="D14" s="37"/>
      <c r="E14" s="29" t="s">
        <v>343</v>
      </c>
      <c r="F14" s="30" t="s">
        <v>348</v>
      </c>
      <c r="G14" s="87"/>
      <c r="H14" s="30" t="s">
        <v>41</v>
      </c>
      <c r="I14" s="30" t="s">
        <v>42</v>
      </c>
      <c r="J14" s="54">
        <v>7940000</v>
      </c>
      <c r="K14" s="32">
        <v>0.3</v>
      </c>
      <c r="L14" s="31">
        <v>7940000</v>
      </c>
      <c r="M14" s="31">
        <f t="shared" si="0"/>
        <v>0</v>
      </c>
      <c r="N14" s="31">
        <f t="shared" si="1"/>
        <v>0</v>
      </c>
      <c r="O14" s="54"/>
      <c r="P14" s="31">
        <f t="shared" si="2"/>
        <v>0</v>
      </c>
      <c r="Q14" s="31">
        <f t="shared" si="3"/>
        <v>0</v>
      </c>
      <c r="R14" s="54">
        <v>7146000</v>
      </c>
      <c r="S14" s="54">
        <v>2382000</v>
      </c>
      <c r="T14" s="31"/>
      <c r="U14" s="31">
        <v>4764000</v>
      </c>
      <c r="V14" s="34">
        <f>R14-S14</f>
        <v>4764000</v>
      </c>
      <c r="W14" s="88">
        <f t="shared" si="5"/>
        <v>0</v>
      </c>
      <c r="X14" s="34">
        <v>4764000</v>
      </c>
      <c r="Y14" s="34"/>
      <c r="Z14" s="34"/>
      <c r="AA14" s="34"/>
      <c r="AB14" s="34"/>
      <c r="AC14" s="34">
        <f t="shared" si="6"/>
        <v>5558000</v>
      </c>
      <c r="AD14" s="34">
        <f t="shared" si="7"/>
        <v>794000</v>
      </c>
      <c r="AE14" s="34">
        <f t="shared" si="8"/>
        <v>5558000</v>
      </c>
      <c r="AH14" s="2">
        <v>7940000</v>
      </c>
    </row>
    <row r="15" s="2" customFormat="1" ht="82" customHeight="1" spans="1:34">
      <c r="A15" s="27">
        <v>12</v>
      </c>
      <c r="B15" s="27" t="s">
        <v>36</v>
      </c>
      <c r="C15" s="30" t="s">
        <v>349</v>
      </c>
      <c r="D15" s="37"/>
      <c r="E15" s="29" t="s">
        <v>343</v>
      </c>
      <c r="F15" s="30" t="s">
        <v>350</v>
      </c>
      <c r="G15" s="87"/>
      <c r="H15" s="30" t="s">
        <v>41</v>
      </c>
      <c r="I15" s="30" t="s">
        <v>42</v>
      </c>
      <c r="J15" s="54">
        <v>3130000</v>
      </c>
      <c r="K15" s="32">
        <v>0.3</v>
      </c>
      <c r="L15" s="31">
        <v>3130000</v>
      </c>
      <c r="M15" s="31">
        <f t="shared" si="0"/>
        <v>0</v>
      </c>
      <c r="N15" s="31">
        <f t="shared" si="1"/>
        <v>0</v>
      </c>
      <c r="O15" s="54"/>
      <c r="P15" s="31">
        <f t="shared" si="2"/>
        <v>0</v>
      </c>
      <c r="Q15" s="31">
        <f t="shared" si="3"/>
        <v>0</v>
      </c>
      <c r="R15" s="54">
        <v>2817000</v>
      </c>
      <c r="S15" s="54">
        <v>1289000</v>
      </c>
      <c r="T15" s="31">
        <v>0</v>
      </c>
      <c r="U15" s="31">
        <v>1528000</v>
      </c>
      <c r="V15" s="34">
        <f>R15-S15</f>
        <v>1528000</v>
      </c>
      <c r="W15" s="88">
        <f t="shared" si="5"/>
        <v>0</v>
      </c>
      <c r="X15" s="34">
        <v>1528000</v>
      </c>
      <c r="Y15" s="34"/>
      <c r="Z15" s="34"/>
      <c r="AA15" s="34"/>
      <c r="AB15" s="34"/>
      <c r="AC15" s="34">
        <f t="shared" si="6"/>
        <v>1841000</v>
      </c>
      <c r="AD15" s="34">
        <f t="shared" si="7"/>
        <v>313000</v>
      </c>
      <c r="AE15" s="34">
        <f t="shared" si="8"/>
        <v>1841000</v>
      </c>
      <c r="AH15" s="2">
        <v>3130000</v>
      </c>
    </row>
    <row r="16" s="2" customFormat="1" ht="82" customHeight="1" spans="1:34">
      <c r="A16" s="27">
        <v>13</v>
      </c>
      <c r="B16" s="27" t="s">
        <v>36</v>
      </c>
      <c r="C16" s="30" t="s">
        <v>351</v>
      </c>
      <c r="D16" s="37"/>
      <c r="E16" s="29" t="s">
        <v>343</v>
      </c>
      <c r="F16" s="30" t="s">
        <v>352</v>
      </c>
      <c r="G16" s="87"/>
      <c r="H16" s="30" t="s">
        <v>41</v>
      </c>
      <c r="I16" s="30" t="s">
        <v>42</v>
      </c>
      <c r="J16" s="54">
        <v>3000000</v>
      </c>
      <c r="K16" s="32">
        <v>0.3</v>
      </c>
      <c r="L16" s="31"/>
      <c r="M16" s="31">
        <f t="shared" si="0"/>
        <v>3000000</v>
      </c>
      <c r="N16" s="31">
        <f t="shared" si="1"/>
        <v>900000</v>
      </c>
      <c r="O16" s="54">
        <v>3000000</v>
      </c>
      <c r="P16" s="31">
        <f t="shared" si="2"/>
        <v>3000000</v>
      </c>
      <c r="Q16" s="31">
        <f t="shared" si="3"/>
        <v>900000</v>
      </c>
      <c r="R16" s="54">
        <v>900000</v>
      </c>
      <c r="S16" s="54">
        <v>900000</v>
      </c>
      <c r="T16" s="31"/>
      <c r="U16" s="31"/>
      <c r="V16" s="34"/>
      <c r="W16" s="88"/>
      <c r="X16" s="34"/>
      <c r="Y16" s="34"/>
      <c r="Z16" s="34"/>
      <c r="AA16" s="34"/>
      <c r="AB16" s="34"/>
      <c r="AC16" s="34">
        <f t="shared" si="6"/>
        <v>0</v>
      </c>
      <c r="AD16" s="34">
        <f t="shared" si="7"/>
        <v>2100000</v>
      </c>
      <c r="AE16" s="34">
        <f t="shared" si="8"/>
        <v>2100000</v>
      </c>
    </row>
    <row r="17" s="2" customFormat="1" ht="82" customHeight="1" spans="1:34">
      <c r="A17" s="27">
        <v>14</v>
      </c>
      <c r="B17" s="27" t="s">
        <v>36</v>
      </c>
      <c r="C17" s="30" t="s">
        <v>353</v>
      </c>
      <c r="D17" s="37"/>
      <c r="E17" s="29" t="s">
        <v>343</v>
      </c>
      <c r="F17" s="30" t="s">
        <v>354</v>
      </c>
      <c r="G17" s="87"/>
      <c r="H17" s="30" t="s">
        <v>41</v>
      </c>
      <c r="I17" s="30" t="s">
        <v>42</v>
      </c>
      <c r="J17" s="54">
        <v>13940000</v>
      </c>
      <c r="K17" s="32">
        <v>0.3</v>
      </c>
      <c r="L17" s="31">
        <v>13940000</v>
      </c>
      <c r="M17" s="31">
        <f t="shared" si="0"/>
        <v>0</v>
      </c>
      <c r="N17" s="31">
        <f t="shared" si="1"/>
        <v>0</v>
      </c>
      <c r="O17" s="54"/>
      <c r="P17" s="31">
        <f t="shared" si="2"/>
        <v>0</v>
      </c>
      <c r="Q17" s="31">
        <f t="shared" si="3"/>
        <v>0</v>
      </c>
      <c r="R17" s="54">
        <v>10866000</v>
      </c>
      <c r="S17" s="54">
        <v>4182000</v>
      </c>
      <c r="T17" s="31"/>
      <c r="U17" s="31">
        <v>6684000</v>
      </c>
      <c r="V17" s="34">
        <f>R17-S17</f>
        <v>6684000</v>
      </c>
      <c r="W17" s="88">
        <f t="shared" ref="W17:W27" si="9">V17-SUM(X17:AB17)</f>
        <v>0</v>
      </c>
      <c r="X17" s="34">
        <v>6684000</v>
      </c>
      <c r="Y17" s="34"/>
      <c r="Z17" s="34"/>
      <c r="AA17" s="34"/>
      <c r="AB17" s="34"/>
      <c r="AC17" s="34">
        <f t="shared" si="6"/>
        <v>9758000</v>
      </c>
      <c r="AD17" s="34">
        <f t="shared" si="7"/>
        <v>3074000</v>
      </c>
      <c r="AE17" s="34">
        <f t="shared" si="8"/>
        <v>9758000</v>
      </c>
      <c r="AH17" s="2">
        <v>13940000</v>
      </c>
    </row>
    <row r="18" s="2" customFormat="1" ht="82" customHeight="1" spans="1:34">
      <c r="A18" s="27">
        <v>15</v>
      </c>
      <c r="B18" s="27" t="s">
        <v>36</v>
      </c>
      <c r="C18" s="30" t="s">
        <v>353</v>
      </c>
      <c r="D18" s="37"/>
      <c r="E18" s="29" t="s">
        <v>343</v>
      </c>
      <c r="F18" s="30" t="s">
        <v>355</v>
      </c>
      <c r="G18" s="87"/>
      <c r="H18" s="30" t="s">
        <v>41</v>
      </c>
      <c r="I18" s="30" t="s">
        <v>42</v>
      </c>
      <c r="J18" s="54">
        <v>24280000</v>
      </c>
      <c r="K18" s="32">
        <v>0.3</v>
      </c>
      <c r="L18" s="31">
        <v>21679999.9971</v>
      </c>
      <c r="M18" s="31">
        <f t="shared" si="0"/>
        <v>2600000.0029</v>
      </c>
      <c r="N18" s="31">
        <f t="shared" si="1"/>
        <v>780000.00087</v>
      </c>
      <c r="O18" s="54">
        <v>18480000</v>
      </c>
      <c r="P18" s="31">
        <f t="shared" si="2"/>
        <v>2600000.0029</v>
      </c>
      <c r="Q18" s="31">
        <f t="shared" si="3"/>
        <v>780000.00087</v>
      </c>
      <c r="R18" s="54">
        <v>17130000</v>
      </c>
      <c r="S18" s="54">
        <v>8886000</v>
      </c>
      <c r="T18" s="31"/>
      <c r="U18" s="31">
        <v>8244000</v>
      </c>
      <c r="V18" s="34">
        <f>R18-S18</f>
        <v>8244000</v>
      </c>
      <c r="W18" s="88">
        <f t="shared" si="9"/>
        <v>0</v>
      </c>
      <c r="X18" s="34">
        <v>8244000</v>
      </c>
      <c r="Y18" s="34"/>
      <c r="Z18" s="34"/>
      <c r="AA18" s="34"/>
      <c r="AB18" s="34"/>
      <c r="AC18" s="34">
        <f t="shared" si="6"/>
        <v>12793999.9971</v>
      </c>
      <c r="AD18" s="34">
        <f t="shared" si="7"/>
        <v>7150000</v>
      </c>
      <c r="AE18" s="34">
        <f t="shared" si="8"/>
        <v>15394000</v>
      </c>
      <c r="AH18" s="2">
        <v>5800000</v>
      </c>
    </row>
    <row r="19" s="2" customFormat="1" ht="82" customHeight="1" spans="1:34">
      <c r="A19" s="27">
        <v>16</v>
      </c>
      <c r="B19" s="27" t="s">
        <v>36</v>
      </c>
      <c r="C19" s="30" t="s">
        <v>356</v>
      </c>
      <c r="D19" s="44"/>
      <c r="E19" s="29" t="s">
        <v>343</v>
      </c>
      <c r="F19" s="30" t="s">
        <v>357</v>
      </c>
      <c r="G19" s="87"/>
      <c r="H19" s="30" t="s">
        <v>41</v>
      </c>
      <c r="I19" s="30" t="s">
        <v>42</v>
      </c>
      <c r="J19" s="54">
        <v>9800000</v>
      </c>
      <c r="K19" s="32">
        <v>0.3</v>
      </c>
      <c r="L19" s="31">
        <v>9800000</v>
      </c>
      <c r="M19" s="31">
        <f t="shared" si="0"/>
        <v>0</v>
      </c>
      <c r="N19" s="31">
        <f t="shared" si="1"/>
        <v>0</v>
      </c>
      <c r="O19" s="54">
        <v>9800000</v>
      </c>
      <c r="P19" s="31">
        <f t="shared" si="2"/>
        <v>0</v>
      </c>
      <c r="Q19" s="31">
        <f t="shared" si="3"/>
        <v>0</v>
      </c>
      <c r="R19" s="54">
        <v>2940000</v>
      </c>
      <c r="S19" s="54">
        <v>2940000</v>
      </c>
      <c r="T19" s="31"/>
      <c r="U19" s="31"/>
      <c r="V19" s="34">
        <f>R19-S19</f>
        <v>0</v>
      </c>
      <c r="W19" s="88">
        <f t="shared" si="9"/>
        <v>0</v>
      </c>
      <c r="X19" s="34"/>
      <c r="Y19" s="34"/>
      <c r="Z19" s="34"/>
      <c r="AA19" s="34"/>
      <c r="AB19" s="34"/>
      <c r="AC19" s="34">
        <f t="shared" si="6"/>
        <v>6860000</v>
      </c>
      <c r="AD19" s="34">
        <f t="shared" si="7"/>
        <v>6860000</v>
      </c>
      <c r="AE19" s="34">
        <f t="shared" si="8"/>
        <v>6860000</v>
      </c>
      <c r="AH19" s="2">
        <v>0</v>
      </c>
    </row>
    <row r="20" s="2" customFormat="1" ht="82" customHeight="1" spans="1:34">
      <c r="A20" s="27">
        <v>17</v>
      </c>
      <c r="B20" s="27" t="s">
        <v>36</v>
      </c>
      <c r="C20" s="30" t="s">
        <v>358</v>
      </c>
      <c r="D20" s="43" t="s">
        <v>237</v>
      </c>
      <c r="E20" s="29" t="s">
        <v>359</v>
      </c>
      <c r="F20" s="30" t="s">
        <v>360</v>
      </c>
      <c r="G20" s="87"/>
      <c r="H20" s="30" t="s">
        <v>59</v>
      </c>
      <c r="I20" s="30" t="s">
        <v>60</v>
      </c>
      <c r="J20" s="31">
        <v>6100000</v>
      </c>
      <c r="K20" s="32">
        <v>0.3</v>
      </c>
      <c r="L20" s="31">
        <v>3659999.9965</v>
      </c>
      <c r="M20" s="31">
        <f t="shared" si="0"/>
        <v>2440000.0035</v>
      </c>
      <c r="N20" s="31">
        <f t="shared" si="1"/>
        <v>732000.00105</v>
      </c>
      <c r="O20" s="54">
        <v>2440000.0035</v>
      </c>
      <c r="P20" s="31">
        <f t="shared" si="2"/>
        <v>2440000.0035</v>
      </c>
      <c r="Q20" s="31">
        <f t="shared" si="3"/>
        <v>732000.00105</v>
      </c>
      <c r="R20" s="54">
        <v>3660000</v>
      </c>
      <c r="S20" s="31">
        <v>3660000</v>
      </c>
      <c r="T20" s="31">
        <v>0</v>
      </c>
      <c r="U20" s="31"/>
      <c r="V20" s="34">
        <f>R20-S20</f>
        <v>0</v>
      </c>
      <c r="W20" s="88">
        <f t="shared" si="9"/>
        <v>0</v>
      </c>
      <c r="X20" s="34"/>
      <c r="Y20" s="34"/>
      <c r="Z20" s="34"/>
      <c r="AA20" s="34"/>
      <c r="AB20" s="34"/>
      <c r="AC20" s="34">
        <f t="shared" si="6"/>
        <v>0</v>
      </c>
      <c r="AD20" s="34">
        <f t="shared" si="7"/>
        <v>2440000</v>
      </c>
      <c r="AE20" s="34">
        <f t="shared" si="8"/>
        <v>2440000</v>
      </c>
      <c r="AH20" s="2">
        <v>3659999.9965</v>
      </c>
    </row>
    <row r="21" s="2" customFormat="1" ht="82" customHeight="1" spans="1:34">
      <c r="A21" s="27">
        <v>18</v>
      </c>
      <c r="B21" s="27" t="s">
        <v>36</v>
      </c>
      <c r="C21" s="30" t="s">
        <v>361</v>
      </c>
      <c r="D21" s="37"/>
      <c r="E21" s="29" t="s">
        <v>362</v>
      </c>
      <c r="F21" s="30" t="s">
        <v>363</v>
      </c>
      <c r="G21" s="87"/>
      <c r="H21" s="30" t="s">
        <v>69</v>
      </c>
      <c r="I21" s="30" t="s">
        <v>70</v>
      </c>
      <c r="J21" s="54">
        <v>2468000</v>
      </c>
      <c r="K21" s="32">
        <v>0.4</v>
      </c>
      <c r="L21" s="31">
        <v>2468000</v>
      </c>
      <c r="M21" s="31">
        <f t="shared" si="0"/>
        <v>0</v>
      </c>
      <c r="N21" s="31">
        <f t="shared" si="1"/>
        <v>0</v>
      </c>
      <c r="O21" s="54"/>
      <c r="P21" s="31">
        <f t="shared" si="2"/>
        <v>0</v>
      </c>
      <c r="Q21" s="31">
        <f t="shared" si="3"/>
        <v>0</v>
      </c>
      <c r="R21" s="54">
        <f>J21*0.9</f>
        <v>2221200</v>
      </c>
      <c r="S21" s="31">
        <v>2221200</v>
      </c>
      <c r="T21" s="31"/>
      <c r="U21" s="31"/>
      <c r="V21" s="34"/>
      <c r="W21" s="88">
        <f t="shared" si="9"/>
        <v>0</v>
      </c>
      <c r="X21" s="34"/>
      <c r="Y21" s="34"/>
      <c r="Z21" s="34"/>
      <c r="AA21" s="34"/>
      <c r="AB21" s="34"/>
      <c r="AC21" s="34">
        <f t="shared" si="6"/>
        <v>246800</v>
      </c>
      <c r="AD21" s="34">
        <f t="shared" si="7"/>
        <v>246800</v>
      </c>
      <c r="AE21" s="34">
        <f t="shared" si="8"/>
        <v>246800</v>
      </c>
      <c r="AH21" s="2">
        <v>2468000</v>
      </c>
    </row>
    <row r="22" s="2" customFormat="1" ht="82" customHeight="1" spans="1:34">
      <c r="A22" s="27">
        <v>19</v>
      </c>
      <c r="B22" s="27" t="s">
        <v>36</v>
      </c>
      <c r="C22" s="30" t="s">
        <v>364</v>
      </c>
      <c r="D22" s="37"/>
      <c r="E22" s="29" t="s">
        <v>365</v>
      </c>
      <c r="F22" s="30" t="s">
        <v>366</v>
      </c>
      <c r="G22" s="87"/>
      <c r="H22" s="30" t="s">
        <v>69</v>
      </c>
      <c r="I22" s="30" t="s">
        <v>70</v>
      </c>
      <c r="J22" s="54">
        <v>1210000</v>
      </c>
      <c r="K22" s="32">
        <v>0.4</v>
      </c>
      <c r="L22" s="31">
        <v>1210000</v>
      </c>
      <c r="M22" s="31">
        <f t="shared" si="0"/>
        <v>0</v>
      </c>
      <c r="N22" s="31">
        <f t="shared" si="1"/>
        <v>0</v>
      </c>
      <c r="O22" s="54"/>
      <c r="P22" s="31">
        <f t="shared" si="2"/>
        <v>0</v>
      </c>
      <c r="Q22" s="31">
        <f t="shared" si="3"/>
        <v>0</v>
      </c>
      <c r="R22" s="54">
        <v>1089000</v>
      </c>
      <c r="S22" s="54">
        <v>1089000</v>
      </c>
      <c r="T22" s="31"/>
      <c r="U22" s="31"/>
      <c r="V22" s="34"/>
      <c r="W22" s="88">
        <f t="shared" si="9"/>
        <v>0</v>
      </c>
      <c r="X22" s="34"/>
      <c r="Y22" s="34"/>
      <c r="Z22" s="34"/>
      <c r="AA22" s="34"/>
      <c r="AB22" s="34"/>
      <c r="AC22" s="34">
        <f t="shared" si="6"/>
        <v>121000</v>
      </c>
      <c r="AD22" s="34">
        <f t="shared" si="7"/>
        <v>121000</v>
      </c>
      <c r="AE22" s="34">
        <f t="shared" si="8"/>
        <v>121000</v>
      </c>
      <c r="AH22" s="2">
        <v>1210000</v>
      </c>
    </row>
    <row r="23" s="2" customFormat="1" ht="82" customHeight="1" spans="1:34">
      <c r="A23" s="27">
        <v>20</v>
      </c>
      <c r="B23" s="27" t="s">
        <v>36</v>
      </c>
      <c r="C23" s="30" t="s">
        <v>367</v>
      </c>
      <c r="D23" s="37"/>
      <c r="E23" s="29" t="s">
        <v>368</v>
      </c>
      <c r="F23" s="30" t="s">
        <v>369</v>
      </c>
      <c r="G23" s="87"/>
      <c r="H23" s="30" t="s">
        <v>69</v>
      </c>
      <c r="I23" s="30" t="s">
        <v>70</v>
      </c>
      <c r="J23" s="54">
        <v>1210000</v>
      </c>
      <c r="K23" s="32">
        <v>0.4</v>
      </c>
      <c r="L23" s="31">
        <v>1210000</v>
      </c>
      <c r="M23" s="31">
        <f t="shared" si="0"/>
        <v>0</v>
      </c>
      <c r="N23" s="31">
        <f t="shared" si="1"/>
        <v>0</v>
      </c>
      <c r="O23" s="54"/>
      <c r="P23" s="31">
        <f t="shared" si="2"/>
        <v>0</v>
      </c>
      <c r="Q23" s="31">
        <f t="shared" si="3"/>
        <v>0</v>
      </c>
      <c r="R23" s="54">
        <v>1089000</v>
      </c>
      <c r="S23" s="54">
        <v>1089000</v>
      </c>
      <c r="T23" s="31"/>
      <c r="U23" s="31"/>
      <c r="V23" s="34"/>
      <c r="W23" s="88">
        <f t="shared" si="9"/>
        <v>0</v>
      </c>
      <c r="X23" s="34"/>
      <c r="Y23" s="34"/>
      <c r="Z23" s="34"/>
      <c r="AA23" s="34"/>
      <c r="AB23" s="34"/>
      <c r="AC23" s="34">
        <f t="shared" si="6"/>
        <v>121000</v>
      </c>
      <c r="AD23" s="34">
        <f t="shared" si="7"/>
        <v>121000</v>
      </c>
      <c r="AE23" s="34">
        <f t="shared" si="8"/>
        <v>121000</v>
      </c>
      <c r="AH23" s="2">
        <v>1210000</v>
      </c>
    </row>
    <row r="24" s="2" customFormat="1" ht="82" customHeight="1" spans="1:34">
      <c r="A24" s="27">
        <v>21</v>
      </c>
      <c r="B24" s="27" t="s">
        <v>36</v>
      </c>
      <c r="C24" s="30" t="s">
        <v>370</v>
      </c>
      <c r="D24" s="37"/>
      <c r="E24" s="29" t="s">
        <v>365</v>
      </c>
      <c r="F24" s="30" t="s">
        <v>371</v>
      </c>
      <c r="G24" s="87"/>
      <c r="H24" s="30" t="s">
        <v>69</v>
      </c>
      <c r="I24" s="30" t="s">
        <v>70</v>
      </c>
      <c r="J24" s="54">
        <v>1294000</v>
      </c>
      <c r="K24" s="32">
        <v>0.4</v>
      </c>
      <c r="L24" s="31">
        <v>1294000</v>
      </c>
      <c r="M24" s="31">
        <f t="shared" si="0"/>
        <v>0</v>
      </c>
      <c r="N24" s="31">
        <f t="shared" si="1"/>
        <v>0</v>
      </c>
      <c r="O24" s="54"/>
      <c r="P24" s="31">
        <f t="shared" si="2"/>
        <v>0</v>
      </c>
      <c r="Q24" s="31">
        <f t="shared" si="3"/>
        <v>0</v>
      </c>
      <c r="R24" s="54">
        <v>1164600</v>
      </c>
      <c r="S24" s="54">
        <v>1164600</v>
      </c>
      <c r="T24" s="31"/>
      <c r="U24" s="31"/>
      <c r="V24" s="34"/>
      <c r="W24" s="88">
        <f t="shared" si="9"/>
        <v>0</v>
      </c>
      <c r="X24" s="34"/>
      <c r="Y24" s="34"/>
      <c r="Z24" s="34"/>
      <c r="AA24" s="34"/>
      <c r="AB24" s="34"/>
      <c r="AC24" s="34">
        <f t="shared" si="6"/>
        <v>129400</v>
      </c>
      <c r="AD24" s="34">
        <f t="shared" si="7"/>
        <v>129400</v>
      </c>
      <c r="AE24" s="34">
        <f t="shared" si="8"/>
        <v>129400</v>
      </c>
      <c r="AH24" s="2">
        <v>1294000</v>
      </c>
    </row>
    <row r="25" s="2" customFormat="1" ht="82" customHeight="1" spans="1:34">
      <c r="A25" s="27">
        <v>22</v>
      </c>
      <c r="B25" s="27" t="s">
        <v>36</v>
      </c>
      <c r="C25" s="30" t="s">
        <v>372</v>
      </c>
      <c r="D25" s="37"/>
      <c r="E25" s="29" t="s">
        <v>373</v>
      </c>
      <c r="F25" s="30" t="s">
        <v>374</v>
      </c>
      <c r="G25" s="87"/>
      <c r="H25" s="30" t="s">
        <v>76</v>
      </c>
      <c r="I25" s="30" t="s">
        <v>77</v>
      </c>
      <c r="J25" s="54">
        <v>30107921.62</v>
      </c>
      <c r="K25" s="32">
        <v>0.2</v>
      </c>
      <c r="L25" s="31">
        <v>30107921.62</v>
      </c>
      <c r="M25" s="31">
        <f t="shared" si="0"/>
        <v>0</v>
      </c>
      <c r="N25" s="31">
        <f t="shared" si="1"/>
        <v>0</v>
      </c>
      <c r="O25" s="54"/>
      <c r="P25" s="31">
        <f t="shared" si="2"/>
        <v>0</v>
      </c>
      <c r="Q25" s="31">
        <f t="shared" si="3"/>
        <v>0</v>
      </c>
      <c r="R25" s="54">
        <v>30107710.97</v>
      </c>
      <c r="S25" s="54">
        <v>18064752.97</v>
      </c>
      <c r="T25" s="31">
        <v>12042958</v>
      </c>
      <c r="U25" s="31"/>
      <c r="V25" s="34">
        <f>R25-S25</f>
        <v>12042958</v>
      </c>
      <c r="W25" s="88">
        <f t="shared" si="9"/>
        <v>0</v>
      </c>
      <c r="X25" s="34"/>
      <c r="Y25" s="34">
        <v>5421000</v>
      </c>
      <c r="Z25" s="34">
        <v>6621958</v>
      </c>
      <c r="AA25" s="34"/>
      <c r="AB25" s="34"/>
      <c r="AC25" s="34">
        <f t="shared" si="6"/>
        <v>12043168.65</v>
      </c>
      <c r="AD25" s="34">
        <f t="shared" si="7"/>
        <v>210.650000002235</v>
      </c>
      <c r="AE25" s="34">
        <f t="shared" si="8"/>
        <v>12043168.65</v>
      </c>
      <c r="AH25" s="2">
        <v>30107921.62</v>
      </c>
    </row>
    <row r="26" s="2" customFormat="1" ht="82" customHeight="1" spans="1:34">
      <c r="A26" s="27">
        <v>23</v>
      </c>
      <c r="B26" s="27" t="s">
        <v>47</v>
      </c>
      <c r="C26" s="30" t="s">
        <v>375</v>
      </c>
      <c r="D26" s="37"/>
      <c r="E26" s="29" t="s">
        <v>376</v>
      </c>
      <c r="F26" s="30" t="s">
        <v>377</v>
      </c>
      <c r="G26" s="87"/>
      <c r="H26" s="30" t="s">
        <v>116</v>
      </c>
      <c r="I26" s="30" t="s">
        <v>42</v>
      </c>
      <c r="J26" s="54">
        <v>31000000</v>
      </c>
      <c r="K26" s="32">
        <v>0.3</v>
      </c>
      <c r="L26" s="31">
        <v>31000000</v>
      </c>
      <c r="M26" s="31">
        <f t="shared" si="0"/>
        <v>0</v>
      </c>
      <c r="N26" s="31">
        <f t="shared" si="1"/>
        <v>0</v>
      </c>
      <c r="O26" s="54"/>
      <c r="P26" s="31">
        <f t="shared" si="2"/>
        <v>0</v>
      </c>
      <c r="Q26" s="31">
        <f t="shared" si="3"/>
        <v>0</v>
      </c>
      <c r="R26" s="54">
        <v>31000000</v>
      </c>
      <c r="S26" s="54">
        <v>29450000</v>
      </c>
      <c r="T26" s="31"/>
      <c r="U26" s="31">
        <v>1550000</v>
      </c>
      <c r="V26" s="34">
        <f>R26-S26</f>
        <v>1550000</v>
      </c>
      <c r="W26" s="88">
        <f t="shared" si="9"/>
        <v>0</v>
      </c>
      <c r="X26" s="34">
        <v>1550000</v>
      </c>
      <c r="Y26" s="34"/>
      <c r="Z26" s="34"/>
      <c r="AA26" s="34"/>
      <c r="AB26" s="34"/>
      <c r="AC26" s="34">
        <f t="shared" si="6"/>
        <v>1550000</v>
      </c>
      <c r="AD26" s="34">
        <f t="shared" si="7"/>
        <v>0</v>
      </c>
      <c r="AE26" s="34">
        <f t="shared" si="8"/>
        <v>1550000</v>
      </c>
      <c r="AH26" s="2">
        <v>31000000</v>
      </c>
    </row>
    <row r="27" s="2" customFormat="1" ht="82" customHeight="1" spans="1:34">
      <c r="A27" s="27">
        <v>24</v>
      </c>
      <c r="B27" s="27" t="s">
        <v>36</v>
      </c>
      <c r="C27" s="30" t="s">
        <v>378</v>
      </c>
      <c r="D27" s="37"/>
      <c r="E27" s="29" t="s">
        <v>379</v>
      </c>
      <c r="F27" s="30" t="s">
        <v>380</v>
      </c>
      <c r="G27" s="87"/>
      <c r="H27" s="30" t="s">
        <v>69</v>
      </c>
      <c r="I27" s="30" t="s">
        <v>70</v>
      </c>
      <c r="J27" s="54">
        <v>1980000</v>
      </c>
      <c r="K27" s="32">
        <v>0.3</v>
      </c>
      <c r="L27" s="31">
        <v>1980000</v>
      </c>
      <c r="M27" s="31">
        <f t="shared" si="0"/>
        <v>0</v>
      </c>
      <c r="N27" s="31">
        <f t="shared" si="1"/>
        <v>0</v>
      </c>
      <c r="O27" s="31"/>
      <c r="P27" s="31">
        <f t="shared" si="2"/>
        <v>0</v>
      </c>
      <c r="Q27" s="31">
        <f t="shared" si="3"/>
        <v>0</v>
      </c>
      <c r="R27" s="31">
        <v>1980000</v>
      </c>
      <c r="S27" s="31">
        <f>R27-T27</f>
        <v>1830000</v>
      </c>
      <c r="T27" s="31">
        <v>150000</v>
      </c>
      <c r="U27" s="31"/>
      <c r="V27" s="34">
        <f>R27-S27</f>
        <v>150000</v>
      </c>
      <c r="W27" s="88">
        <f t="shared" si="9"/>
        <v>0</v>
      </c>
      <c r="X27" s="34"/>
      <c r="Y27" s="34"/>
      <c r="Z27" s="34"/>
      <c r="AA27" s="34"/>
      <c r="AB27" s="34">
        <v>150000</v>
      </c>
      <c r="AC27" s="34">
        <f t="shared" si="6"/>
        <v>150000</v>
      </c>
      <c r="AD27" s="34">
        <f t="shared" si="7"/>
        <v>0</v>
      </c>
      <c r="AE27" s="34">
        <f t="shared" si="8"/>
        <v>150000</v>
      </c>
      <c r="AH27" s="2">
        <v>1980000</v>
      </c>
    </row>
    <row r="28" s="2" customFormat="1" ht="82" customHeight="1" spans="1:34">
      <c r="A28" s="27">
        <v>25</v>
      </c>
      <c r="B28" s="27" t="s">
        <v>36</v>
      </c>
      <c r="C28" s="30" t="s">
        <v>381</v>
      </c>
      <c r="D28" s="37"/>
      <c r="E28" s="29" t="s">
        <v>382</v>
      </c>
      <c r="F28" s="30" t="s">
        <v>383</v>
      </c>
      <c r="G28" s="87"/>
      <c r="H28" s="30" t="s">
        <v>132</v>
      </c>
      <c r="I28" s="30" t="s">
        <v>77</v>
      </c>
      <c r="J28" s="54">
        <v>1103164</v>
      </c>
      <c r="K28" s="32">
        <v>0.3</v>
      </c>
      <c r="L28" s="31">
        <v>0</v>
      </c>
      <c r="M28" s="31">
        <f t="shared" si="0"/>
        <v>1103164</v>
      </c>
      <c r="N28" s="31">
        <f t="shared" si="1"/>
        <v>330949.2</v>
      </c>
      <c r="O28" s="31">
        <v>1103164</v>
      </c>
      <c r="P28" s="31">
        <f t="shared" si="2"/>
        <v>1103164</v>
      </c>
      <c r="Q28" s="31">
        <f t="shared" si="3"/>
        <v>330949.2</v>
      </c>
      <c r="R28" s="54">
        <v>963753</v>
      </c>
      <c r="S28" s="31">
        <v>963753</v>
      </c>
      <c r="T28" s="31"/>
      <c r="U28" s="31"/>
      <c r="V28" s="34"/>
      <c r="W28" s="88"/>
      <c r="X28" s="34"/>
      <c r="Y28" s="34"/>
      <c r="Z28" s="34"/>
      <c r="AA28" s="34"/>
      <c r="AB28" s="34"/>
      <c r="AC28" s="34">
        <f t="shared" si="6"/>
        <v>0</v>
      </c>
      <c r="AD28" s="34">
        <f t="shared" si="7"/>
        <v>139411</v>
      </c>
      <c r="AE28" s="34">
        <f t="shared" si="8"/>
        <v>139411</v>
      </c>
    </row>
    <row r="29" s="2" customFormat="1" ht="82" customHeight="1" spans="1:34">
      <c r="A29" s="27">
        <v>26</v>
      </c>
      <c r="B29" s="27" t="s">
        <v>47</v>
      </c>
      <c r="C29" s="30" t="s">
        <v>384</v>
      </c>
      <c r="D29" s="44"/>
      <c r="E29" s="29" t="s">
        <v>301</v>
      </c>
      <c r="F29" s="30" t="s">
        <v>385</v>
      </c>
      <c r="G29" s="87"/>
      <c r="H29" s="30" t="s">
        <v>51</v>
      </c>
      <c r="I29" s="30" t="s">
        <v>46</v>
      </c>
      <c r="J29" s="31">
        <v>37124100</v>
      </c>
      <c r="K29" s="32">
        <v>0.3</v>
      </c>
      <c r="L29" s="31">
        <v>32353199.9952</v>
      </c>
      <c r="M29" s="31">
        <f t="shared" si="0"/>
        <v>4770900.0048</v>
      </c>
      <c r="N29" s="31">
        <f t="shared" si="1"/>
        <v>1431270.00144</v>
      </c>
      <c r="O29" s="31">
        <v>5301000</v>
      </c>
      <c r="P29" s="31">
        <f t="shared" si="2"/>
        <v>4770900.0048</v>
      </c>
      <c r="Q29" s="31">
        <f t="shared" si="3"/>
        <v>1431270.00144</v>
      </c>
      <c r="R29" s="31">
        <v>17688100</v>
      </c>
      <c r="S29" s="31">
        <v>15000000</v>
      </c>
      <c r="T29" s="31">
        <v>2688100</v>
      </c>
      <c r="U29" s="31"/>
      <c r="V29" s="34">
        <f>R29-S29</f>
        <v>2688100</v>
      </c>
      <c r="W29" s="88">
        <f>V29-SUM(X29:AB29)</f>
        <v>0</v>
      </c>
      <c r="X29" s="34">
        <v>2688100</v>
      </c>
      <c r="Y29" s="34"/>
      <c r="Z29" s="34"/>
      <c r="AA29" s="34"/>
      <c r="AB29" s="34"/>
      <c r="AC29" s="34">
        <f t="shared" si="6"/>
        <v>17353199.9952</v>
      </c>
      <c r="AD29" s="34">
        <f t="shared" si="7"/>
        <v>19436000</v>
      </c>
      <c r="AE29" s="34">
        <f t="shared" si="8"/>
        <v>22124100</v>
      </c>
      <c r="AH29" s="2">
        <v>31823100</v>
      </c>
    </row>
    <row r="30" s="2" customFormat="1" ht="82" customHeight="1" spans="1:34">
      <c r="A30" s="27"/>
      <c r="B30" s="27"/>
      <c r="C30" s="30"/>
      <c r="D30" s="29"/>
      <c r="E30" s="29"/>
      <c r="F30" s="30"/>
      <c r="G30" s="87"/>
      <c r="H30" s="30"/>
      <c r="I30" s="30"/>
      <c r="J30" s="54"/>
      <c r="K30" s="32"/>
      <c r="L30" s="31">
        <f t="shared" ref="L30:AE30" si="10">SUBTOTAL(9,L4:L29)</f>
        <v>330056221.6088</v>
      </c>
      <c r="M30" s="31">
        <f t="shared" si="10"/>
        <v>87829064.0112</v>
      </c>
      <c r="N30" s="31">
        <f t="shared" si="10"/>
        <v>29404719.20336</v>
      </c>
      <c r="O30" s="31">
        <f t="shared" si="10"/>
        <v>114039164.0035</v>
      </c>
      <c r="P30" s="31">
        <f t="shared" si="10"/>
        <v>87829064.0112</v>
      </c>
      <c r="Q30" s="31">
        <f t="shared" si="10"/>
        <v>29404719.20336</v>
      </c>
      <c r="R30" s="31">
        <f t="shared" si="10"/>
        <v>319383583.97</v>
      </c>
      <c r="S30" s="31">
        <f t="shared" si="10"/>
        <v>231720579.03</v>
      </c>
      <c r="T30" s="31">
        <f t="shared" si="10"/>
        <v>40015744.94</v>
      </c>
      <c r="U30" s="31">
        <f t="shared" si="10"/>
        <v>47647260</v>
      </c>
      <c r="V30" s="31">
        <f t="shared" si="10"/>
        <v>87663004.94</v>
      </c>
      <c r="W30" s="31">
        <f t="shared" si="10"/>
        <v>0</v>
      </c>
      <c r="X30" s="31">
        <f t="shared" si="10"/>
        <v>58594360</v>
      </c>
      <c r="Y30" s="31">
        <f t="shared" si="10"/>
        <v>7593000</v>
      </c>
      <c r="Z30" s="31">
        <f t="shared" si="10"/>
        <v>21325644.94</v>
      </c>
      <c r="AA30" s="31">
        <f t="shared" si="10"/>
        <v>0</v>
      </c>
      <c r="AB30" s="31">
        <f t="shared" si="10"/>
        <v>150000</v>
      </c>
      <c r="AC30" s="31">
        <f t="shared" si="10"/>
        <v>109704395.5823</v>
      </c>
      <c r="AD30" s="31">
        <f t="shared" si="10"/>
        <v>98501701.65</v>
      </c>
      <c r="AE30" s="31">
        <f t="shared" si="10"/>
        <v>186164706.59</v>
      </c>
    </row>
    <row r="31" spans="1:34">
      <c r="N31" s="10">
        <f>N30/1.13</f>
        <v>26021875.4012035</v>
      </c>
      <c r="Q31" s="10">
        <f>Q30/1.13</f>
        <v>26021875.4012035</v>
      </c>
    </row>
  </sheetData>
  <sheetProtection formatCells="0" insertHyperlinks="0" autoFilter="0"/>
  <autoFilter xmlns:etc="http://www.wps.cn/officeDocument/2017/etCustomData" ref="A3:AH31" etc:filterBottomFollowUsedRange="0">
    <extLst/>
  </autoFilter>
  <mergeCells count="35">
    <mergeCell ref="L1:N1"/>
    <mergeCell ref="O1:Q1"/>
    <mergeCell ref="T1:AB1"/>
    <mergeCell ref="M2:N2"/>
    <mergeCell ref="X2:AB2"/>
    <mergeCell ref="A1:A3"/>
    <mergeCell ref="B1:B3"/>
    <mergeCell ref="C1:C3"/>
    <mergeCell ref="D1:D3"/>
    <mergeCell ref="D4:D5"/>
    <mergeCell ref="D7:D9"/>
    <mergeCell ref="D10:D11"/>
    <mergeCell ref="D12:D19"/>
    <mergeCell ref="D20:D29"/>
    <mergeCell ref="E1:E3"/>
    <mergeCell ref="F1:F3"/>
    <mergeCell ref="G1:G3"/>
    <mergeCell ref="H1:H3"/>
    <mergeCell ref="I1:I3"/>
    <mergeCell ref="J1:J3"/>
    <mergeCell ref="K1:K3"/>
    <mergeCell ref="L2:L3"/>
    <mergeCell ref="O2:O3"/>
    <mergeCell ref="P2:P3"/>
    <mergeCell ref="Q2:Q3"/>
    <mergeCell ref="R1:R3"/>
    <mergeCell ref="S1:S3"/>
    <mergeCell ref="T2:T3"/>
    <mergeCell ref="U2:U3"/>
    <mergeCell ref="V2:V3"/>
    <mergeCell ref="W2:W3"/>
    <mergeCell ref="AC1:AC3"/>
    <mergeCell ref="AD1:AD3"/>
    <mergeCell ref="AE1:AE3"/>
    <mergeCell ref="AH1:AH3"/>
  </mergeCells>
  <pageMargins left="0.75" right="0.75" top="1" bottom="1" header="0.5" footer="0.5"/>
  <pageSetup paperSize="9" scale="15" orientation="portrait"/>
  <headerFooter/>
  <ignoredErrors>
    <ignoredError sqref="R7 AB30:AE30 X30:Z30 M5:M8 R30:V30 L30:N30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94"/>
  <sheetViews>
    <sheetView topLeftCell="A81" workbookViewId="0">
      <selection activeCell="A4" sqref="A4:A92"/>
    </sheetView>
  </sheetViews>
  <sheetFormatPr defaultColWidth="8.72727272727273" defaultRowHeight="14"/>
  <cols>
    <col min="1" max="1" width="96.1818181818182"/>
  </cols>
  <sheetData>
    <row r="3" spans="1:1">
      <c r="A3" t="s">
        <v>386</v>
      </c>
    </row>
    <row r="4" spans="1:1">
      <c r="A4">
        <v>25082024</v>
      </c>
    </row>
    <row r="5" spans="1:1">
      <c r="A5">
        <v>25082075</v>
      </c>
    </row>
    <row r="6" spans="1:1">
      <c r="A6" t="s">
        <v>310</v>
      </c>
    </row>
    <row r="7" spans="1:1">
      <c r="A7" t="s">
        <v>177</v>
      </c>
    </row>
    <row r="8" spans="1:1">
      <c r="A8" t="s">
        <v>244</v>
      </c>
    </row>
    <row r="9" spans="1:1">
      <c r="A9" t="s">
        <v>170</v>
      </c>
    </row>
    <row r="10" spans="1:1">
      <c r="A10" t="s">
        <v>168</v>
      </c>
    </row>
    <row r="11" spans="1:1">
      <c r="A11" t="s">
        <v>157</v>
      </c>
    </row>
    <row r="12" spans="1:1">
      <c r="A12" t="s">
        <v>161</v>
      </c>
    </row>
    <row r="13" spans="1:1">
      <c r="A13" t="s">
        <v>163</v>
      </c>
    </row>
    <row r="14" spans="1:1">
      <c r="A14" t="s">
        <v>166</v>
      </c>
    </row>
    <row r="15" spans="1:1">
      <c r="A15" t="s">
        <v>105</v>
      </c>
    </row>
    <row r="16" spans="1:1">
      <c r="A16" t="s">
        <v>118</v>
      </c>
    </row>
    <row r="17" spans="1:1">
      <c r="A17" t="s">
        <v>40</v>
      </c>
    </row>
    <row r="18" spans="1:1">
      <c r="A18" t="s">
        <v>44</v>
      </c>
    </row>
    <row r="19" spans="1:1">
      <c r="A19" t="s">
        <v>88</v>
      </c>
    </row>
    <row r="20" spans="1:1">
      <c r="A20" t="s">
        <v>292</v>
      </c>
    </row>
    <row r="21" spans="1:1">
      <c r="A21" t="s">
        <v>99</v>
      </c>
    </row>
    <row r="22" spans="1:1">
      <c r="A22" t="s">
        <v>68</v>
      </c>
    </row>
    <row r="23" spans="1:1">
      <c r="A23" t="s">
        <v>72</v>
      </c>
    </row>
    <row r="24" spans="1:1">
      <c r="A24" t="s">
        <v>122</v>
      </c>
    </row>
    <row r="25" spans="1:1">
      <c r="A25" t="s">
        <v>124</v>
      </c>
    </row>
    <row r="26" spans="1:1">
      <c r="A26" t="s">
        <v>131</v>
      </c>
    </row>
    <row r="27" spans="1:1">
      <c r="A27" t="s">
        <v>127</v>
      </c>
    </row>
    <row r="28" spans="1:1">
      <c r="A28" t="s">
        <v>129</v>
      </c>
    </row>
    <row r="29" spans="1:1">
      <c r="A29" t="s">
        <v>198</v>
      </c>
    </row>
    <row r="30" spans="1:1">
      <c r="A30" t="s">
        <v>189</v>
      </c>
    </row>
    <row r="31" spans="1:1">
      <c r="A31" t="s">
        <v>197</v>
      </c>
    </row>
    <row r="32" spans="1:1">
      <c r="A32" t="s">
        <v>195</v>
      </c>
    </row>
    <row r="33" spans="1:1">
      <c r="A33" t="s">
        <v>206</v>
      </c>
    </row>
    <row r="34" spans="1:1">
      <c r="A34" t="s">
        <v>235</v>
      </c>
    </row>
    <row r="35" spans="1:1">
      <c r="A35" t="s">
        <v>213</v>
      </c>
    </row>
    <row r="36" spans="1:1">
      <c r="A36" t="s">
        <v>91</v>
      </c>
    </row>
    <row r="37" spans="1:1">
      <c r="A37" t="s">
        <v>115</v>
      </c>
    </row>
    <row r="38" spans="1:1">
      <c r="A38" t="s">
        <v>145</v>
      </c>
    </row>
    <row r="39" spans="1:1">
      <c r="A39" t="s">
        <v>139</v>
      </c>
    </row>
    <row r="40" spans="1:1">
      <c r="A40" t="s">
        <v>307</v>
      </c>
    </row>
    <row r="41" spans="1:1">
      <c r="A41" t="s">
        <v>174</v>
      </c>
    </row>
    <row r="42" spans="1:1">
      <c r="A42" t="s">
        <v>50</v>
      </c>
    </row>
    <row r="43" spans="1:1">
      <c r="A43" t="s">
        <v>202</v>
      </c>
    </row>
    <row r="44" spans="1:1">
      <c r="A44" t="s">
        <v>64</v>
      </c>
    </row>
    <row r="45" spans="1:1">
      <c r="A45" t="s">
        <v>57</v>
      </c>
    </row>
    <row r="46" spans="1:1">
      <c r="A46" t="s">
        <v>269</v>
      </c>
    </row>
    <row r="47" spans="1:1">
      <c r="A47" t="s">
        <v>266</v>
      </c>
    </row>
    <row r="48" spans="1:1">
      <c r="A48" t="s">
        <v>272</v>
      </c>
    </row>
    <row r="49" spans="1:1">
      <c r="A49" t="s">
        <v>280</v>
      </c>
    </row>
    <row r="50" spans="1:1">
      <c r="A50" t="s">
        <v>276</v>
      </c>
    </row>
    <row r="51" spans="1:1">
      <c r="A51" t="s">
        <v>282</v>
      </c>
    </row>
    <row r="52" spans="1:1">
      <c r="A52" t="s">
        <v>284</v>
      </c>
    </row>
    <row r="53" spans="1:1">
      <c r="A53" t="s">
        <v>101</v>
      </c>
    </row>
    <row r="54" spans="1:1">
      <c r="A54" t="s">
        <v>96</v>
      </c>
    </row>
    <row r="55" spans="1:1">
      <c r="A55" t="s">
        <v>313</v>
      </c>
    </row>
    <row r="56" spans="1:1">
      <c r="A56" t="s">
        <v>218</v>
      </c>
    </row>
    <row r="57" spans="1:1">
      <c r="A57" t="s">
        <v>216</v>
      </c>
    </row>
    <row r="58" spans="1:1">
      <c r="A58" t="s">
        <v>226</v>
      </c>
    </row>
    <row r="59" spans="1:1">
      <c r="A59" t="s">
        <v>227</v>
      </c>
    </row>
    <row r="60" spans="1:1">
      <c r="A60" t="s">
        <v>230</v>
      </c>
    </row>
    <row r="61" spans="1:1">
      <c r="A61" t="s">
        <v>134</v>
      </c>
    </row>
    <row r="62" spans="1:1">
      <c r="A62" t="s">
        <v>185</v>
      </c>
    </row>
    <row r="63" spans="1:1">
      <c r="A63" t="s">
        <v>316</v>
      </c>
    </row>
    <row r="64" spans="1:1">
      <c r="A64" t="s">
        <v>319</v>
      </c>
    </row>
    <row r="65" spans="1:1">
      <c r="A65" t="s">
        <v>387</v>
      </c>
    </row>
    <row r="66" spans="1:1">
      <c r="A66" t="s">
        <v>113</v>
      </c>
    </row>
    <row r="67" spans="1:1">
      <c r="A67" t="s">
        <v>181</v>
      </c>
    </row>
    <row r="68" spans="1:1">
      <c r="A68" t="s">
        <v>250</v>
      </c>
    </row>
    <row r="69" spans="1:1">
      <c r="A69" t="s">
        <v>257</v>
      </c>
    </row>
    <row r="70" spans="1:1">
      <c r="A70" t="s">
        <v>254</v>
      </c>
    </row>
    <row r="71" spans="1:1">
      <c r="A71" t="s">
        <v>259</v>
      </c>
    </row>
    <row r="72" spans="1:1">
      <c r="A72" t="s">
        <v>263</v>
      </c>
    </row>
    <row r="73" spans="1:1">
      <c r="A73" t="s">
        <v>261</v>
      </c>
    </row>
    <row r="74" spans="1:1">
      <c r="A74" t="s">
        <v>210</v>
      </c>
    </row>
    <row r="75" spans="1:1">
      <c r="A75" t="s">
        <v>239</v>
      </c>
    </row>
    <row r="76" spans="1:1">
      <c r="A76" t="s">
        <v>53</v>
      </c>
    </row>
    <row r="77" spans="1:1">
      <c r="A77" t="s">
        <v>54</v>
      </c>
    </row>
    <row r="78" spans="1:1">
      <c r="A78" t="s">
        <v>302</v>
      </c>
    </row>
    <row r="79" spans="1:1">
      <c r="A79" t="s">
        <v>304</v>
      </c>
    </row>
    <row r="80" spans="1:1">
      <c r="A80" t="s">
        <v>296</v>
      </c>
    </row>
    <row r="81" spans="1:1">
      <c r="A81" t="s">
        <v>82</v>
      </c>
    </row>
    <row r="82" spans="1:1">
      <c r="A82" t="s">
        <v>80</v>
      </c>
    </row>
    <row r="83" spans="1:1">
      <c r="A83" t="s">
        <v>85</v>
      </c>
    </row>
    <row r="84" spans="1:1">
      <c r="A84" t="s">
        <v>86</v>
      </c>
    </row>
    <row r="85" spans="1:1">
      <c r="A85" t="s">
        <v>153</v>
      </c>
    </row>
    <row r="86" spans="1:1">
      <c r="A86" t="s">
        <v>150</v>
      </c>
    </row>
    <row r="87" spans="1:1">
      <c r="A87" t="s">
        <v>148</v>
      </c>
    </row>
    <row r="88" spans="1:1">
      <c r="A88" t="s">
        <v>192</v>
      </c>
    </row>
    <row r="89" spans="1:1">
      <c r="A89" t="s">
        <v>108</v>
      </c>
    </row>
    <row r="90" spans="1:1">
      <c r="A90" t="s">
        <v>110</v>
      </c>
    </row>
    <row r="91" spans="1:1">
      <c r="A91" t="s">
        <v>222</v>
      </c>
    </row>
    <row r="92" spans="1:1">
      <c r="A92" t="s">
        <v>75</v>
      </c>
    </row>
    <row r="93" spans="1:1">
      <c r="A93" t="s">
        <v>388</v>
      </c>
    </row>
    <row r="94" spans="1:1">
      <c r="A94" t="s">
        <v>389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7"/>
  <sheetViews>
    <sheetView workbookViewId="0">
      <selection activeCell="A1" sqref="A$1:A$1048576"/>
    </sheetView>
  </sheetViews>
  <sheetFormatPr defaultColWidth="8.72727272727273" defaultRowHeight="14"/>
  <sheetData>
    <row r="1" spans="1:1">
      <c r="A1" t="s">
        <v>386</v>
      </c>
    </row>
    <row r="2" ht="52" spans="1:1">
      <c r="A2" s="30" t="s">
        <v>40</v>
      </c>
    </row>
    <row r="3" ht="52" spans="1:1">
      <c r="A3" s="30" t="s">
        <v>44</v>
      </c>
    </row>
    <row r="4" ht="39" spans="1:1">
      <c r="A4" s="30" t="s">
        <v>50</v>
      </c>
    </row>
    <row r="5" ht="52" spans="1:1">
      <c r="A5" s="30" t="s">
        <v>53</v>
      </c>
    </row>
    <row r="6" ht="52" spans="1:1">
      <c r="A6" s="30" t="s">
        <v>54</v>
      </c>
    </row>
    <row r="7" ht="39" spans="1:1">
      <c r="A7" s="30" t="s">
        <v>57</v>
      </c>
    </row>
    <row r="8" ht="104" spans="1:1">
      <c r="A8" s="30" t="s">
        <v>64</v>
      </c>
    </row>
    <row r="9" ht="65" spans="1:1">
      <c r="A9" s="30" t="s">
        <v>68</v>
      </c>
    </row>
    <row r="10" ht="65" spans="1:1">
      <c r="A10" s="30" t="s">
        <v>72</v>
      </c>
    </row>
    <row r="11" ht="52" spans="1:1">
      <c r="A11" s="30" t="s">
        <v>75</v>
      </c>
    </row>
    <row r="12" ht="39" spans="1:1">
      <c r="A12" s="30" t="s">
        <v>80</v>
      </c>
    </row>
    <row r="13" ht="42" spans="1:1">
      <c r="A13" s="64" t="s">
        <v>82</v>
      </c>
    </row>
    <row r="14" ht="78" spans="1:1">
      <c r="A14" s="30" t="s">
        <v>85</v>
      </c>
    </row>
    <row r="15" ht="52" spans="1:1">
      <c r="A15" s="30" t="s">
        <v>86</v>
      </c>
    </row>
    <row r="16" ht="26" spans="1:1">
      <c r="A16" s="30" t="s">
        <v>88</v>
      </c>
    </row>
    <row r="17" ht="169" spans="1:1">
      <c r="A17" s="30" t="s">
        <v>91</v>
      </c>
    </row>
    <row r="18" ht="52" spans="1:1">
      <c r="A18" s="30" t="s">
        <v>96</v>
      </c>
    </row>
    <row r="19" ht="52" spans="1:1">
      <c r="A19" s="30" t="s">
        <v>99</v>
      </c>
    </row>
    <row r="20" ht="52" spans="1:1">
      <c r="A20" s="30" t="s">
        <v>101</v>
      </c>
    </row>
    <row r="21" ht="26" spans="1:1">
      <c r="A21" s="29" t="s">
        <v>105</v>
      </c>
    </row>
    <row r="22" ht="52" spans="1:1">
      <c r="A22" s="29" t="s">
        <v>108</v>
      </c>
    </row>
    <row r="23" ht="52" spans="1:1">
      <c r="A23" s="29" t="s">
        <v>110</v>
      </c>
    </row>
    <row r="24" ht="39" spans="1:1">
      <c r="A24" s="29" t="s">
        <v>113</v>
      </c>
    </row>
    <row r="25" ht="52" spans="1:1">
      <c r="A25" s="29" t="s">
        <v>115</v>
      </c>
    </row>
    <row r="26" ht="52" spans="1:1">
      <c r="A26" s="29" t="s">
        <v>118</v>
      </c>
    </row>
    <row r="27" ht="39" spans="1:1">
      <c r="A27" s="29" t="s">
        <v>122</v>
      </c>
    </row>
    <row r="28" ht="39" spans="1:1">
      <c r="A28" s="29" t="s">
        <v>124</v>
      </c>
    </row>
    <row r="29" ht="65" spans="1:1">
      <c r="A29" s="29" t="s">
        <v>127</v>
      </c>
    </row>
    <row r="30" ht="65" spans="1:1">
      <c r="A30" s="29" t="s">
        <v>129</v>
      </c>
    </row>
    <row r="31" ht="91" spans="1:1">
      <c r="A31" s="30" t="s">
        <v>131</v>
      </c>
    </row>
    <row r="32" ht="65" spans="1:1">
      <c r="A32" s="29" t="s">
        <v>134</v>
      </c>
    </row>
    <row r="33" ht="52" spans="1:1">
      <c r="A33" s="29" t="s">
        <v>139</v>
      </c>
    </row>
    <row r="34" ht="52" spans="1:1">
      <c r="A34" s="29" t="s">
        <v>139</v>
      </c>
    </row>
    <row r="35" ht="52" spans="1:1">
      <c r="A35" s="29" t="s">
        <v>139</v>
      </c>
    </row>
    <row r="36" ht="65" spans="1:1">
      <c r="A36" s="29" t="s">
        <v>145</v>
      </c>
    </row>
    <row r="37" ht="65" spans="1:1">
      <c r="A37" s="29" t="s">
        <v>148</v>
      </c>
    </row>
    <row r="38" ht="65" spans="1:1">
      <c r="A38" s="29" t="s">
        <v>150</v>
      </c>
    </row>
    <row r="39" ht="39" spans="1:1">
      <c r="A39" s="29" t="s">
        <v>153</v>
      </c>
    </row>
    <row r="40" ht="52" spans="1:1">
      <c r="A40" s="29" t="s">
        <v>157</v>
      </c>
    </row>
    <row r="41" ht="65" spans="1:1">
      <c r="A41" s="29" t="s">
        <v>161</v>
      </c>
    </row>
    <row r="42" ht="52" spans="1:1">
      <c r="A42" s="29" t="s">
        <v>163</v>
      </c>
    </row>
    <row r="43" ht="65" spans="1:1">
      <c r="A43" s="29" t="s">
        <v>166</v>
      </c>
    </row>
    <row r="44" ht="104" spans="1:1">
      <c r="A44" s="29" t="s">
        <v>168</v>
      </c>
    </row>
    <row r="45" ht="52" spans="1:1">
      <c r="A45" s="29" t="s">
        <v>170</v>
      </c>
    </row>
    <row r="46" ht="39" spans="1:1">
      <c r="A46" s="29" t="s">
        <v>174</v>
      </c>
    </row>
    <row r="47" ht="65" spans="1:1">
      <c r="A47" s="29" t="s">
        <v>177</v>
      </c>
    </row>
    <row r="48" ht="39" spans="1:1">
      <c r="A48" s="29" t="s">
        <v>181</v>
      </c>
    </row>
    <row r="49" ht="56" spans="1:1">
      <c r="A49" s="79" t="s">
        <v>185</v>
      </c>
    </row>
    <row r="50" ht="52" spans="1:1">
      <c r="A50" s="29" t="s">
        <v>189</v>
      </c>
    </row>
    <row r="51" ht="39" spans="1:1">
      <c r="A51" s="29" t="s">
        <v>192</v>
      </c>
    </row>
    <row r="52" ht="39" spans="1:1">
      <c r="A52" s="29" t="s">
        <v>195</v>
      </c>
    </row>
    <row r="53" ht="52" spans="1:1">
      <c r="A53" s="29" t="s">
        <v>197</v>
      </c>
    </row>
    <row r="54" ht="39" spans="1:1">
      <c r="A54" s="29" t="s">
        <v>198</v>
      </c>
    </row>
    <row r="55" ht="39" spans="1:1">
      <c r="A55" s="29" t="s">
        <v>202</v>
      </c>
    </row>
    <row r="56" ht="65" spans="1:1">
      <c r="A56" s="29" t="s">
        <v>206</v>
      </c>
    </row>
    <row r="57" ht="39" spans="1:1">
      <c r="A57" s="29" t="s">
        <v>210</v>
      </c>
    </row>
    <row r="58" ht="91" spans="1:1">
      <c r="A58" s="29" t="s">
        <v>213</v>
      </c>
    </row>
    <row r="59" ht="65" spans="1:1">
      <c r="A59" s="29" t="s">
        <v>216</v>
      </c>
    </row>
    <row r="60" ht="65" spans="1:1">
      <c r="A60" s="29" t="s">
        <v>218</v>
      </c>
    </row>
    <row r="61" ht="39" spans="1:1">
      <c r="A61" s="29" t="s">
        <v>222</v>
      </c>
    </row>
    <row r="62" ht="52" spans="1:1">
      <c r="A62" s="29" t="s">
        <v>226</v>
      </c>
    </row>
    <row r="63" ht="52" spans="1:1">
      <c r="A63" s="29" t="s">
        <v>227</v>
      </c>
    </row>
    <row r="64" ht="65" spans="1:1">
      <c r="A64" s="30" t="s">
        <v>230</v>
      </c>
    </row>
    <row r="65" ht="52" spans="1:1">
      <c r="A65" s="30" t="s">
        <v>235</v>
      </c>
    </row>
    <row r="66" ht="26" spans="1:1">
      <c r="A66" s="30" t="s">
        <v>239</v>
      </c>
    </row>
    <row r="67" ht="26" spans="1:1">
      <c r="A67" s="30" t="s">
        <v>239</v>
      </c>
    </row>
    <row r="68" ht="65" spans="1:1">
      <c r="A68" s="30" t="s">
        <v>244</v>
      </c>
    </row>
    <row r="69" ht="65" spans="1:1">
      <c r="A69" s="60" t="s">
        <v>244</v>
      </c>
    </row>
    <row r="70" ht="56" spans="1:1">
      <c r="A70" s="64" t="s">
        <v>250</v>
      </c>
    </row>
    <row r="71" ht="39" spans="1:1">
      <c r="A71" s="30" t="s">
        <v>254</v>
      </c>
    </row>
    <row r="72" ht="52" spans="1:1">
      <c r="A72" s="29" t="s">
        <v>257</v>
      </c>
    </row>
    <row r="73" ht="52" spans="1:1">
      <c r="A73" s="30" t="s">
        <v>259</v>
      </c>
    </row>
    <row r="74" ht="39" spans="1:1">
      <c r="A74" s="30" t="s">
        <v>261</v>
      </c>
    </row>
    <row r="75" ht="39" spans="1:1">
      <c r="A75" s="30" t="s">
        <v>263</v>
      </c>
    </row>
    <row r="76" ht="42" spans="1:1">
      <c r="A76" s="64" t="s">
        <v>266</v>
      </c>
    </row>
    <row r="77" ht="39" spans="1:1">
      <c r="A77" s="30" t="s">
        <v>269</v>
      </c>
    </row>
    <row r="78" ht="39" spans="1:1">
      <c r="A78" s="29" t="s">
        <v>272</v>
      </c>
    </row>
    <row r="79" ht="39" spans="1:1">
      <c r="A79" s="30" t="s">
        <v>276</v>
      </c>
    </row>
    <row r="80" ht="39" spans="1:1">
      <c r="A80" s="30" t="s">
        <v>276</v>
      </c>
    </row>
    <row r="81" ht="39" spans="1:1">
      <c r="A81" s="30" t="s">
        <v>280</v>
      </c>
    </row>
    <row r="82" ht="39" spans="1:1">
      <c r="A82" s="29" t="s">
        <v>282</v>
      </c>
    </row>
    <row r="83" ht="42" spans="1:1">
      <c r="A83" s="64" t="s">
        <v>284</v>
      </c>
    </row>
    <row r="84" ht="42" spans="1:1">
      <c r="A84" s="64" t="s">
        <v>284</v>
      </c>
    </row>
    <row r="85" spans="1:1">
      <c r="A85" s="80">
        <v>25082024</v>
      </c>
    </row>
    <row r="86" spans="1:1">
      <c r="A86" s="80">
        <v>25082075</v>
      </c>
    </row>
    <row r="87" ht="52" spans="1:1">
      <c r="A87" s="30" t="s">
        <v>292</v>
      </c>
    </row>
    <row r="88" ht="52" spans="1:1">
      <c r="A88" s="30" t="s">
        <v>296</v>
      </c>
    </row>
    <row r="89" ht="52" spans="1:1">
      <c r="A89" s="30" t="s">
        <v>296</v>
      </c>
    </row>
    <row r="90" ht="52" spans="1:1">
      <c r="A90" s="29" t="s">
        <v>302</v>
      </c>
    </row>
    <row r="91" ht="39" spans="1:1">
      <c r="A91" s="29" t="s">
        <v>304</v>
      </c>
    </row>
    <row r="92" ht="78" spans="1:1">
      <c r="A92" s="29" t="s">
        <v>307</v>
      </c>
    </row>
    <row r="93" ht="60" spans="1:1">
      <c r="A93" s="57" t="s">
        <v>310</v>
      </c>
    </row>
    <row r="94" ht="30" spans="1:1">
      <c r="A94" s="57" t="s">
        <v>313</v>
      </c>
    </row>
    <row r="95" ht="52" spans="1:1">
      <c r="A95" s="29" t="s">
        <v>316</v>
      </c>
    </row>
    <row r="96" ht="52" spans="1:1">
      <c r="A96" s="29" t="s">
        <v>319</v>
      </c>
    </row>
    <row r="97" ht="39" spans="1:1">
      <c r="A97" s="29" t="s">
        <v>322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XDY124"/>
  <sheetViews>
    <sheetView zoomScale="55" zoomScaleNormal="55" workbookViewId="0">
      <pane xSplit="11" ySplit="4" topLeftCell="S107" activePane="bottomRight" state="frozen"/>
      <selection/>
      <selection pane="topRight"/>
      <selection pane="bottomLeft"/>
      <selection pane="bottomRight" activeCell="T122" sqref="T122:U124"/>
    </sheetView>
  </sheetViews>
  <sheetFormatPr defaultColWidth="9" defaultRowHeight="14"/>
  <cols>
    <col min="1" max="1" width="12.1181818181818" style="8" customWidth="1"/>
    <col min="2" max="4" width="17.8454545454545" customWidth="1"/>
    <col min="5" max="6" width="17.8454545454545" style="9" customWidth="1"/>
    <col min="7" max="7" width="17.8454545454545" customWidth="1"/>
    <col min="8" max="8" width="17.8454545454545" style="9" customWidth="1"/>
    <col min="9" max="10" width="17.8454545454545" customWidth="1"/>
    <col min="11" max="11" width="14.6727272727273" customWidth="1"/>
    <col min="12" max="13" width="17.8454545454545" customWidth="1"/>
    <col min="14" max="14" width="18.8363636363636" customWidth="1"/>
    <col min="15" max="16" width="18.8363636363636" style="10" customWidth="1"/>
    <col min="17" max="17" width="17.8454545454545" style="10" customWidth="1"/>
    <col min="18" max="24" width="17.8454545454545" customWidth="1"/>
    <col min="25" max="25" width="22.5454545454545" customWidth="1"/>
  </cols>
  <sheetData>
    <row r="1" ht="45" customHeight="1" spans="1:25">
      <c r="A1" s="11" t="s">
        <v>390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customFormat="1" ht="47" customHeight="1" spans="1:25">
      <c r="A2" s="13" t="s">
        <v>0</v>
      </c>
      <c r="B2" s="14" t="s">
        <v>391</v>
      </c>
      <c r="C2" s="14" t="s">
        <v>1</v>
      </c>
      <c r="D2" s="14" t="s">
        <v>392</v>
      </c>
      <c r="E2" s="15" t="s">
        <v>393</v>
      </c>
      <c r="F2" s="14" t="s">
        <v>2</v>
      </c>
      <c r="G2" s="14" t="s">
        <v>3</v>
      </c>
      <c r="H2" s="14" t="s">
        <v>4</v>
      </c>
      <c r="I2" s="14" t="s">
        <v>5</v>
      </c>
      <c r="J2" s="14" t="s">
        <v>7</v>
      </c>
      <c r="K2" s="14" t="s">
        <v>8</v>
      </c>
      <c r="L2" s="14" t="s">
        <v>9</v>
      </c>
      <c r="M2" s="14" t="s">
        <v>10</v>
      </c>
      <c r="N2" s="16" t="s">
        <v>11</v>
      </c>
      <c r="O2" s="17"/>
      <c r="P2" s="17"/>
      <c r="Q2" s="14" t="s">
        <v>14</v>
      </c>
      <c r="R2" s="14" t="s">
        <v>18</v>
      </c>
      <c r="S2" s="18" t="s">
        <v>394</v>
      </c>
      <c r="T2" s="19"/>
      <c r="U2" s="19"/>
      <c r="V2" s="19"/>
      <c r="W2" s="19"/>
      <c r="X2" s="19"/>
      <c r="Y2" s="20"/>
    </row>
    <row r="3" s="1" customFormat="1" ht="47" customHeight="1" spans="1:25">
      <c r="A3" s="13"/>
      <c r="B3" s="14"/>
      <c r="C3" s="14"/>
      <c r="D3" s="14"/>
      <c r="E3" s="21"/>
      <c r="F3" s="14"/>
      <c r="G3" s="14"/>
      <c r="H3" s="14"/>
      <c r="I3" s="14"/>
      <c r="J3" s="14"/>
      <c r="K3" s="14"/>
      <c r="L3" s="14"/>
      <c r="M3" s="14"/>
      <c r="N3" s="14" t="s">
        <v>20</v>
      </c>
      <c r="O3" s="15" t="s">
        <v>395</v>
      </c>
      <c r="P3" s="19" t="s">
        <v>396</v>
      </c>
      <c r="Q3" s="14"/>
      <c r="R3" s="14"/>
      <c r="S3" s="22"/>
      <c r="T3" s="23"/>
      <c r="U3" s="23"/>
      <c r="V3" s="23"/>
      <c r="W3" s="23"/>
      <c r="X3" s="23"/>
      <c r="Y3" s="24"/>
    </row>
    <row r="4" s="1" customFormat="1" ht="131" customHeight="1" spans="1:25">
      <c r="A4" s="13"/>
      <c r="B4" s="14"/>
      <c r="C4" s="14"/>
      <c r="D4" s="14"/>
      <c r="E4" s="25"/>
      <c r="F4" s="14"/>
      <c r="G4" s="14"/>
      <c r="H4" s="14"/>
      <c r="I4" s="14"/>
      <c r="J4" s="14"/>
      <c r="K4" s="14"/>
      <c r="L4" s="14"/>
      <c r="M4" s="14"/>
      <c r="N4" s="14"/>
      <c r="O4" s="25"/>
      <c r="P4" s="23"/>
      <c r="Q4" s="14"/>
      <c r="R4" s="14"/>
      <c r="S4" s="14" t="s">
        <v>26</v>
      </c>
      <c r="T4" s="14" t="s">
        <v>397</v>
      </c>
      <c r="U4" s="14" t="s">
        <v>398</v>
      </c>
      <c r="V4" s="14" t="s">
        <v>399</v>
      </c>
      <c r="W4" s="14" t="s">
        <v>400</v>
      </c>
      <c r="X4" s="14" t="s">
        <v>401</v>
      </c>
      <c r="Y4" s="26" t="s">
        <v>402</v>
      </c>
    </row>
    <row r="5" s="2" customFormat="1" ht="66" hidden="1" customHeight="1" spans="1:25">
      <c r="A5" s="27">
        <v>1</v>
      </c>
      <c r="B5" s="28" t="s">
        <v>403</v>
      </c>
      <c r="C5" s="27" t="s">
        <v>36</v>
      </c>
      <c r="D5" s="29" t="s">
        <v>404</v>
      </c>
      <c r="E5" s="29" t="s">
        <v>405</v>
      </c>
      <c r="F5" s="29" t="s">
        <v>66</v>
      </c>
      <c r="G5" s="29" t="s">
        <v>38</v>
      </c>
      <c r="H5" s="29" t="s">
        <v>325</v>
      </c>
      <c r="I5" s="30" t="s">
        <v>406</v>
      </c>
      <c r="J5" s="30" t="s">
        <v>69</v>
      </c>
      <c r="K5" s="30" t="s">
        <v>70</v>
      </c>
      <c r="L5" s="31">
        <v>4100000</v>
      </c>
      <c r="M5" s="32">
        <v>0.7</v>
      </c>
      <c r="N5" s="31">
        <v>4100000</v>
      </c>
      <c r="O5" s="31"/>
      <c r="P5" s="33">
        <f t="shared" ref="P5:P68" si="0">M5*O5</f>
        <v>0</v>
      </c>
      <c r="Q5" s="31">
        <f>2460000+410000</f>
        <v>2870000</v>
      </c>
      <c r="R5" s="34">
        <f t="shared" ref="R5:R68" si="1">L5-Q5</f>
        <v>1230000</v>
      </c>
      <c r="S5" s="34">
        <f t="shared" ref="S5:S68" si="2">SUM(T5:X5)</f>
        <v>1230000</v>
      </c>
      <c r="T5" s="34">
        <v>1230000</v>
      </c>
      <c r="U5" s="34"/>
      <c r="V5" s="34"/>
      <c r="W5" s="34"/>
      <c r="X5" s="34"/>
      <c r="Y5" s="35">
        <f t="shared" ref="Y5:Y68" si="3">S5*M5</f>
        <v>861000</v>
      </c>
    </row>
    <row r="6" s="2" customFormat="1" ht="82" hidden="1" customHeight="1" spans="1:25">
      <c r="A6" s="27">
        <v>2</v>
      </c>
      <c r="B6" s="28" t="s">
        <v>403</v>
      </c>
      <c r="C6" s="27" t="s">
        <v>36</v>
      </c>
      <c r="D6" s="29" t="s">
        <v>404</v>
      </c>
      <c r="E6" s="29" t="s">
        <v>405</v>
      </c>
      <c r="F6" s="36" t="s">
        <v>407</v>
      </c>
      <c r="G6" s="37"/>
      <c r="H6" s="37" t="s">
        <v>408</v>
      </c>
      <c r="I6" s="37" t="s">
        <v>409</v>
      </c>
      <c r="J6" s="38" t="s">
        <v>132</v>
      </c>
      <c r="K6" s="38" t="s">
        <v>77</v>
      </c>
      <c r="L6" s="39">
        <v>1235000</v>
      </c>
      <c r="M6" s="40">
        <v>0.7</v>
      </c>
      <c r="N6" s="39">
        <v>1235000</v>
      </c>
      <c r="O6" s="31"/>
      <c r="P6" s="33">
        <f t="shared" si="0"/>
        <v>0</v>
      </c>
      <c r="Q6" s="31">
        <v>975450</v>
      </c>
      <c r="R6" s="34">
        <f t="shared" si="1"/>
        <v>259550</v>
      </c>
      <c r="S6" s="34">
        <f t="shared" si="2"/>
        <v>259550</v>
      </c>
      <c r="T6" s="34"/>
      <c r="U6" s="34">
        <v>136000</v>
      </c>
      <c r="V6" s="34"/>
      <c r="W6" s="34">
        <f>R6-U6</f>
        <v>123550</v>
      </c>
      <c r="X6" s="34"/>
      <c r="Y6" s="35">
        <f t="shared" si="3"/>
        <v>181685</v>
      </c>
    </row>
    <row r="7" s="2" customFormat="1" ht="82" hidden="1" customHeight="1" spans="1:25">
      <c r="A7" s="27">
        <v>3</v>
      </c>
      <c r="B7" s="28" t="s">
        <v>410</v>
      </c>
      <c r="C7" s="27" t="s">
        <v>36</v>
      </c>
      <c r="D7" s="29" t="s">
        <v>404</v>
      </c>
      <c r="E7" s="29" t="s">
        <v>405</v>
      </c>
      <c r="F7" s="30" t="s">
        <v>37</v>
      </c>
      <c r="G7" s="29"/>
      <c r="H7" s="29" t="s">
        <v>39</v>
      </c>
      <c r="I7" s="30" t="s">
        <v>40</v>
      </c>
      <c r="J7" s="30" t="s">
        <v>41</v>
      </c>
      <c r="K7" s="30" t="s">
        <v>42</v>
      </c>
      <c r="L7" s="31">
        <v>10380000</v>
      </c>
      <c r="M7" s="32">
        <v>0.7</v>
      </c>
      <c r="N7" s="31">
        <v>7899999.9972</v>
      </c>
      <c r="O7" s="31"/>
      <c r="P7" s="33">
        <f t="shared" si="0"/>
        <v>0</v>
      </c>
      <c r="Q7" s="31">
        <v>0</v>
      </c>
      <c r="R7" s="34">
        <f t="shared" si="1"/>
        <v>10380000</v>
      </c>
      <c r="S7" s="34">
        <f t="shared" si="2"/>
        <v>7109999.99748</v>
      </c>
      <c r="T7" s="34"/>
      <c r="U7" s="34">
        <v>2000000</v>
      </c>
      <c r="V7" s="34"/>
      <c r="W7" s="34"/>
      <c r="X7" s="34">
        <f>N7*0.9-U7</f>
        <v>5109999.99748</v>
      </c>
      <c r="Y7" s="35">
        <f t="shared" si="3"/>
        <v>4976999.998236</v>
      </c>
    </row>
    <row r="8" s="2" customFormat="1" ht="82" customHeight="1" spans="1:25">
      <c r="A8" s="27">
        <v>4</v>
      </c>
      <c r="B8" s="28" t="s">
        <v>410</v>
      </c>
      <c r="C8" s="27" t="s">
        <v>47</v>
      </c>
      <c r="D8" s="29" t="s">
        <v>404</v>
      </c>
      <c r="E8" s="30" t="s">
        <v>411</v>
      </c>
      <c r="F8" s="36" t="s">
        <v>48</v>
      </c>
      <c r="G8" s="37"/>
      <c r="H8" s="37" t="s">
        <v>49</v>
      </c>
      <c r="I8" s="36" t="s">
        <v>412</v>
      </c>
      <c r="J8" s="36" t="s">
        <v>51</v>
      </c>
      <c r="K8" s="36" t="s">
        <v>46</v>
      </c>
      <c r="L8" s="41">
        <v>25335850</v>
      </c>
      <c r="M8" s="42">
        <v>0.7</v>
      </c>
      <c r="N8" s="41"/>
      <c r="O8" s="31">
        <v>3000000</v>
      </c>
      <c r="P8" s="33">
        <f t="shared" si="0"/>
        <v>2100000</v>
      </c>
      <c r="Q8" s="31">
        <v>0</v>
      </c>
      <c r="R8" s="34">
        <f t="shared" si="1"/>
        <v>25335850</v>
      </c>
      <c r="S8" s="34">
        <f t="shared" si="2"/>
        <v>4000000</v>
      </c>
      <c r="T8" s="34"/>
      <c r="U8" s="34">
        <v>2000000</v>
      </c>
      <c r="V8" s="34">
        <v>2000000</v>
      </c>
      <c r="W8" s="34"/>
      <c r="X8" s="34"/>
      <c r="Y8" s="35">
        <f t="shared" si="3"/>
        <v>2800000</v>
      </c>
    </row>
    <row r="9" s="2" customFormat="1" ht="82" customHeight="1" spans="1:25">
      <c r="A9" s="27">
        <v>5</v>
      </c>
      <c r="B9" s="27" t="s">
        <v>403</v>
      </c>
      <c r="C9" s="27" t="s">
        <v>47</v>
      </c>
      <c r="D9" s="29" t="s">
        <v>404</v>
      </c>
      <c r="E9" s="30" t="s">
        <v>411</v>
      </c>
      <c r="F9" s="30" t="s">
        <v>55</v>
      </c>
      <c r="G9" s="29"/>
      <c r="H9" s="29" t="s">
        <v>56</v>
      </c>
      <c r="I9" s="30" t="s">
        <v>57</v>
      </c>
      <c r="J9" s="30" t="s">
        <v>59</v>
      </c>
      <c r="K9" s="30" t="s">
        <v>60</v>
      </c>
      <c r="L9" s="31">
        <v>5392000</v>
      </c>
      <c r="M9" s="32">
        <v>0.7</v>
      </c>
      <c r="N9" s="31"/>
      <c r="O9" s="31">
        <v>5392000</v>
      </c>
      <c r="P9" s="33">
        <f t="shared" si="0"/>
        <v>3774400</v>
      </c>
      <c r="Q9" s="31">
        <v>3774400</v>
      </c>
      <c r="R9" s="34">
        <f t="shared" si="1"/>
        <v>1617600</v>
      </c>
      <c r="S9" s="34">
        <f t="shared" si="2"/>
        <v>1348000</v>
      </c>
      <c r="T9" s="34"/>
      <c r="U9" s="34"/>
      <c r="V9" s="34">
        <v>1348000</v>
      </c>
      <c r="W9" s="34"/>
      <c r="X9" s="34"/>
      <c r="Y9" s="35">
        <f t="shared" si="3"/>
        <v>943600</v>
      </c>
    </row>
    <row r="10" s="2" customFormat="1" ht="82" customHeight="1" spans="1:25">
      <c r="A10" s="27">
        <v>6</v>
      </c>
      <c r="B10" s="28" t="s">
        <v>403</v>
      </c>
      <c r="C10" s="27" t="s">
        <v>47</v>
      </c>
      <c r="D10" s="29" t="s">
        <v>404</v>
      </c>
      <c r="E10" s="30" t="s">
        <v>413</v>
      </c>
      <c r="F10" s="38" t="s">
        <v>61</v>
      </c>
      <c r="G10" s="43" t="s">
        <v>62</v>
      </c>
      <c r="H10" s="43" t="s">
        <v>63</v>
      </c>
      <c r="I10" s="38" t="s">
        <v>64</v>
      </c>
      <c r="J10" s="30" t="s">
        <v>51</v>
      </c>
      <c r="K10" s="30" t="s">
        <v>46</v>
      </c>
      <c r="L10" s="31">
        <v>20198400</v>
      </c>
      <c r="M10" s="32">
        <v>0.7</v>
      </c>
      <c r="N10" s="31">
        <v>20908967.24</v>
      </c>
      <c r="O10" s="31"/>
      <c r="P10" s="33">
        <f t="shared" si="0"/>
        <v>0</v>
      </c>
      <c r="Q10" s="31">
        <v>14408967.24</v>
      </c>
      <c r="R10" s="34">
        <f t="shared" si="1"/>
        <v>5789432.76</v>
      </c>
      <c r="S10" s="34">
        <f t="shared" si="2"/>
        <v>5789432.76</v>
      </c>
      <c r="T10" s="34"/>
      <c r="U10" s="34"/>
      <c r="V10" s="34">
        <v>5789432.76</v>
      </c>
      <c r="W10" s="34"/>
      <c r="X10" s="34"/>
      <c r="Y10" s="35">
        <f t="shared" si="3"/>
        <v>4052602.932</v>
      </c>
    </row>
    <row r="11" s="2" customFormat="1" ht="66" hidden="1" customHeight="1" spans="1:25">
      <c r="A11" s="27">
        <v>7</v>
      </c>
      <c r="B11" s="28" t="s">
        <v>403</v>
      </c>
      <c r="C11" s="27" t="s">
        <v>36</v>
      </c>
      <c r="D11" s="29" t="s">
        <v>404</v>
      </c>
      <c r="E11" s="29" t="s">
        <v>405</v>
      </c>
      <c r="F11" s="29" t="s">
        <v>66</v>
      </c>
      <c r="G11" s="29"/>
      <c r="H11" s="29" t="s">
        <v>67</v>
      </c>
      <c r="I11" s="30" t="s">
        <v>68</v>
      </c>
      <c r="J11" s="30" t="s">
        <v>69</v>
      </c>
      <c r="K11" s="30" t="s">
        <v>70</v>
      </c>
      <c r="L11" s="31">
        <v>3800000</v>
      </c>
      <c r="M11" s="32">
        <v>0.7</v>
      </c>
      <c r="N11" s="31">
        <v>3800000</v>
      </c>
      <c r="O11" s="31"/>
      <c r="P11" s="33">
        <f t="shared" si="0"/>
        <v>0</v>
      </c>
      <c r="Q11" s="31">
        <f>1140000+200000</f>
        <v>1340000</v>
      </c>
      <c r="R11" s="34">
        <f t="shared" si="1"/>
        <v>2460000</v>
      </c>
      <c r="S11" s="34">
        <f t="shared" si="2"/>
        <v>1430000</v>
      </c>
      <c r="T11" s="34">
        <v>1430000</v>
      </c>
      <c r="U11" s="34"/>
      <c r="V11" s="34"/>
      <c r="W11" s="34"/>
      <c r="X11" s="34"/>
      <c r="Y11" s="35">
        <f t="shared" si="3"/>
        <v>1001000</v>
      </c>
    </row>
    <row r="12" s="2" customFormat="1" ht="66" hidden="1" customHeight="1" spans="1:25">
      <c r="A12" s="27">
        <v>8</v>
      </c>
      <c r="B12" s="28"/>
      <c r="C12" s="27" t="s">
        <v>414</v>
      </c>
      <c r="D12" s="29"/>
      <c r="E12" s="29"/>
      <c r="F12" s="44" t="s">
        <v>71</v>
      </c>
      <c r="G12" s="37"/>
      <c r="H12" s="44" t="s">
        <v>67</v>
      </c>
      <c r="I12" s="45" t="s">
        <v>72</v>
      </c>
      <c r="J12" s="30" t="s">
        <v>69</v>
      </c>
      <c r="K12" s="30" t="s">
        <v>70</v>
      </c>
      <c r="L12" s="31">
        <v>3100000</v>
      </c>
      <c r="M12" s="32">
        <v>0.6</v>
      </c>
      <c r="N12" s="31"/>
      <c r="O12" s="31">
        <v>3100000</v>
      </c>
      <c r="P12" s="33">
        <f t="shared" si="0"/>
        <v>1860000</v>
      </c>
      <c r="Q12" s="31"/>
      <c r="R12" s="34">
        <f t="shared" si="1"/>
        <v>3100000</v>
      </c>
      <c r="S12" s="34">
        <f t="shared" si="2"/>
        <v>930000</v>
      </c>
      <c r="T12" s="34"/>
      <c r="U12" s="34"/>
      <c r="V12" s="34">
        <v>930000</v>
      </c>
      <c r="W12" s="34"/>
      <c r="X12" s="34"/>
      <c r="Y12" s="35">
        <f t="shared" si="3"/>
        <v>558000</v>
      </c>
    </row>
    <row r="13" s="2" customFormat="1" ht="66" customHeight="1" spans="1:25">
      <c r="A13" s="27">
        <v>9</v>
      </c>
      <c r="B13" s="27" t="s">
        <v>403</v>
      </c>
      <c r="C13" s="27" t="s">
        <v>47</v>
      </c>
      <c r="D13" s="29" t="s">
        <v>404</v>
      </c>
      <c r="E13" s="29" t="s">
        <v>411</v>
      </c>
      <c r="F13" s="44" t="s">
        <v>415</v>
      </c>
      <c r="G13" s="37"/>
      <c r="H13" s="44" t="s">
        <v>63</v>
      </c>
      <c r="I13" s="45" t="s">
        <v>416</v>
      </c>
      <c r="J13" s="30" t="s">
        <v>51</v>
      </c>
      <c r="K13" s="30" t="s">
        <v>46</v>
      </c>
      <c r="L13" s="31">
        <v>980000</v>
      </c>
      <c r="M13" s="32">
        <v>1</v>
      </c>
      <c r="N13" s="31">
        <v>980000</v>
      </c>
      <c r="O13" s="31"/>
      <c r="P13" s="33">
        <f t="shared" si="0"/>
        <v>0</v>
      </c>
      <c r="Q13" s="31">
        <v>924000</v>
      </c>
      <c r="R13" s="34">
        <f t="shared" si="1"/>
        <v>56000</v>
      </c>
      <c r="S13" s="34">
        <f t="shared" si="2"/>
        <v>56000</v>
      </c>
      <c r="T13" s="34"/>
      <c r="U13" s="34"/>
      <c r="V13" s="34"/>
      <c r="W13" s="34"/>
      <c r="X13" s="34">
        <v>56000</v>
      </c>
      <c r="Y13" s="35">
        <f t="shared" si="3"/>
        <v>56000</v>
      </c>
    </row>
    <row r="14" s="2" customFormat="1" ht="66" customHeight="1" spans="1:25">
      <c r="A14" s="27">
        <v>10</v>
      </c>
      <c r="B14" s="27" t="s">
        <v>403</v>
      </c>
      <c r="C14" s="27" t="s">
        <v>47</v>
      </c>
      <c r="D14" s="29" t="s">
        <v>404</v>
      </c>
      <c r="E14" s="29" t="s">
        <v>411</v>
      </c>
      <c r="F14" s="43" t="s">
        <v>81</v>
      </c>
      <c r="G14" s="37"/>
      <c r="H14" s="43" t="s">
        <v>63</v>
      </c>
      <c r="I14" s="46" t="s">
        <v>82</v>
      </c>
      <c r="J14" s="38" t="s">
        <v>51</v>
      </c>
      <c r="K14" s="38" t="s">
        <v>46</v>
      </c>
      <c r="L14" s="39">
        <v>11800000</v>
      </c>
      <c r="M14" s="40">
        <v>0.7</v>
      </c>
      <c r="N14" s="39"/>
      <c r="O14" s="31">
        <v>11800000</v>
      </c>
      <c r="P14" s="47">
        <f t="shared" si="0"/>
        <v>8260000</v>
      </c>
      <c r="Q14" s="31">
        <v>2000000</v>
      </c>
      <c r="R14" s="34">
        <f t="shared" si="1"/>
        <v>9800000</v>
      </c>
      <c r="S14" s="34">
        <f t="shared" si="2"/>
        <v>8620000</v>
      </c>
      <c r="T14" s="34"/>
      <c r="U14" s="34"/>
      <c r="V14" s="34">
        <f>8620000/2</f>
        <v>4310000</v>
      </c>
      <c r="W14" s="34">
        <v>4310000</v>
      </c>
      <c r="X14" s="34"/>
      <c r="Y14" s="35">
        <f t="shared" si="3"/>
        <v>6034000</v>
      </c>
    </row>
    <row r="15" s="2" customFormat="1" ht="66" customHeight="1" spans="1:25">
      <c r="A15" s="27">
        <v>11</v>
      </c>
      <c r="B15" s="27" t="s">
        <v>403</v>
      </c>
      <c r="C15" s="27" t="s">
        <v>47</v>
      </c>
      <c r="D15" s="29" t="s">
        <v>404</v>
      </c>
      <c r="E15" s="29" t="s">
        <v>413</v>
      </c>
      <c r="F15" s="29" t="s">
        <v>89</v>
      </c>
      <c r="G15" s="29"/>
      <c r="H15" s="29" t="s">
        <v>90</v>
      </c>
      <c r="I15" s="30" t="s">
        <v>91</v>
      </c>
      <c r="J15" s="30" t="s">
        <v>59</v>
      </c>
      <c r="K15" s="30" t="s">
        <v>60</v>
      </c>
      <c r="L15" s="31">
        <f>32695900/2</f>
        <v>16347950</v>
      </c>
      <c r="M15" s="32">
        <v>0.6</v>
      </c>
      <c r="N15" s="31">
        <v>0</v>
      </c>
      <c r="O15" s="31">
        <v>16347950</v>
      </c>
      <c r="P15" s="33">
        <f t="shared" si="0"/>
        <v>9808770</v>
      </c>
      <c r="Q15" s="31">
        <v>2869816</v>
      </c>
      <c r="R15" s="34">
        <f t="shared" si="1"/>
        <v>13478134</v>
      </c>
      <c r="S15" s="34">
        <f t="shared" si="2"/>
        <v>6350000</v>
      </c>
      <c r="T15" s="34">
        <v>4350000</v>
      </c>
      <c r="U15" s="34">
        <v>1000000</v>
      </c>
      <c r="V15" s="34">
        <v>1000000</v>
      </c>
      <c r="W15" s="34"/>
      <c r="X15" s="34"/>
      <c r="Y15" s="35">
        <f t="shared" si="3"/>
        <v>3810000</v>
      </c>
    </row>
    <row r="16" s="2" customFormat="1" ht="66" customHeight="1" spans="1:25">
      <c r="A16" s="27">
        <v>12</v>
      </c>
      <c r="B16" s="27" t="s">
        <v>403</v>
      </c>
      <c r="C16" s="27" t="s">
        <v>47</v>
      </c>
      <c r="D16" s="29" t="s">
        <v>404</v>
      </c>
      <c r="E16" s="29" t="s">
        <v>413</v>
      </c>
      <c r="F16" s="29" t="s">
        <v>89</v>
      </c>
      <c r="G16" s="29"/>
      <c r="H16" s="29" t="s">
        <v>90</v>
      </c>
      <c r="I16" s="30" t="s">
        <v>91</v>
      </c>
      <c r="J16" s="30" t="s">
        <v>59</v>
      </c>
      <c r="K16" s="30" t="s">
        <v>60</v>
      </c>
      <c r="L16" s="31">
        <v>16347950</v>
      </c>
      <c r="M16" s="32">
        <v>0.6</v>
      </c>
      <c r="N16" s="31">
        <v>0</v>
      </c>
      <c r="O16" s="31">
        <v>16347950</v>
      </c>
      <c r="P16" s="33">
        <f t="shared" si="0"/>
        <v>9808770</v>
      </c>
      <c r="Q16" s="31">
        <v>410184</v>
      </c>
      <c r="R16" s="34">
        <f t="shared" si="1"/>
        <v>15937766</v>
      </c>
      <c r="S16" s="34">
        <f t="shared" si="2"/>
        <v>4000000</v>
      </c>
      <c r="T16" s="34"/>
      <c r="U16" s="34">
        <v>1000000</v>
      </c>
      <c r="V16" s="34">
        <v>1000000</v>
      </c>
      <c r="W16" s="34">
        <v>1000000</v>
      </c>
      <c r="X16" s="34">
        <v>1000000</v>
      </c>
      <c r="Y16" s="35">
        <f t="shared" si="3"/>
        <v>2400000</v>
      </c>
    </row>
    <row r="17" s="2" customFormat="1" ht="82" customHeight="1" spans="1:25">
      <c r="A17" s="27">
        <v>13</v>
      </c>
      <c r="B17" s="28" t="s">
        <v>403</v>
      </c>
      <c r="C17" s="27" t="s">
        <v>47</v>
      </c>
      <c r="D17" s="29" t="s">
        <v>404</v>
      </c>
      <c r="E17" s="29" t="s">
        <v>411</v>
      </c>
      <c r="F17" s="30" t="s">
        <v>417</v>
      </c>
      <c r="G17" s="43" t="s">
        <v>94</v>
      </c>
      <c r="H17" s="29" t="s">
        <v>418</v>
      </c>
      <c r="I17" s="30" t="s">
        <v>419</v>
      </c>
      <c r="J17" s="30" t="s">
        <v>51</v>
      </c>
      <c r="K17" s="30" t="s">
        <v>46</v>
      </c>
      <c r="L17" s="31">
        <v>3882300</v>
      </c>
      <c r="M17" s="32">
        <v>0.7</v>
      </c>
      <c r="N17" s="31">
        <v>3882300</v>
      </c>
      <c r="O17" s="31"/>
      <c r="P17" s="33">
        <f t="shared" si="0"/>
        <v>0</v>
      </c>
      <c r="Q17" s="31">
        <v>3882300</v>
      </c>
      <c r="R17" s="34">
        <f t="shared" si="1"/>
        <v>0</v>
      </c>
      <c r="S17" s="34">
        <f t="shared" si="2"/>
        <v>0</v>
      </c>
      <c r="T17" s="34"/>
      <c r="U17" s="34"/>
      <c r="V17" s="34"/>
      <c r="W17" s="34"/>
      <c r="X17" s="34"/>
      <c r="Y17" s="35">
        <f t="shared" si="3"/>
        <v>0</v>
      </c>
    </row>
    <row r="18" s="2" customFormat="1" ht="66" customHeight="1" spans="1:25">
      <c r="A18" s="27">
        <v>14</v>
      </c>
      <c r="B18" s="27" t="s">
        <v>403</v>
      </c>
      <c r="C18" s="27" t="s">
        <v>47</v>
      </c>
      <c r="D18" s="29" t="s">
        <v>404</v>
      </c>
      <c r="E18" s="29" t="s">
        <v>411</v>
      </c>
      <c r="F18" s="29" t="s">
        <v>420</v>
      </c>
      <c r="G18" s="29"/>
      <c r="H18" s="29" t="s">
        <v>418</v>
      </c>
      <c r="I18" s="30" t="s">
        <v>421</v>
      </c>
      <c r="J18" s="30" t="s">
        <v>51</v>
      </c>
      <c r="K18" s="30" t="s">
        <v>46</v>
      </c>
      <c r="L18" s="7">
        <v>13689008.06</v>
      </c>
      <c r="M18" s="32">
        <v>0.7</v>
      </c>
      <c r="N18" s="31"/>
      <c r="O18" s="31">
        <v>13689008.06</v>
      </c>
      <c r="P18" s="33">
        <f t="shared" si="0"/>
        <v>9582305.642</v>
      </c>
      <c r="Q18" s="7">
        <v>12320107.3</v>
      </c>
      <c r="R18" s="34">
        <f t="shared" si="1"/>
        <v>1368900.76</v>
      </c>
      <c r="S18" s="34">
        <f t="shared" si="2"/>
        <v>1368900.76</v>
      </c>
      <c r="T18" s="34"/>
      <c r="U18" s="34"/>
      <c r="V18" s="34">
        <v>1368900.76</v>
      </c>
      <c r="W18" s="34"/>
      <c r="X18" s="34"/>
      <c r="Y18" s="35">
        <f t="shared" si="3"/>
        <v>958230.532</v>
      </c>
    </row>
    <row r="19" s="2" customFormat="1" ht="66" hidden="1" customHeight="1" spans="1:25">
      <c r="A19" s="27">
        <v>15</v>
      </c>
      <c r="B19" s="28" t="s">
        <v>403</v>
      </c>
      <c r="C19" s="27" t="s">
        <v>36</v>
      </c>
      <c r="D19" s="29" t="s">
        <v>404</v>
      </c>
      <c r="E19" s="29" t="s">
        <v>405</v>
      </c>
      <c r="F19" s="29" t="s">
        <v>422</v>
      </c>
      <c r="G19" s="43" t="s">
        <v>103</v>
      </c>
      <c r="H19" s="29" t="s">
        <v>423</v>
      </c>
      <c r="I19" s="30" t="s">
        <v>424</v>
      </c>
      <c r="J19" s="30" t="s">
        <v>159</v>
      </c>
      <c r="K19" s="30" t="s">
        <v>46</v>
      </c>
      <c r="L19" s="31">
        <v>3350000</v>
      </c>
      <c r="M19" s="32">
        <v>0.7</v>
      </c>
      <c r="N19" s="31">
        <v>3350000</v>
      </c>
      <c r="O19" s="48"/>
      <c r="P19" s="33">
        <f t="shared" si="0"/>
        <v>0</v>
      </c>
      <c r="Q19" s="31">
        <f>100000+580000+800000+670000</f>
        <v>2150000</v>
      </c>
      <c r="R19" s="34">
        <f t="shared" si="1"/>
        <v>1200000</v>
      </c>
      <c r="S19" s="34">
        <f t="shared" si="2"/>
        <v>1200000</v>
      </c>
      <c r="T19" s="34">
        <v>1000000</v>
      </c>
      <c r="U19" s="34"/>
      <c r="V19" s="34">
        <v>200000</v>
      </c>
      <c r="W19" s="34"/>
      <c r="X19" s="34"/>
      <c r="Y19" s="35">
        <f t="shared" si="3"/>
        <v>840000</v>
      </c>
    </row>
    <row r="20" s="2" customFormat="1" ht="66" customHeight="1" spans="1:25">
      <c r="A20" s="27">
        <v>16</v>
      </c>
      <c r="B20" s="28" t="s">
        <v>403</v>
      </c>
      <c r="C20" s="27" t="s">
        <v>47</v>
      </c>
      <c r="D20" s="29" t="s">
        <v>404</v>
      </c>
      <c r="E20" s="29" t="s">
        <v>411</v>
      </c>
      <c r="F20" s="29" t="s">
        <v>425</v>
      </c>
      <c r="G20" s="37"/>
      <c r="H20" s="29" t="s">
        <v>329</v>
      </c>
      <c r="I20" s="30" t="s">
        <v>426</v>
      </c>
      <c r="J20" s="30" t="s">
        <v>51</v>
      </c>
      <c r="K20" s="30" t="s">
        <v>46</v>
      </c>
      <c r="L20" s="49">
        <v>70973611</v>
      </c>
      <c r="M20" s="32">
        <v>0.6</v>
      </c>
      <c r="N20" s="31">
        <v>70973611</v>
      </c>
      <c r="O20" s="50"/>
      <c r="P20" s="33">
        <f t="shared" si="0"/>
        <v>0</v>
      </c>
      <c r="Q20" s="31">
        <v>70973611</v>
      </c>
      <c r="R20" s="34">
        <f t="shared" si="1"/>
        <v>0</v>
      </c>
      <c r="S20" s="34">
        <f t="shared" si="2"/>
        <v>0</v>
      </c>
      <c r="T20" s="34"/>
      <c r="U20" s="34"/>
      <c r="V20" s="34"/>
      <c r="W20" s="34"/>
      <c r="X20" s="34"/>
      <c r="Y20" s="35">
        <f t="shared" si="3"/>
        <v>0</v>
      </c>
    </row>
    <row r="21" s="2" customFormat="1" ht="66" hidden="1" customHeight="1" spans="1:25">
      <c r="A21" s="27">
        <v>17</v>
      </c>
      <c r="B21" s="27" t="s">
        <v>403</v>
      </c>
      <c r="C21" s="27" t="s">
        <v>36</v>
      </c>
      <c r="D21" s="29" t="s">
        <v>404</v>
      </c>
      <c r="E21" s="29" t="s">
        <v>405</v>
      </c>
      <c r="F21" s="29" t="s">
        <v>128</v>
      </c>
      <c r="G21" s="29"/>
      <c r="H21" s="29" t="s">
        <v>126</v>
      </c>
      <c r="I21" s="43" t="s">
        <v>129</v>
      </c>
      <c r="J21" s="43" t="s">
        <v>51</v>
      </c>
      <c r="K21" s="30" t="s">
        <v>46</v>
      </c>
      <c r="L21" s="31">
        <v>1854400</v>
      </c>
      <c r="M21" s="32">
        <v>0.6</v>
      </c>
      <c r="N21" s="31">
        <v>1854400</v>
      </c>
      <c r="O21" s="31"/>
      <c r="P21" s="33">
        <f t="shared" si="0"/>
        <v>0</v>
      </c>
      <c r="Q21" s="31">
        <v>1668960</v>
      </c>
      <c r="R21" s="34">
        <f t="shared" si="1"/>
        <v>185440</v>
      </c>
      <c r="S21" s="34">
        <f t="shared" si="2"/>
        <v>185440</v>
      </c>
      <c r="T21" s="34"/>
      <c r="U21" s="34"/>
      <c r="V21" s="34"/>
      <c r="W21" s="34"/>
      <c r="X21" s="34">
        <v>185440</v>
      </c>
      <c r="Y21" s="35">
        <f t="shared" si="3"/>
        <v>111264</v>
      </c>
    </row>
    <row r="22" s="2" customFormat="1" ht="66" customHeight="1" spans="1:25">
      <c r="A22" s="27">
        <v>18</v>
      </c>
      <c r="B22" s="27" t="s">
        <v>403</v>
      </c>
      <c r="C22" s="27" t="s">
        <v>47</v>
      </c>
      <c r="D22" s="29" t="s">
        <v>404</v>
      </c>
      <c r="E22" s="29" t="s">
        <v>405</v>
      </c>
      <c r="F22" s="29" t="s">
        <v>111</v>
      </c>
      <c r="G22" s="29"/>
      <c r="H22" s="29" t="s">
        <v>112</v>
      </c>
      <c r="I22" s="29" t="s">
        <v>113</v>
      </c>
      <c r="J22" s="29" t="s">
        <v>59</v>
      </c>
      <c r="K22" s="30" t="s">
        <v>60</v>
      </c>
      <c r="L22" s="31">
        <v>1785837</v>
      </c>
      <c r="M22" s="32">
        <v>0.7</v>
      </c>
      <c r="N22" s="31"/>
      <c r="O22" s="31">
        <v>1785837</v>
      </c>
      <c r="P22" s="33">
        <f t="shared" si="0"/>
        <v>1250085.9</v>
      </c>
      <c r="Q22" s="31">
        <v>0</v>
      </c>
      <c r="R22" s="34">
        <f t="shared" si="1"/>
        <v>1785837</v>
      </c>
      <c r="S22" s="34">
        <f t="shared" si="2"/>
        <v>1785837</v>
      </c>
      <c r="T22" s="34"/>
      <c r="U22" s="34"/>
      <c r="V22" s="34"/>
      <c r="W22" s="34">
        <v>1785837</v>
      </c>
      <c r="X22" s="34"/>
      <c r="Y22" s="35">
        <f t="shared" si="3"/>
        <v>1250085.9</v>
      </c>
    </row>
    <row r="23" s="2" customFormat="1" ht="66" customHeight="1" spans="1:25">
      <c r="A23" s="27">
        <v>19</v>
      </c>
      <c r="B23" s="27" t="s">
        <v>410</v>
      </c>
      <c r="C23" s="27" t="s">
        <v>47</v>
      </c>
      <c r="D23" s="29" t="s">
        <v>404</v>
      </c>
      <c r="E23" s="29" t="s">
        <v>413</v>
      </c>
      <c r="F23" s="29" t="s">
        <v>117</v>
      </c>
      <c r="G23" s="29"/>
      <c r="H23" s="29" t="s">
        <v>112</v>
      </c>
      <c r="I23" s="29" t="s">
        <v>118</v>
      </c>
      <c r="J23" s="29" t="s">
        <v>59</v>
      </c>
      <c r="K23" s="30"/>
      <c r="L23" s="31">
        <v>20430900</v>
      </c>
      <c r="M23" s="32">
        <v>0.7</v>
      </c>
      <c r="N23" s="31"/>
      <c r="O23" s="31">
        <v>2000000</v>
      </c>
      <c r="P23" s="33">
        <f t="shared" si="0"/>
        <v>1400000</v>
      </c>
      <c r="Q23" s="31">
        <v>0</v>
      </c>
      <c r="R23" s="34">
        <f t="shared" si="1"/>
        <v>20430900</v>
      </c>
      <c r="S23" s="34">
        <f t="shared" si="2"/>
        <v>3000000</v>
      </c>
      <c r="T23" s="34"/>
      <c r="U23" s="34"/>
      <c r="V23" s="34">
        <v>1000000</v>
      </c>
      <c r="W23" s="34">
        <v>1000000</v>
      </c>
      <c r="X23" s="34">
        <v>1000000</v>
      </c>
      <c r="Y23" s="35">
        <f t="shared" si="3"/>
        <v>2100000</v>
      </c>
    </row>
    <row r="24" s="2" customFormat="1" ht="66" customHeight="1" spans="1:25">
      <c r="A24" s="27">
        <v>20</v>
      </c>
      <c r="B24" s="27" t="s">
        <v>403</v>
      </c>
      <c r="C24" s="27" t="s">
        <v>47</v>
      </c>
      <c r="D24" s="29" t="s">
        <v>404</v>
      </c>
      <c r="E24" s="29" t="s">
        <v>411</v>
      </c>
      <c r="F24" s="29" t="s">
        <v>427</v>
      </c>
      <c r="G24" s="29"/>
      <c r="H24" s="29" t="s">
        <v>112</v>
      </c>
      <c r="I24" s="29" t="s">
        <v>428</v>
      </c>
      <c r="J24" s="29" t="s">
        <v>59</v>
      </c>
      <c r="K24" s="30" t="s">
        <v>60</v>
      </c>
      <c r="L24" s="31">
        <v>16500000</v>
      </c>
      <c r="M24" s="32">
        <v>0.7</v>
      </c>
      <c r="N24" s="31"/>
      <c r="O24" s="31">
        <v>16500000</v>
      </c>
      <c r="P24" s="33">
        <f t="shared" si="0"/>
        <v>11550000</v>
      </c>
      <c r="Q24" s="31">
        <v>9900000</v>
      </c>
      <c r="R24" s="34">
        <f t="shared" si="1"/>
        <v>6600000</v>
      </c>
      <c r="S24" s="34">
        <f t="shared" si="2"/>
        <v>3300000</v>
      </c>
      <c r="T24" s="34"/>
      <c r="U24" s="34"/>
      <c r="V24" s="34"/>
      <c r="W24" s="34">
        <v>3300000</v>
      </c>
      <c r="X24" s="34"/>
      <c r="Y24" s="35">
        <f t="shared" si="3"/>
        <v>2310000</v>
      </c>
    </row>
    <row r="25" s="2" customFormat="1" ht="66" hidden="1" customHeight="1" spans="1:25">
      <c r="A25" s="27">
        <v>21</v>
      </c>
      <c r="B25" s="27" t="s">
        <v>403</v>
      </c>
      <c r="C25" s="27" t="s">
        <v>36</v>
      </c>
      <c r="D25" s="29" t="s">
        <v>404</v>
      </c>
      <c r="E25" s="29" t="s">
        <v>405</v>
      </c>
      <c r="F25" s="44" t="s">
        <v>429</v>
      </c>
      <c r="G25" s="44"/>
      <c r="H25" s="44" t="s">
        <v>430</v>
      </c>
      <c r="I25" s="37" t="s">
        <v>431</v>
      </c>
      <c r="J25" s="37" t="s">
        <v>116</v>
      </c>
      <c r="K25" s="45" t="s">
        <v>42</v>
      </c>
      <c r="L25" s="51">
        <v>600000</v>
      </c>
      <c r="M25" s="52">
        <v>1</v>
      </c>
      <c r="N25" s="51">
        <v>600000</v>
      </c>
      <c r="O25" s="31"/>
      <c r="P25" s="33">
        <f t="shared" si="0"/>
        <v>0</v>
      </c>
      <c r="Q25" s="31">
        <v>600000</v>
      </c>
      <c r="R25" s="34">
        <f t="shared" si="1"/>
        <v>0</v>
      </c>
      <c r="S25" s="34">
        <f t="shared" si="2"/>
        <v>0</v>
      </c>
      <c r="T25" s="34"/>
      <c r="U25" s="34"/>
      <c r="V25" s="34"/>
      <c r="W25" s="34"/>
      <c r="X25" s="34"/>
      <c r="Y25" s="35">
        <f t="shared" si="3"/>
        <v>0</v>
      </c>
    </row>
    <row r="26" s="2" customFormat="1" ht="82" hidden="1" customHeight="1" spans="1:25">
      <c r="A26" s="27">
        <v>22</v>
      </c>
      <c r="B26" s="28" t="s">
        <v>403</v>
      </c>
      <c r="C26" s="27" t="s">
        <v>36</v>
      </c>
      <c r="D26" s="29" t="s">
        <v>404</v>
      </c>
      <c r="E26" s="29" t="s">
        <v>405</v>
      </c>
      <c r="F26" s="38" t="s">
        <v>432</v>
      </c>
      <c r="G26" s="43" t="s">
        <v>120</v>
      </c>
      <c r="H26" s="43" t="s">
        <v>121</v>
      </c>
      <c r="I26" s="43" t="s">
        <v>433</v>
      </c>
      <c r="J26" s="43" t="s">
        <v>132</v>
      </c>
      <c r="K26" s="38" t="s">
        <v>77</v>
      </c>
      <c r="L26" s="39">
        <v>8170000</v>
      </c>
      <c r="M26" s="40">
        <v>0.7</v>
      </c>
      <c r="N26" s="39">
        <v>8170000</v>
      </c>
      <c r="O26" s="31"/>
      <c r="P26" s="33">
        <f t="shared" si="0"/>
        <v>0</v>
      </c>
      <c r="Q26" s="31">
        <f>6751000+700000+200000</f>
        <v>7651000</v>
      </c>
      <c r="R26" s="34">
        <f t="shared" si="1"/>
        <v>519000</v>
      </c>
      <c r="S26" s="34">
        <f t="shared" si="2"/>
        <v>519000</v>
      </c>
      <c r="T26" s="34"/>
      <c r="U26" s="34"/>
      <c r="V26" s="34">
        <v>519000</v>
      </c>
      <c r="W26" s="34"/>
      <c r="X26" s="34"/>
      <c r="Y26" s="35">
        <f t="shared" si="3"/>
        <v>363300</v>
      </c>
    </row>
    <row r="27" s="2" customFormat="1" ht="82" hidden="1" customHeight="1" spans="1:25">
      <c r="A27" s="27">
        <v>23</v>
      </c>
      <c r="B27" s="28" t="s">
        <v>403</v>
      </c>
      <c r="C27" s="27" t="s">
        <v>36</v>
      </c>
      <c r="D27" s="29" t="s">
        <v>404</v>
      </c>
      <c r="E27" s="29" t="s">
        <v>405</v>
      </c>
      <c r="F27" s="30" t="s">
        <v>119</v>
      </c>
      <c r="G27" s="29"/>
      <c r="H27" s="29" t="s">
        <v>121</v>
      </c>
      <c r="I27" s="29" t="s">
        <v>122</v>
      </c>
      <c r="J27" s="29" t="s">
        <v>59</v>
      </c>
      <c r="K27" s="30" t="s">
        <v>60</v>
      </c>
      <c r="L27" s="31">
        <v>8300000</v>
      </c>
      <c r="M27" s="32">
        <v>0.7</v>
      </c>
      <c r="N27" s="31">
        <v>8300000</v>
      </c>
      <c r="O27" s="31"/>
      <c r="P27" s="33">
        <f t="shared" si="0"/>
        <v>0</v>
      </c>
      <c r="Q27" s="53">
        <f>250000</f>
        <v>250000</v>
      </c>
      <c r="R27" s="34">
        <f t="shared" si="1"/>
        <v>8050000</v>
      </c>
      <c r="S27" s="34">
        <f t="shared" si="2"/>
        <v>0</v>
      </c>
      <c r="T27" s="34"/>
      <c r="U27" s="34"/>
      <c r="V27" s="34"/>
      <c r="W27" s="34"/>
      <c r="X27" s="34"/>
      <c r="Y27" s="35">
        <f t="shared" si="3"/>
        <v>0</v>
      </c>
    </row>
    <row r="28" s="2" customFormat="1" ht="66" hidden="1" customHeight="1" spans="1:25">
      <c r="A28" s="27">
        <v>24</v>
      </c>
      <c r="B28" s="28" t="s">
        <v>403</v>
      </c>
      <c r="C28" s="27" t="s">
        <v>36</v>
      </c>
      <c r="D28" s="29" t="s">
        <v>404</v>
      </c>
      <c r="E28" s="29" t="s">
        <v>405</v>
      </c>
      <c r="F28" s="45" t="s">
        <v>123</v>
      </c>
      <c r="G28" s="37"/>
      <c r="H28" s="44" t="s">
        <v>121</v>
      </c>
      <c r="I28" s="37" t="s">
        <v>124</v>
      </c>
      <c r="J28" s="44" t="s">
        <v>45</v>
      </c>
      <c r="K28" s="45" t="s">
        <v>60</v>
      </c>
      <c r="L28" s="51">
        <v>1270000</v>
      </c>
      <c r="M28" s="52">
        <v>1</v>
      </c>
      <c r="N28" s="51">
        <v>1270000</v>
      </c>
      <c r="O28" s="31"/>
      <c r="P28" s="33">
        <f t="shared" si="0"/>
        <v>0</v>
      </c>
      <c r="Q28" s="31">
        <v>400000</v>
      </c>
      <c r="R28" s="34">
        <f t="shared" si="1"/>
        <v>870000</v>
      </c>
      <c r="S28" s="34">
        <f t="shared" si="2"/>
        <v>0</v>
      </c>
      <c r="T28" s="34"/>
      <c r="U28" s="34"/>
      <c r="V28" s="34"/>
      <c r="W28" s="34"/>
      <c r="X28" s="34"/>
      <c r="Y28" s="35">
        <f t="shared" si="3"/>
        <v>0</v>
      </c>
    </row>
    <row r="29" s="2" customFormat="1" ht="66" hidden="1" customHeight="1" spans="1:25">
      <c r="A29" s="27">
        <v>25</v>
      </c>
      <c r="B29" s="28" t="s">
        <v>403</v>
      </c>
      <c r="C29" s="27" t="s">
        <v>36</v>
      </c>
      <c r="D29" s="29" t="s">
        <v>404</v>
      </c>
      <c r="E29" s="29" t="s">
        <v>405</v>
      </c>
      <c r="F29" s="30" t="s">
        <v>125</v>
      </c>
      <c r="G29" s="29"/>
      <c r="H29" s="43" t="s">
        <v>434</v>
      </c>
      <c r="I29" s="29" t="s">
        <v>127</v>
      </c>
      <c r="J29" s="29" t="s">
        <v>51</v>
      </c>
      <c r="K29" s="30" t="s">
        <v>46</v>
      </c>
      <c r="L29" s="54">
        <v>2845600</v>
      </c>
      <c r="M29" s="32">
        <v>0.6</v>
      </c>
      <c r="N29" s="31">
        <v>2845600</v>
      </c>
      <c r="O29" s="31"/>
      <c r="P29" s="33">
        <f t="shared" si="0"/>
        <v>0</v>
      </c>
      <c r="Q29" s="31">
        <f>1707360+400000</f>
        <v>2107360</v>
      </c>
      <c r="R29" s="34">
        <f t="shared" si="1"/>
        <v>738240</v>
      </c>
      <c r="S29" s="34">
        <f t="shared" si="2"/>
        <v>738240</v>
      </c>
      <c r="T29" s="34"/>
      <c r="U29" s="34"/>
      <c r="V29" s="34"/>
      <c r="W29" s="34"/>
      <c r="X29" s="34">
        <v>738240</v>
      </c>
      <c r="Y29" s="35">
        <f t="shared" si="3"/>
        <v>442944</v>
      </c>
    </row>
    <row r="30" s="2" customFormat="1" ht="66" hidden="1" customHeight="1" spans="1:25">
      <c r="A30" s="27">
        <v>26</v>
      </c>
      <c r="B30" s="27" t="s">
        <v>410</v>
      </c>
      <c r="C30" s="27" t="s">
        <v>36</v>
      </c>
      <c r="D30" s="29" t="s">
        <v>404</v>
      </c>
      <c r="E30" s="29" t="s">
        <v>411</v>
      </c>
      <c r="F30" s="30" t="s">
        <v>435</v>
      </c>
      <c r="G30" s="37"/>
      <c r="H30" s="29" t="s">
        <v>121</v>
      </c>
      <c r="I30" s="43" t="s">
        <v>134</v>
      </c>
      <c r="J30" s="43" t="s">
        <v>45</v>
      </c>
      <c r="K30" s="30" t="s">
        <v>42</v>
      </c>
      <c r="L30" s="31">
        <v>585090.7</v>
      </c>
      <c r="M30" s="32">
        <v>1</v>
      </c>
      <c r="N30" s="31">
        <v>0</v>
      </c>
      <c r="O30" s="31">
        <v>585090.7</v>
      </c>
      <c r="P30" s="33">
        <f t="shared" si="0"/>
        <v>585090.7</v>
      </c>
      <c r="Q30" s="31">
        <v>175530</v>
      </c>
      <c r="R30" s="34">
        <f t="shared" si="1"/>
        <v>409560.7</v>
      </c>
      <c r="S30" s="34">
        <f t="shared" si="2"/>
        <v>409560.7</v>
      </c>
      <c r="T30" s="34"/>
      <c r="U30" s="34"/>
      <c r="V30" s="34"/>
      <c r="W30" s="34"/>
      <c r="X30" s="34">
        <v>409560.7</v>
      </c>
      <c r="Y30" s="35">
        <f t="shared" si="3"/>
        <v>409560.7</v>
      </c>
    </row>
    <row r="31" s="2" customFormat="1" ht="66" hidden="1" customHeight="1" spans="1:25">
      <c r="A31" s="27">
        <v>27</v>
      </c>
      <c r="B31" s="28" t="s">
        <v>403</v>
      </c>
      <c r="C31" s="27" t="s">
        <v>36</v>
      </c>
      <c r="D31" s="29" t="s">
        <v>404</v>
      </c>
      <c r="E31" s="29" t="s">
        <v>405</v>
      </c>
      <c r="F31" s="38" t="s">
        <v>436</v>
      </c>
      <c r="G31" s="43" t="s">
        <v>137</v>
      </c>
      <c r="H31" s="43" t="s">
        <v>152</v>
      </c>
      <c r="I31" s="43" t="s">
        <v>437</v>
      </c>
      <c r="J31" s="43" t="s">
        <v>45</v>
      </c>
      <c r="K31" s="38" t="s">
        <v>42</v>
      </c>
      <c r="L31" s="39">
        <v>8580000</v>
      </c>
      <c r="M31" s="40">
        <v>1</v>
      </c>
      <c r="N31" s="39">
        <v>8580000</v>
      </c>
      <c r="O31" s="39"/>
      <c r="P31" s="33">
        <f t="shared" si="0"/>
        <v>0</v>
      </c>
      <c r="Q31" s="39">
        <v>7722000</v>
      </c>
      <c r="R31" s="34">
        <f t="shared" si="1"/>
        <v>858000</v>
      </c>
      <c r="S31" s="34">
        <f t="shared" si="2"/>
        <v>858000</v>
      </c>
      <c r="T31" s="34"/>
      <c r="U31" s="34"/>
      <c r="V31" s="34"/>
      <c r="W31" s="34"/>
      <c r="X31" s="34">
        <v>858000</v>
      </c>
      <c r="Y31" s="35">
        <f t="shared" si="3"/>
        <v>858000</v>
      </c>
    </row>
    <row r="32" s="3" customFormat="1" ht="66" customHeight="1" spans="1:25">
      <c r="A32" s="27">
        <v>28</v>
      </c>
      <c r="B32" s="27" t="s">
        <v>403</v>
      </c>
      <c r="C32" s="27" t="s">
        <v>47</v>
      </c>
      <c r="D32" s="29" t="s">
        <v>404</v>
      </c>
      <c r="E32" s="30" t="s">
        <v>413</v>
      </c>
      <c r="F32" s="30" t="s">
        <v>136</v>
      </c>
      <c r="G32" s="29"/>
      <c r="H32" s="29" t="s">
        <v>138</v>
      </c>
      <c r="I32" s="29" t="s">
        <v>139</v>
      </c>
      <c r="J32" s="29" t="s">
        <v>59</v>
      </c>
      <c r="K32" s="30" t="s">
        <v>60</v>
      </c>
      <c r="L32" s="31">
        <v>28332067.35</v>
      </c>
      <c r="M32" s="32">
        <v>0.7</v>
      </c>
      <c r="N32" s="31">
        <v>14085899.9995</v>
      </c>
      <c r="O32" s="31">
        <v>14246167.3505</v>
      </c>
      <c r="P32" s="33">
        <f t="shared" si="0"/>
        <v>9972317.14535</v>
      </c>
      <c r="Q32" s="31">
        <v>22647450</v>
      </c>
      <c r="R32" s="34">
        <f t="shared" si="1"/>
        <v>5684617.35</v>
      </c>
      <c r="S32" s="34">
        <f t="shared" si="2"/>
        <v>5000000</v>
      </c>
      <c r="T32" s="34"/>
      <c r="U32" s="34">
        <v>3000000</v>
      </c>
      <c r="V32" s="34">
        <v>2000000</v>
      </c>
      <c r="W32" s="34"/>
      <c r="X32" s="34"/>
      <c r="Y32" s="35">
        <f t="shared" si="3"/>
        <v>3500000</v>
      </c>
    </row>
    <row r="33" s="3" customFormat="1" ht="66" customHeight="1" spans="1:25">
      <c r="A33" s="27">
        <v>29</v>
      </c>
      <c r="B33" s="27" t="s">
        <v>403</v>
      </c>
      <c r="C33" s="27" t="s">
        <v>47</v>
      </c>
      <c r="D33" s="29" t="s">
        <v>404</v>
      </c>
      <c r="E33" s="30" t="s">
        <v>413</v>
      </c>
      <c r="F33" s="30" t="s">
        <v>136</v>
      </c>
      <c r="G33" s="29"/>
      <c r="H33" s="29" t="s">
        <v>138</v>
      </c>
      <c r="I33" s="29" t="s">
        <v>139</v>
      </c>
      <c r="J33" s="29" t="s">
        <v>59</v>
      </c>
      <c r="K33" s="30" t="s">
        <v>60</v>
      </c>
      <c r="L33" s="31">
        <f>56664134.7/2</f>
        <v>28332067.35</v>
      </c>
      <c r="M33" s="32">
        <v>0.7</v>
      </c>
      <c r="N33" s="31">
        <v>6693300.0038</v>
      </c>
      <c r="O33" s="31">
        <v>21638767.3462</v>
      </c>
      <c r="P33" s="33">
        <f t="shared" si="0"/>
        <v>15147137.14234</v>
      </c>
      <c r="Q33" s="31">
        <v>0</v>
      </c>
      <c r="R33" s="34">
        <f t="shared" si="1"/>
        <v>28332067.35</v>
      </c>
      <c r="S33" s="34">
        <f t="shared" si="2"/>
        <v>12850000</v>
      </c>
      <c r="T33" s="34">
        <v>4850000</v>
      </c>
      <c r="U33" s="34">
        <v>2000000</v>
      </c>
      <c r="V33" s="34">
        <v>3000000</v>
      </c>
      <c r="W33" s="34">
        <v>3000000</v>
      </c>
      <c r="X33" s="34"/>
      <c r="Y33" s="35">
        <f t="shared" si="3"/>
        <v>8995000</v>
      </c>
    </row>
    <row r="34" s="3" customFormat="1" ht="66" customHeight="1" spans="1:25">
      <c r="A34" s="27">
        <v>30</v>
      </c>
      <c r="B34" s="27" t="s">
        <v>403</v>
      </c>
      <c r="C34" s="27" t="s">
        <v>47</v>
      </c>
      <c r="D34" s="29" t="s">
        <v>404</v>
      </c>
      <c r="E34" s="29" t="s">
        <v>405</v>
      </c>
      <c r="F34" s="29" t="s">
        <v>142</v>
      </c>
      <c r="G34" s="29"/>
      <c r="H34" s="29" t="s">
        <v>138</v>
      </c>
      <c r="I34" s="29" t="s">
        <v>139</v>
      </c>
      <c r="J34" s="29" t="s">
        <v>59</v>
      </c>
      <c r="K34" s="30" t="s">
        <v>60</v>
      </c>
      <c r="L34" s="31">
        <v>1600000</v>
      </c>
      <c r="M34" s="32">
        <v>0.7</v>
      </c>
      <c r="N34" s="31">
        <v>960000</v>
      </c>
      <c r="O34" s="31">
        <v>640000</v>
      </c>
      <c r="P34" s="33">
        <f t="shared" si="0"/>
        <v>448000</v>
      </c>
      <c r="Q34" s="31">
        <v>0</v>
      </c>
      <c r="R34" s="34">
        <f t="shared" si="1"/>
        <v>1600000</v>
      </c>
      <c r="S34" s="34">
        <f t="shared" si="2"/>
        <v>1600000</v>
      </c>
      <c r="T34" s="34">
        <v>320000</v>
      </c>
      <c r="U34" s="34">
        <v>320000</v>
      </c>
      <c r="V34" s="34">
        <v>320000</v>
      </c>
      <c r="W34" s="34">
        <v>640000</v>
      </c>
      <c r="X34" s="34"/>
      <c r="Y34" s="35">
        <f t="shared" si="3"/>
        <v>1120000</v>
      </c>
    </row>
    <row r="35" s="2" customFormat="1" ht="66" customHeight="1" spans="1:25">
      <c r="A35" s="27">
        <v>31</v>
      </c>
      <c r="B35" s="27" t="s">
        <v>403</v>
      </c>
      <c r="C35" s="27" t="s">
        <v>47</v>
      </c>
      <c r="D35" s="29" t="s">
        <v>404</v>
      </c>
      <c r="E35" s="30" t="s">
        <v>413</v>
      </c>
      <c r="F35" s="29" t="s">
        <v>143</v>
      </c>
      <c r="G35" s="29"/>
      <c r="H35" s="29" t="s">
        <v>144</v>
      </c>
      <c r="I35" s="43" t="s">
        <v>145</v>
      </c>
      <c r="J35" s="43" t="s">
        <v>51</v>
      </c>
      <c r="K35" s="30" t="s">
        <v>46</v>
      </c>
      <c r="L35" s="31">
        <v>88880000</v>
      </c>
      <c r="M35" s="32">
        <v>0.7</v>
      </c>
      <c r="N35" s="31"/>
      <c r="O35" s="31"/>
      <c r="P35" s="33">
        <f t="shared" si="0"/>
        <v>0</v>
      </c>
      <c r="Q35" s="31">
        <v>15000000</v>
      </c>
      <c r="R35" s="34">
        <f t="shared" si="1"/>
        <v>73880000</v>
      </c>
      <c r="S35" s="34">
        <f t="shared" si="2"/>
        <v>7000000</v>
      </c>
      <c r="T35" s="34"/>
      <c r="U35" s="34"/>
      <c r="V35" s="34"/>
      <c r="W35" s="34"/>
      <c r="X35" s="34">
        <v>7000000</v>
      </c>
      <c r="Y35" s="35">
        <f t="shared" si="3"/>
        <v>4900000</v>
      </c>
    </row>
    <row r="36" s="2" customFormat="1" ht="66" hidden="1" customHeight="1" spans="1:25">
      <c r="A36" s="27">
        <v>32</v>
      </c>
      <c r="B36" s="27" t="s">
        <v>403</v>
      </c>
      <c r="C36" s="27" t="s">
        <v>36</v>
      </c>
      <c r="D36" s="29" t="s">
        <v>404</v>
      </c>
      <c r="E36" s="29" t="s">
        <v>405</v>
      </c>
      <c r="F36" s="30" t="s">
        <v>438</v>
      </c>
      <c r="G36" s="44"/>
      <c r="H36" s="29" t="s">
        <v>152</v>
      </c>
      <c r="I36" s="29" t="s">
        <v>439</v>
      </c>
      <c r="J36" s="29" t="s">
        <v>45</v>
      </c>
      <c r="K36" s="30" t="s">
        <v>42</v>
      </c>
      <c r="L36" s="31">
        <v>3118000</v>
      </c>
      <c r="M36" s="32">
        <v>1</v>
      </c>
      <c r="N36" s="31">
        <v>3118000</v>
      </c>
      <c r="O36" s="31"/>
      <c r="P36" s="33">
        <f t="shared" si="0"/>
        <v>0</v>
      </c>
      <c r="Q36" s="31">
        <v>2806200</v>
      </c>
      <c r="R36" s="34">
        <f t="shared" si="1"/>
        <v>311800</v>
      </c>
      <c r="S36" s="34">
        <f t="shared" si="2"/>
        <v>0</v>
      </c>
      <c r="T36" s="34"/>
      <c r="U36" s="34"/>
      <c r="V36" s="34"/>
      <c r="W36" s="34"/>
      <c r="X36" s="34"/>
      <c r="Y36" s="35">
        <f t="shared" si="3"/>
        <v>0</v>
      </c>
    </row>
    <row r="37" s="2" customFormat="1" ht="82" customHeight="1" spans="1:25">
      <c r="A37" s="27">
        <v>33</v>
      </c>
      <c r="B37" s="28" t="s">
        <v>403</v>
      </c>
      <c r="C37" s="27" t="s">
        <v>47</v>
      </c>
      <c r="D37" s="29" t="s">
        <v>404</v>
      </c>
      <c r="E37" s="30" t="s">
        <v>413</v>
      </c>
      <c r="F37" s="30" t="s">
        <v>440</v>
      </c>
      <c r="G37" s="43" t="s">
        <v>155</v>
      </c>
      <c r="H37" s="29" t="s">
        <v>165</v>
      </c>
      <c r="I37" s="43" t="s">
        <v>441</v>
      </c>
      <c r="J37" s="43" t="s">
        <v>51</v>
      </c>
      <c r="K37" s="30" t="s">
        <v>46</v>
      </c>
      <c r="L37" s="31">
        <v>20494863</v>
      </c>
      <c r="M37" s="32">
        <v>0.7</v>
      </c>
      <c r="N37" s="31">
        <v>21442833.99</v>
      </c>
      <c r="O37" s="31"/>
      <c r="P37" s="33">
        <f t="shared" si="0"/>
        <v>0</v>
      </c>
      <c r="Q37" s="31">
        <v>15734777.39</v>
      </c>
      <c r="R37" s="34">
        <f t="shared" si="1"/>
        <v>4760085.61</v>
      </c>
      <c r="S37" s="34">
        <f t="shared" si="2"/>
        <v>4760085.61</v>
      </c>
      <c r="T37" s="34"/>
      <c r="U37" s="34"/>
      <c r="V37" s="34"/>
      <c r="W37" s="34">
        <v>4760085.61</v>
      </c>
      <c r="X37" s="34"/>
      <c r="Y37" s="35">
        <f t="shared" si="3"/>
        <v>3332059.927</v>
      </c>
    </row>
    <row r="38" s="2" customFormat="1" ht="66" customHeight="1" spans="1:25">
      <c r="A38" s="27">
        <v>34</v>
      </c>
      <c r="B38" s="28" t="s">
        <v>403</v>
      </c>
      <c r="C38" s="27" t="s">
        <v>47</v>
      </c>
      <c r="D38" s="29" t="s">
        <v>404</v>
      </c>
      <c r="E38" s="29" t="s">
        <v>405</v>
      </c>
      <c r="F38" s="29" t="s">
        <v>154</v>
      </c>
      <c r="G38" s="37"/>
      <c r="H38" s="29" t="s">
        <v>156</v>
      </c>
      <c r="I38" s="43" t="s">
        <v>157</v>
      </c>
      <c r="J38" s="43" t="s">
        <v>159</v>
      </c>
      <c r="K38" s="30" t="s">
        <v>46</v>
      </c>
      <c r="L38" s="31">
        <v>199000000</v>
      </c>
      <c r="M38" s="32">
        <v>0.65</v>
      </c>
      <c r="N38" s="31">
        <v>199000000</v>
      </c>
      <c r="O38" s="31"/>
      <c r="P38" s="33">
        <f t="shared" si="0"/>
        <v>0</v>
      </c>
      <c r="Q38" s="31">
        <f>105000000+5000000</f>
        <v>110000000</v>
      </c>
      <c r="R38" s="34">
        <f t="shared" si="1"/>
        <v>89000000</v>
      </c>
      <c r="S38" s="34">
        <f t="shared" si="2"/>
        <v>49200000</v>
      </c>
      <c r="T38" s="34"/>
      <c r="U38" s="34"/>
      <c r="V38" s="34">
        <v>49200000</v>
      </c>
      <c r="W38" s="34"/>
      <c r="X38" s="34"/>
      <c r="Y38" s="35">
        <f t="shared" si="3"/>
        <v>31980000</v>
      </c>
    </row>
    <row r="39" s="2" customFormat="1" ht="66" customHeight="1" spans="1:25">
      <c r="A39" s="27">
        <v>35</v>
      </c>
      <c r="B39" s="27" t="s">
        <v>410</v>
      </c>
      <c r="C39" s="27" t="s">
        <v>47</v>
      </c>
      <c r="D39" s="29" t="s">
        <v>404</v>
      </c>
      <c r="E39" s="29" t="s">
        <v>405</v>
      </c>
      <c r="F39" s="30" t="s">
        <v>160</v>
      </c>
      <c r="G39" s="37"/>
      <c r="H39" s="29" t="s">
        <v>156</v>
      </c>
      <c r="I39" s="43" t="s">
        <v>161</v>
      </c>
      <c r="J39" s="43" t="s">
        <v>159</v>
      </c>
      <c r="K39" s="30" t="s">
        <v>46</v>
      </c>
      <c r="L39" s="31">
        <v>67000000</v>
      </c>
      <c r="M39" s="32">
        <v>0.7</v>
      </c>
      <c r="N39" s="31">
        <v>0</v>
      </c>
      <c r="O39" s="55">
        <v>67000000</v>
      </c>
      <c r="P39" s="47">
        <f t="shared" si="0"/>
        <v>46900000</v>
      </c>
      <c r="Q39" s="31">
        <v>1000000</v>
      </c>
      <c r="R39" s="34">
        <f t="shared" si="1"/>
        <v>66000000</v>
      </c>
      <c r="S39" s="34">
        <f t="shared" si="2"/>
        <v>45900000</v>
      </c>
      <c r="T39" s="34"/>
      <c r="U39" s="34">
        <v>19000000</v>
      </c>
      <c r="V39" s="34"/>
      <c r="W39" s="34">
        <v>26900000</v>
      </c>
      <c r="X39" s="34"/>
      <c r="Y39" s="35">
        <f t="shared" si="3"/>
        <v>32130000</v>
      </c>
    </row>
    <row r="40" s="2" customFormat="1" ht="66" customHeight="1" spans="1:25">
      <c r="A40" s="27">
        <v>36</v>
      </c>
      <c r="B40" s="27" t="s">
        <v>410</v>
      </c>
      <c r="C40" s="27" t="s">
        <v>47</v>
      </c>
      <c r="D40" s="29" t="s">
        <v>404</v>
      </c>
      <c r="E40" s="29" t="s">
        <v>405</v>
      </c>
      <c r="F40" s="30" t="s">
        <v>162</v>
      </c>
      <c r="G40" s="37"/>
      <c r="H40" s="29" t="s">
        <v>156</v>
      </c>
      <c r="I40" s="43" t="s">
        <v>163</v>
      </c>
      <c r="J40" s="43" t="s">
        <v>159</v>
      </c>
      <c r="K40" s="30" t="s">
        <v>46</v>
      </c>
      <c r="L40" s="31">
        <v>8250000</v>
      </c>
      <c r="M40" s="32">
        <v>0.7</v>
      </c>
      <c r="N40" s="31"/>
      <c r="O40" s="31"/>
      <c r="P40" s="33">
        <f t="shared" si="0"/>
        <v>0</v>
      </c>
      <c r="Q40" s="31">
        <v>0</v>
      </c>
      <c r="R40" s="34">
        <f t="shared" si="1"/>
        <v>8250000</v>
      </c>
      <c r="S40" s="34">
        <f t="shared" si="2"/>
        <v>5010000</v>
      </c>
      <c r="T40" s="34"/>
      <c r="U40" s="34"/>
      <c r="V40" s="34">
        <v>1503000</v>
      </c>
      <c r="W40" s="34">
        <v>3507000</v>
      </c>
      <c r="X40" s="34"/>
      <c r="Y40" s="35">
        <f t="shared" si="3"/>
        <v>3507000</v>
      </c>
    </row>
    <row r="41" s="2" customFormat="1" ht="66" customHeight="1" spans="1:25">
      <c r="A41" s="27">
        <v>37</v>
      </c>
      <c r="B41" s="27" t="s">
        <v>403</v>
      </c>
      <c r="C41" s="27" t="s">
        <v>47</v>
      </c>
      <c r="D41" s="29" t="s">
        <v>404</v>
      </c>
      <c r="E41" s="30" t="s">
        <v>413</v>
      </c>
      <c r="F41" s="38" t="s">
        <v>164</v>
      </c>
      <c r="G41" s="37"/>
      <c r="H41" s="43" t="s">
        <v>165</v>
      </c>
      <c r="I41" s="43" t="s">
        <v>166</v>
      </c>
      <c r="J41" s="43" t="s">
        <v>51</v>
      </c>
      <c r="K41" s="30" t="s">
        <v>46</v>
      </c>
      <c r="L41" s="31">
        <v>36639000</v>
      </c>
      <c r="M41" s="32">
        <v>0.7</v>
      </c>
      <c r="N41" s="31"/>
      <c r="O41" s="31">
        <v>5000000</v>
      </c>
      <c r="P41" s="33">
        <f t="shared" si="0"/>
        <v>3500000</v>
      </c>
      <c r="Q41" s="31">
        <v>7000000</v>
      </c>
      <c r="R41" s="34">
        <f t="shared" si="1"/>
        <v>29639000</v>
      </c>
      <c r="S41" s="34">
        <f t="shared" si="2"/>
        <v>3000000</v>
      </c>
      <c r="T41" s="34"/>
      <c r="U41" s="34"/>
      <c r="V41" s="34">
        <v>3000000</v>
      </c>
      <c r="W41" s="34"/>
      <c r="X41" s="34"/>
      <c r="Y41" s="35">
        <f t="shared" si="3"/>
        <v>2100000</v>
      </c>
    </row>
    <row r="42" s="2" customFormat="1" ht="82" customHeight="1" spans="1:25">
      <c r="A42" s="27">
        <v>38</v>
      </c>
      <c r="B42" s="27" t="s">
        <v>403</v>
      </c>
      <c r="C42" s="27" t="s">
        <v>47</v>
      </c>
      <c r="D42" s="29" t="s">
        <v>404</v>
      </c>
      <c r="E42" s="29" t="s">
        <v>405</v>
      </c>
      <c r="F42" s="30" t="s">
        <v>169</v>
      </c>
      <c r="G42" s="29"/>
      <c r="H42" s="29" t="s">
        <v>156</v>
      </c>
      <c r="I42" s="29" t="s">
        <v>170</v>
      </c>
      <c r="J42" s="29" t="s">
        <v>69</v>
      </c>
      <c r="K42" s="30" t="s">
        <v>70</v>
      </c>
      <c r="L42" s="31">
        <v>20000000</v>
      </c>
      <c r="M42" s="32">
        <v>0.7</v>
      </c>
      <c r="N42" s="31"/>
      <c r="O42" s="31">
        <v>20000000</v>
      </c>
      <c r="P42" s="33">
        <f t="shared" si="0"/>
        <v>14000000</v>
      </c>
      <c r="Q42" s="31">
        <v>0</v>
      </c>
      <c r="R42" s="34">
        <f t="shared" si="1"/>
        <v>20000000</v>
      </c>
      <c r="S42" s="34">
        <f t="shared" si="2"/>
        <v>18000000</v>
      </c>
      <c r="T42" s="34"/>
      <c r="U42" s="34">
        <v>15000000</v>
      </c>
      <c r="V42" s="34"/>
      <c r="W42" s="34"/>
      <c r="X42" s="34">
        <v>3000000</v>
      </c>
      <c r="Y42" s="35">
        <f t="shared" si="3"/>
        <v>12600000</v>
      </c>
    </row>
    <row r="43" s="2" customFormat="1" ht="82" hidden="1" customHeight="1" spans="1:25">
      <c r="A43" s="27">
        <v>39</v>
      </c>
      <c r="B43" s="27" t="s">
        <v>403</v>
      </c>
      <c r="C43" s="27" t="s">
        <v>36</v>
      </c>
      <c r="D43" s="29" t="s">
        <v>404</v>
      </c>
      <c r="E43" s="29" t="s">
        <v>413</v>
      </c>
      <c r="F43" s="30" t="s">
        <v>172</v>
      </c>
      <c r="G43" s="29"/>
      <c r="H43" s="29" t="s">
        <v>173</v>
      </c>
      <c r="I43" s="29" t="s">
        <v>174</v>
      </c>
      <c r="J43" s="29" t="s">
        <v>41</v>
      </c>
      <c r="K43" s="30" t="s">
        <v>42</v>
      </c>
      <c r="L43" s="31">
        <v>58320000</v>
      </c>
      <c r="M43" s="32">
        <v>0.7</v>
      </c>
      <c r="N43" s="31"/>
      <c r="O43" s="31"/>
      <c r="P43" s="33">
        <f t="shared" si="0"/>
        <v>0</v>
      </c>
      <c r="Q43" s="31">
        <v>0</v>
      </c>
      <c r="R43" s="34">
        <f t="shared" si="1"/>
        <v>58320000</v>
      </c>
      <c r="S43" s="34">
        <f t="shared" si="2"/>
        <v>0</v>
      </c>
      <c r="T43" s="34"/>
      <c r="U43" s="34"/>
      <c r="V43" s="34"/>
      <c r="W43" s="34"/>
      <c r="X43" s="34"/>
      <c r="Y43" s="35">
        <f t="shared" si="3"/>
        <v>0</v>
      </c>
    </row>
    <row r="44" s="2" customFormat="1" ht="66" hidden="1" customHeight="1" spans="1:25">
      <c r="A44" s="27">
        <v>40</v>
      </c>
      <c r="B44" s="27" t="s">
        <v>410</v>
      </c>
      <c r="C44" s="27" t="s">
        <v>36</v>
      </c>
      <c r="D44" s="29" t="s">
        <v>404</v>
      </c>
      <c r="E44" s="29" t="s">
        <v>405</v>
      </c>
      <c r="F44" s="45" t="s">
        <v>175</v>
      </c>
      <c r="G44" s="44"/>
      <c r="H44" s="44" t="s">
        <v>176</v>
      </c>
      <c r="I44" s="44" t="s">
        <v>177</v>
      </c>
      <c r="J44" s="44" t="s">
        <v>51</v>
      </c>
      <c r="K44" s="45" t="s">
        <v>46</v>
      </c>
      <c r="L44" s="51">
        <v>2760000</v>
      </c>
      <c r="M44" s="52">
        <v>0.7</v>
      </c>
      <c r="N44" s="51">
        <v>0</v>
      </c>
      <c r="O44" s="31">
        <v>1380000</v>
      </c>
      <c r="P44" s="33">
        <f t="shared" si="0"/>
        <v>966000</v>
      </c>
      <c r="Q44" s="31"/>
      <c r="R44" s="34">
        <f t="shared" si="1"/>
        <v>2760000</v>
      </c>
      <c r="S44" s="34">
        <f t="shared" si="2"/>
        <v>966000</v>
      </c>
      <c r="T44" s="34"/>
      <c r="U44" s="34"/>
      <c r="V44" s="34"/>
      <c r="W44" s="34"/>
      <c r="X44" s="34">
        <f>O44*70%</f>
        <v>966000</v>
      </c>
      <c r="Y44" s="35">
        <f t="shared" si="3"/>
        <v>676200</v>
      </c>
    </row>
    <row r="45" s="2" customFormat="1" ht="82" customHeight="1" spans="1:25">
      <c r="A45" s="27">
        <v>41</v>
      </c>
      <c r="B45" s="28" t="s">
        <v>403</v>
      </c>
      <c r="C45" s="27" t="s">
        <v>47</v>
      </c>
      <c r="D45" s="29" t="s">
        <v>442</v>
      </c>
      <c r="E45" s="29" t="s">
        <v>413</v>
      </c>
      <c r="F45" s="38" t="s">
        <v>178</v>
      </c>
      <c r="G45" s="43" t="s">
        <v>179</v>
      </c>
      <c r="H45" s="43" t="s">
        <v>180</v>
      </c>
      <c r="I45" s="43" t="s">
        <v>181</v>
      </c>
      <c r="J45" s="43" t="s">
        <v>51</v>
      </c>
      <c r="K45" s="38" t="s">
        <v>46</v>
      </c>
      <c r="L45" s="39">
        <v>9095400</v>
      </c>
      <c r="M45" s="40">
        <v>0.7</v>
      </c>
      <c r="N45" s="39">
        <v>9039600</v>
      </c>
      <c r="O45" s="31"/>
      <c r="P45" s="33">
        <f t="shared" si="0"/>
        <v>0</v>
      </c>
      <c r="Q45" s="31">
        <v>8739600</v>
      </c>
      <c r="R45" s="34">
        <f t="shared" si="1"/>
        <v>355800</v>
      </c>
      <c r="S45" s="34">
        <f t="shared" si="2"/>
        <v>355800</v>
      </c>
      <c r="T45" s="34"/>
      <c r="U45" s="34"/>
      <c r="V45" s="34"/>
      <c r="W45" s="34"/>
      <c r="X45" s="34">
        <v>355800</v>
      </c>
      <c r="Y45" s="35">
        <f t="shared" si="3"/>
        <v>249060</v>
      </c>
    </row>
    <row r="46" s="2" customFormat="1" ht="66" hidden="1" customHeight="1" spans="1:25">
      <c r="A46" s="27">
        <v>42</v>
      </c>
      <c r="B46" s="27" t="s">
        <v>410</v>
      </c>
      <c r="C46" s="27" t="s">
        <v>36</v>
      </c>
      <c r="D46" s="29" t="s">
        <v>404</v>
      </c>
      <c r="E46" s="29" t="s">
        <v>411</v>
      </c>
      <c r="F46" s="30" t="s">
        <v>443</v>
      </c>
      <c r="G46" s="29"/>
      <c r="H46" s="29" t="s">
        <v>444</v>
      </c>
      <c r="I46" s="29" t="s">
        <v>445</v>
      </c>
      <c r="J46" s="29" t="s">
        <v>41</v>
      </c>
      <c r="K46" s="30" t="s">
        <v>42</v>
      </c>
      <c r="L46" s="31">
        <v>1600000</v>
      </c>
      <c r="M46" s="32">
        <v>1</v>
      </c>
      <c r="N46" s="31"/>
      <c r="O46" s="31">
        <v>1600000</v>
      </c>
      <c r="P46" s="33">
        <f t="shared" si="0"/>
        <v>1600000</v>
      </c>
      <c r="Q46" s="31">
        <v>0</v>
      </c>
      <c r="R46" s="34">
        <f t="shared" si="1"/>
        <v>1600000</v>
      </c>
      <c r="S46" s="34">
        <f t="shared" si="2"/>
        <v>1000000</v>
      </c>
      <c r="T46" s="34"/>
      <c r="U46" s="34">
        <v>1000000</v>
      </c>
      <c r="V46" s="34"/>
      <c r="W46" s="34"/>
      <c r="X46" s="34"/>
      <c r="Y46" s="35">
        <f t="shared" si="3"/>
        <v>1000000</v>
      </c>
    </row>
    <row r="47" s="2" customFormat="1" ht="66" customHeight="1" spans="1:25">
      <c r="A47" s="27">
        <v>43</v>
      </c>
      <c r="B47" s="28" t="s">
        <v>403</v>
      </c>
      <c r="C47" s="27" t="s">
        <v>47</v>
      </c>
      <c r="D47" s="29" t="s">
        <v>404</v>
      </c>
      <c r="E47" s="29" t="s">
        <v>405</v>
      </c>
      <c r="F47" s="45" t="s">
        <v>446</v>
      </c>
      <c r="G47" s="37"/>
      <c r="H47" s="29" t="s">
        <v>184</v>
      </c>
      <c r="I47" s="29" t="s">
        <v>447</v>
      </c>
      <c r="J47" s="29" t="s">
        <v>45</v>
      </c>
      <c r="K47" s="45" t="s">
        <v>42</v>
      </c>
      <c r="L47" s="51">
        <v>20000000</v>
      </c>
      <c r="M47" s="52">
        <v>0.6</v>
      </c>
      <c r="N47" s="51">
        <v>20000000</v>
      </c>
      <c r="O47" s="31"/>
      <c r="P47" s="33">
        <f t="shared" si="0"/>
        <v>0</v>
      </c>
      <c r="Q47" s="31">
        <v>20000000</v>
      </c>
      <c r="R47" s="34">
        <f t="shared" si="1"/>
        <v>0</v>
      </c>
      <c r="S47" s="34">
        <f t="shared" si="2"/>
        <v>0</v>
      </c>
      <c r="T47" s="34"/>
      <c r="U47" s="34"/>
      <c r="V47" s="34"/>
      <c r="W47" s="34"/>
      <c r="X47" s="34"/>
      <c r="Y47" s="35">
        <f t="shared" si="3"/>
        <v>0</v>
      </c>
    </row>
    <row r="48" s="2" customFormat="1" ht="66" customHeight="1" spans="1:25">
      <c r="A48" s="27">
        <v>44</v>
      </c>
      <c r="B48" s="28" t="s">
        <v>403</v>
      </c>
      <c r="C48" s="27" t="s">
        <v>47</v>
      </c>
      <c r="D48" s="29" t="s">
        <v>404</v>
      </c>
      <c r="E48" s="29" t="s">
        <v>405</v>
      </c>
      <c r="F48" s="30" t="s">
        <v>448</v>
      </c>
      <c r="G48" s="44"/>
      <c r="H48" s="29" t="s">
        <v>184</v>
      </c>
      <c r="I48" s="29" t="s">
        <v>449</v>
      </c>
      <c r="J48" s="43" t="s">
        <v>45</v>
      </c>
      <c r="K48" s="30" t="s">
        <v>42</v>
      </c>
      <c r="L48" s="31">
        <v>2652693</v>
      </c>
      <c r="M48" s="32">
        <v>1</v>
      </c>
      <c r="N48" s="31">
        <v>2652693</v>
      </c>
      <c r="O48" s="31">
        <v>0</v>
      </c>
      <c r="P48" s="33">
        <f t="shared" si="0"/>
        <v>0</v>
      </c>
      <c r="Q48" s="31">
        <v>0</v>
      </c>
      <c r="R48" s="34">
        <f t="shared" si="1"/>
        <v>2652693</v>
      </c>
      <c r="S48" s="34">
        <f t="shared" si="2"/>
        <v>2000000</v>
      </c>
      <c r="T48" s="34"/>
      <c r="U48" s="34"/>
      <c r="V48" s="34"/>
      <c r="W48" s="34"/>
      <c r="X48" s="34">
        <v>2000000</v>
      </c>
      <c r="Y48" s="35">
        <f t="shared" si="3"/>
        <v>2000000</v>
      </c>
    </row>
    <row r="49" s="2" customFormat="1" ht="82" hidden="1" customHeight="1" spans="1:25">
      <c r="A49" s="27">
        <v>45</v>
      </c>
      <c r="B49" s="28" t="s">
        <v>403</v>
      </c>
      <c r="C49" s="27" t="s">
        <v>36</v>
      </c>
      <c r="D49" s="29" t="s">
        <v>404</v>
      </c>
      <c r="E49" s="29" t="s">
        <v>405</v>
      </c>
      <c r="F49" s="30" t="s">
        <v>450</v>
      </c>
      <c r="G49" s="29"/>
      <c r="H49" s="29" t="s">
        <v>451</v>
      </c>
      <c r="I49" s="43" t="s">
        <v>452</v>
      </c>
      <c r="J49" s="43" t="s">
        <v>132</v>
      </c>
      <c r="K49" s="30" t="s">
        <v>77</v>
      </c>
      <c r="L49" s="31">
        <v>3780000</v>
      </c>
      <c r="M49" s="32">
        <v>1</v>
      </c>
      <c r="N49" s="31">
        <v>3780000</v>
      </c>
      <c r="O49" s="31"/>
      <c r="P49" s="33">
        <f t="shared" si="0"/>
        <v>0</v>
      </c>
      <c r="Q49" s="31">
        <v>3780000</v>
      </c>
      <c r="R49" s="34">
        <f t="shared" si="1"/>
        <v>0</v>
      </c>
      <c r="S49" s="34">
        <f t="shared" si="2"/>
        <v>0</v>
      </c>
      <c r="T49" s="34"/>
      <c r="U49" s="34"/>
      <c r="V49" s="34"/>
      <c r="W49" s="34"/>
      <c r="X49" s="34"/>
      <c r="Y49" s="35">
        <f t="shared" si="3"/>
        <v>0</v>
      </c>
    </row>
    <row r="50" s="2" customFormat="1" ht="82" customHeight="1" spans="1:25">
      <c r="A50" s="27">
        <v>46</v>
      </c>
      <c r="B50" s="28" t="s">
        <v>403</v>
      </c>
      <c r="C50" s="27" t="s">
        <v>47</v>
      </c>
      <c r="D50" s="29" t="s">
        <v>404</v>
      </c>
      <c r="E50" s="30" t="s">
        <v>413</v>
      </c>
      <c r="F50" s="30" t="s">
        <v>453</v>
      </c>
      <c r="G50" s="29"/>
      <c r="H50" s="29" t="s">
        <v>454</v>
      </c>
      <c r="I50" s="43" t="s">
        <v>455</v>
      </c>
      <c r="J50" s="43" t="s">
        <v>51</v>
      </c>
      <c r="K50" s="30" t="s">
        <v>46</v>
      </c>
      <c r="L50" s="31">
        <v>2100000</v>
      </c>
      <c r="M50" s="32">
        <v>0.7</v>
      </c>
      <c r="N50" s="31">
        <v>2100000</v>
      </c>
      <c r="O50" s="31"/>
      <c r="P50" s="33">
        <f t="shared" si="0"/>
        <v>0</v>
      </c>
      <c r="Q50" s="31">
        <v>2100000</v>
      </c>
      <c r="R50" s="34">
        <f t="shared" si="1"/>
        <v>0</v>
      </c>
      <c r="S50" s="34">
        <f t="shared" si="2"/>
        <v>0</v>
      </c>
      <c r="T50" s="34"/>
      <c r="U50" s="34"/>
      <c r="V50" s="34"/>
      <c r="W50" s="34"/>
      <c r="X50" s="34"/>
      <c r="Y50" s="35">
        <f t="shared" si="3"/>
        <v>0</v>
      </c>
    </row>
    <row r="51" s="2" customFormat="1" ht="82" hidden="1" customHeight="1" spans="1:25">
      <c r="A51" s="27">
        <v>47</v>
      </c>
      <c r="B51" s="28" t="s">
        <v>403</v>
      </c>
      <c r="C51" s="27" t="s">
        <v>36</v>
      </c>
      <c r="D51" s="29" t="s">
        <v>404</v>
      </c>
      <c r="E51" s="29" t="s">
        <v>405</v>
      </c>
      <c r="F51" s="30" t="s">
        <v>456</v>
      </c>
      <c r="G51" s="29"/>
      <c r="H51" s="29" t="s">
        <v>457</v>
      </c>
      <c r="I51" s="29" t="s">
        <v>458</v>
      </c>
      <c r="J51" s="29" t="s">
        <v>59</v>
      </c>
      <c r="K51" s="30" t="s">
        <v>60</v>
      </c>
      <c r="L51" s="31">
        <v>1080000</v>
      </c>
      <c r="M51" s="32">
        <v>1</v>
      </c>
      <c r="N51" s="31">
        <v>1080000</v>
      </c>
      <c r="O51" s="31"/>
      <c r="P51" s="33">
        <f t="shared" si="0"/>
        <v>0</v>
      </c>
      <c r="Q51" s="56">
        <v>1080000</v>
      </c>
      <c r="R51" s="34">
        <f t="shared" si="1"/>
        <v>0</v>
      </c>
      <c r="S51" s="34">
        <f t="shared" si="2"/>
        <v>0</v>
      </c>
      <c r="T51" s="34"/>
      <c r="U51" s="34"/>
      <c r="V51" s="34"/>
      <c r="W51" s="34"/>
      <c r="X51" s="34"/>
      <c r="Y51" s="35">
        <f t="shared" si="3"/>
        <v>0</v>
      </c>
    </row>
    <row r="52" s="2" customFormat="1" ht="82" customHeight="1" spans="1:25">
      <c r="A52" s="27">
        <v>48</v>
      </c>
      <c r="B52" s="28" t="s">
        <v>403</v>
      </c>
      <c r="C52" s="27" t="s">
        <v>47</v>
      </c>
      <c r="D52" s="29" t="s">
        <v>442</v>
      </c>
      <c r="E52" s="30" t="s">
        <v>413</v>
      </c>
      <c r="F52" s="30" t="s">
        <v>199</v>
      </c>
      <c r="G52" s="29"/>
      <c r="H52" s="29" t="s">
        <v>201</v>
      </c>
      <c r="I52" s="29" t="s">
        <v>202</v>
      </c>
      <c r="J52" s="29" t="s">
        <v>41</v>
      </c>
      <c r="K52" s="30" t="s">
        <v>42</v>
      </c>
      <c r="L52" s="31">
        <v>25544998.5</v>
      </c>
      <c r="M52" s="32">
        <v>0.7</v>
      </c>
      <c r="N52" s="31">
        <v>25544998.5</v>
      </c>
      <c r="O52" s="31"/>
      <c r="P52" s="33">
        <f t="shared" si="0"/>
        <v>0</v>
      </c>
      <c r="Q52" s="31">
        <f>18475000+3800000</f>
        <v>22275000</v>
      </c>
      <c r="R52" s="34">
        <f t="shared" si="1"/>
        <v>3269998.5</v>
      </c>
      <c r="S52" s="34">
        <f t="shared" si="2"/>
        <v>3269998.5</v>
      </c>
      <c r="T52" s="34"/>
      <c r="U52" s="34"/>
      <c r="V52" s="34"/>
      <c r="W52" s="34"/>
      <c r="X52" s="34">
        <v>3269998.5</v>
      </c>
      <c r="Y52" s="35">
        <f t="shared" si="3"/>
        <v>2288998.95</v>
      </c>
    </row>
    <row r="53" s="2" customFormat="1" ht="66" hidden="1" customHeight="1" spans="1:25">
      <c r="A53" s="27">
        <v>49</v>
      </c>
      <c r="B53" s="28" t="s">
        <v>403</v>
      </c>
      <c r="C53" s="27" t="s">
        <v>36</v>
      </c>
      <c r="D53" s="29" t="s">
        <v>404</v>
      </c>
      <c r="E53" s="29" t="s">
        <v>405</v>
      </c>
      <c r="F53" s="30" t="s">
        <v>459</v>
      </c>
      <c r="G53" s="29" t="s">
        <v>208</v>
      </c>
      <c r="H53" s="29" t="s">
        <v>460</v>
      </c>
      <c r="I53" s="29" t="s">
        <v>461</v>
      </c>
      <c r="J53" s="29" t="s">
        <v>41</v>
      </c>
      <c r="K53" s="30" t="s">
        <v>42</v>
      </c>
      <c r="L53" s="31">
        <v>8290000</v>
      </c>
      <c r="M53" s="32">
        <v>1</v>
      </c>
      <c r="N53" s="31">
        <v>8290000</v>
      </c>
      <c r="O53" s="31"/>
      <c r="P53" s="33">
        <f t="shared" si="0"/>
        <v>0</v>
      </c>
      <c r="Q53" s="31">
        <v>7461000</v>
      </c>
      <c r="R53" s="34">
        <f t="shared" si="1"/>
        <v>829000</v>
      </c>
      <c r="S53" s="34">
        <f t="shared" si="2"/>
        <v>829000</v>
      </c>
      <c r="T53" s="34">
        <v>829000</v>
      </c>
      <c r="U53" s="34"/>
      <c r="V53" s="34"/>
      <c r="W53" s="34"/>
      <c r="X53" s="34"/>
      <c r="Y53" s="35">
        <f t="shared" si="3"/>
        <v>829000</v>
      </c>
    </row>
    <row r="54" s="2" customFormat="1" ht="66" hidden="1" customHeight="1" spans="1:25">
      <c r="A54" s="27">
        <v>50</v>
      </c>
      <c r="B54" s="28" t="s">
        <v>403</v>
      </c>
      <c r="C54" s="27" t="s">
        <v>36</v>
      </c>
      <c r="D54" s="29" t="s">
        <v>404</v>
      </c>
      <c r="E54" s="29" t="s">
        <v>405</v>
      </c>
      <c r="F54" s="30" t="s">
        <v>462</v>
      </c>
      <c r="G54" s="29"/>
      <c r="H54" s="29" t="s">
        <v>460</v>
      </c>
      <c r="I54" s="29" t="s">
        <v>463</v>
      </c>
      <c r="J54" s="29" t="s">
        <v>41</v>
      </c>
      <c r="K54" s="30" t="s">
        <v>42</v>
      </c>
      <c r="L54" s="29">
        <v>5660000</v>
      </c>
      <c r="M54" s="32">
        <v>1</v>
      </c>
      <c r="N54" s="29">
        <v>5660000</v>
      </c>
      <c r="O54" s="54"/>
      <c r="P54" s="33">
        <f t="shared" si="0"/>
        <v>0</v>
      </c>
      <c r="Q54" s="31">
        <v>5094000</v>
      </c>
      <c r="R54" s="34">
        <f t="shared" si="1"/>
        <v>566000</v>
      </c>
      <c r="S54" s="34">
        <f t="shared" si="2"/>
        <v>566000</v>
      </c>
      <c r="T54" s="34"/>
      <c r="U54" s="34">
        <v>566000</v>
      </c>
      <c r="V54" s="34"/>
      <c r="W54" s="34"/>
      <c r="X54" s="34"/>
      <c r="Y54" s="35">
        <f t="shared" si="3"/>
        <v>566000</v>
      </c>
    </row>
    <row r="55" s="2" customFormat="1" ht="66" hidden="1" customHeight="1" spans="1:25">
      <c r="A55" s="27">
        <v>51</v>
      </c>
      <c r="B55" s="28" t="s">
        <v>410</v>
      </c>
      <c r="C55" s="27" t="s">
        <v>36</v>
      </c>
      <c r="D55" s="29" t="s">
        <v>404</v>
      </c>
      <c r="E55" s="29" t="s">
        <v>405</v>
      </c>
      <c r="F55" s="30" t="s">
        <v>464</v>
      </c>
      <c r="G55" s="29"/>
      <c r="H55" s="29" t="s">
        <v>465</v>
      </c>
      <c r="I55" s="29" t="s">
        <v>466</v>
      </c>
      <c r="J55" s="29" t="s">
        <v>59</v>
      </c>
      <c r="K55" s="30" t="s">
        <v>60</v>
      </c>
      <c r="L55" s="31">
        <v>3250000</v>
      </c>
      <c r="M55" s="32">
        <v>1</v>
      </c>
      <c r="N55" s="31">
        <v>3250000</v>
      </c>
      <c r="O55" s="31"/>
      <c r="P55" s="33">
        <f t="shared" si="0"/>
        <v>0</v>
      </c>
      <c r="Q55" s="31">
        <v>3250000</v>
      </c>
      <c r="R55" s="34">
        <f t="shared" si="1"/>
        <v>0</v>
      </c>
      <c r="S55" s="34">
        <f t="shared" si="2"/>
        <v>0</v>
      </c>
      <c r="T55" s="34"/>
      <c r="U55" s="34"/>
      <c r="V55" s="34"/>
      <c r="W55" s="34"/>
      <c r="X55" s="34"/>
      <c r="Y55" s="35">
        <f t="shared" si="3"/>
        <v>0</v>
      </c>
    </row>
    <row r="56" s="2" customFormat="1" ht="66" customHeight="1" spans="1:25">
      <c r="A56" s="27">
        <v>52</v>
      </c>
      <c r="B56" s="28" t="s">
        <v>410</v>
      </c>
      <c r="C56" s="27" t="s">
        <v>47</v>
      </c>
      <c r="D56" s="29" t="s">
        <v>404</v>
      </c>
      <c r="E56" s="29" t="s">
        <v>413</v>
      </c>
      <c r="F56" s="30" t="s">
        <v>207</v>
      </c>
      <c r="G56" s="29"/>
      <c r="H56" s="29" t="s">
        <v>209</v>
      </c>
      <c r="I56" s="29" t="s">
        <v>210</v>
      </c>
      <c r="J56" s="29" t="s">
        <v>59</v>
      </c>
      <c r="K56" s="30" t="s">
        <v>60</v>
      </c>
      <c r="L56" s="31">
        <v>10300000</v>
      </c>
      <c r="M56" s="32">
        <v>1</v>
      </c>
      <c r="N56" s="31">
        <v>0</v>
      </c>
      <c r="O56" s="31"/>
      <c r="P56" s="33">
        <f t="shared" si="0"/>
        <v>0</v>
      </c>
      <c r="Q56" s="31">
        <v>0</v>
      </c>
      <c r="R56" s="34">
        <f t="shared" si="1"/>
        <v>10300000</v>
      </c>
      <c r="S56" s="34">
        <f t="shared" si="2"/>
        <v>0</v>
      </c>
      <c r="T56" s="34"/>
      <c r="U56" s="34"/>
      <c r="V56" s="34"/>
      <c r="W56" s="34"/>
      <c r="X56" s="34"/>
      <c r="Y56" s="35">
        <f t="shared" si="3"/>
        <v>0</v>
      </c>
    </row>
    <row r="57" s="2" customFormat="1" ht="66" hidden="1" customHeight="1" spans="1:25">
      <c r="A57" s="27">
        <v>53</v>
      </c>
      <c r="B57" s="27" t="s">
        <v>403</v>
      </c>
      <c r="C57" s="27" t="s">
        <v>36</v>
      </c>
      <c r="D57" s="29" t="s">
        <v>404</v>
      </c>
      <c r="E57" s="29" t="s">
        <v>405</v>
      </c>
      <c r="F57" s="30" t="s">
        <v>467</v>
      </c>
      <c r="G57" s="29"/>
      <c r="H57" s="29" t="s">
        <v>468</v>
      </c>
      <c r="I57" s="29" t="s">
        <v>469</v>
      </c>
      <c r="J57" s="29" t="s">
        <v>59</v>
      </c>
      <c r="K57" s="30" t="s">
        <v>60</v>
      </c>
      <c r="L57" s="31">
        <v>3720000</v>
      </c>
      <c r="M57" s="32">
        <v>1</v>
      </c>
      <c r="N57" s="31">
        <v>3720000</v>
      </c>
      <c r="O57" s="31"/>
      <c r="P57" s="33">
        <f t="shared" si="0"/>
        <v>0</v>
      </c>
      <c r="Q57" s="31">
        <v>3348000</v>
      </c>
      <c r="R57" s="34">
        <f t="shared" si="1"/>
        <v>372000</v>
      </c>
      <c r="S57" s="34">
        <f t="shared" si="2"/>
        <v>372000</v>
      </c>
      <c r="T57" s="34"/>
      <c r="U57" s="34"/>
      <c r="V57" s="34"/>
      <c r="W57" s="34">
        <v>372000</v>
      </c>
      <c r="X57" s="34"/>
      <c r="Y57" s="35">
        <f t="shared" si="3"/>
        <v>372000</v>
      </c>
    </row>
    <row r="58" s="4" customFormat="1" ht="82" hidden="1" customHeight="1" spans="1:25">
      <c r="A58" s="27">
        <v>54</v>
      </c>
      <c r="B58" s="28" t="s">
        <v>403</v>
      </c>
      <c r="C58" s="57" t="s">
        <v>36</v>
      </c>
      <c r="D58" s="29" t="s">
        <v>404</v>
      </c>
      <c r="E58" s="29" t="s">
        <v>405</v>
      </c>
      <c r="F58" s="38" t="s">
        <v>219</v>
      </c>
      <c r="G58" s="43" t="s">
        <v>220</v>
      </c>
      <c r="H58" s="43" t="s">
        <v>470</v>
      </c>
      <c r="I58" s="58" t="s">
        <v>471</v>
      </c>
      <c r="J58" s="43" t="s">
        <v>132</v>
      </c>
      <c r="K58" s="30" t="s">
        <v>77</v>
      </c>
      <c r="L58" s="31">
        <v>4900000</v>
      </c>
      <c r="M58" s="32">
        <v>0.7</v>
      </c>
      <c r="N58" s="31">
        <v>4900000</v>
      </c>
      <c r="O58" s="31"/>
      <c r="P58" s="33">
        <f t="shared" si="0"/>
        <v>0</v>
      </c>
      <c r="Q58" s="31">
        <v>4900000</v>
      </c>
      <c r="R58" s="34">
        <f t="shared" si="1"/>
        <v>0</v>
      </c>
      <c r="S58" s="34">
        <f t="shared" si="2"/>
        <v>0</v>
      </c>
      <c r="T58" s="34"/>
      <c r="U58" s="34"/>
      <c r="V58" s="34"/>
      <c r="W58" s="34"/>
      <c r="X58" s="34"/>
      <c r="Y58" s="35">
        <f t="shared" si="3"/>
        <v>0</v>
      </c>
    </row>
    <row r="59" s="3" customFormat="1" ht="65" hidden="1" customHeight="1" spans="1:25">
      <c r="A59" s="27">
        <v>55</v>
      </c>
      <c r="B59" s="28" t="s">
        <v>403</v>
      </c>
      <c r="C59" s="27" t="s">
        <v>36</v>
      </c>
      <c r="D59" s="29" t="s">
        <v>404</v>
      </c>
      <c r="E59" s="29" t="s">
        <v>405</v>
      </c>
      <c r="F59" s="30" t="s">
        <v>219</v>
      </c>
      <c r="G59" s="29"/>
      <c r="H59" s="29" t="s">
        <v>221</v>
      </c>
      <c r="I59" s="29" t="s">
        <v>222</v>
      </c>
      <c r="J59" s="29" t="s">
        <v>69</v>
      </c>
      <c r="K59" s="29" t="s">
        <v>70</v>
      </c>
      <c r="L59" s="29">
        <v>640000</v>
      </c>
      <c r="M59" s="32">
        <v>1</v>
      </c>
      <c r="N59" s="29">
        <v>640000</v>
      </c>
      <c r="O59" s="31"/>
      <c r="P59" s="33">
        <f t="shared" si="0"/>
        <v>0</v>
      </c>
      <c r="Q59" s="31">
        <v>450000</v>
      </c>
      <c r="R59" s="34">
        <f t="shared" si="1"/>
        <v>190000</v>
      </c>
      <c r="S59" s="34">
        <f t="shared" si="2"/>
        <v>190000</v>
      </c>
      <c r="T59" s="34">
        <v>190000</v>
      </c>
      <c r="U59" s="34"/>
      <c r="V59" s="34"/>
      <c r="W59" s="34"/>
      <c r="X59" s="34"/>
      <c r="Y59" s="35">
        <f t="shared" si="3"/>
        <v>190000</v>
      </c>
    </row>
    <row r="60" s="2" customFormat="1" ht="66" hidden="1" customHeight="1" spans="1:25">
      <c r="A60" s="27">
        <v>56</v>
      </c>
      <c r="B60" s="27" t="s">
        <v>410</v>
      </c>
      <c r="C60" s="27" t="s">
        <v>36</v>
      </c>
      <c r="D60" s="29" t="s">
        <v>404</v>
      </c>
      <c r="E60" s="29" t="s">
        <v>405</v>
      </c>
      <c r="F60" s="30" t="s">
        <v>223</v>
      </c>
      <c r="G60" s="29" t="s">
        <v>472</v>
      </c>
      <c r="H60" s="29" t="s">
        <v>225</v>
      </c>
      <c r="I60" s="29" t="s">
        <v>226</v>
      </c>
      <c r="J60" s="29" t="s">
        <v>51</v>
      </c>
      <c r="K60" s="30" t="s">
        <v>46</v>
      </c>
      <c r="L60" s="31">
        <v>1700000</v>
      </c>
      <c r="M60" s="32">
        <v>1</v>
      </c>
      <c r="N60" s="31">
        <v>0</v>
      </c>
      <c r="O60" s="31">
        <v>1700000</v>
      </c>
      <c r="P60" s="33">
        <f t="shared" si="0"/>
        <v>1700000</v>
      </c>
      <c r="Q60" s="31">
        <v>510000</v>
      </c>
      <c r="R60" s="34">
        <f t="shared" si="1"/>
        <v>1190000</v>
      </c>
      <c r="S60" s="34">
        <f t="shared" si="2"/>
        <v>1190000</v>
      </c>
      <c r="T60" s="34"/>
      <c r="U60" s="34"/>
      <c r="V60" s="34">
        <v>1190000</v>
      </c>
      <c r="W60" s="34"/>
      <c r="X60" s="34"/>
      <c r="Y60" s="35">
        <f t="shared" si="3"/>
        <v>1190000</v>
      </c>
    </row>
    <row r="61" s="2" customFormat="1" ht="66" hidden="1" customHeight="1" spans="1:25">
      <c r="A61" s="27">
        <v>57</v>
      </c>
      <c r="B61" s="27" t="s">
        <v>410</v>
      </c>
      <c r="C61" s="27" t="s">
        <v>36</v>
      </c>
      <c r="D61" s="29" t="s">
        <v>404</v>
      </c>
      <c r="E61" s="29" t="s">
        <v>405</v>
      </c>
      <c r="F61" s="30" t="s">
        <v>223</v>
      </c>
      <c r="G61" s="29"/>
      <c r="H61" s="29" t="s">
        <v>225</v>
      </c>
      <c r="I61" s="29" t="s">
        <v>227</v>
      </c>
      <c r="J61" s="29" t="s">
        <v>51</v>
      </c>
      <c r="K61" s="30" t="s">
        <v>46</v>
      </c>
      <c r="L61" s="31">
        <v>210000</v>
      </c>
      <c r="M61" s="32">
        <v>1</v>
      </c>
      <c r="N61" s="31">
        <v>0</v>
      </c>
      <c r="O61" s="31">
        <v>210000</v>
      </c>
      <c r="P61" s="33">
        <f t="shared" si="0"/>
        <v>210000</v>
      </c>
      <c r="Q61" s="31">
        <v>0</v>
      </c>
      <c r="R61" s="34">
        <f t="shared" si="1"/>
        <v>210000</v>
      </c>
      <c r="S61" s="34">
        <f t="shared" si="2"/>
        <v>210000</v>
      </c>
      <c r="T61" s="34"/>
      <c r="U61" s="34"/>
      <c r="V61" s="34">
        <v>210000</v>
      </c>
      <c r="W61" s="34"/>
      <c r="X61" s="34"/>
      <c r="Y61" s="35">
        <f t="shared" si="3"/>
        <v>210000</v>
      </c>
    </row>
    <row r="62" s="2" customFormat="1" ht="66" customHeight="1" spans="1:25">
      <c r="A62" s="27">
        <v>58</v>
      </c>
      <c r="B62" s="27" t="s">
        <v>410</v>
      </c>
      <c r="C62" s="27" t="s">
        <v>47</v>
      </c>
      <c r="D62" s="29" t="s">
        <v>404</v>
      </c>
      <c r="E62" s="30" t="s">
        <v>413</v>
      </c>
      <c r="F62" s="30" t="s">
        <v>232</v>
      </c>
      <c r="G62" s="29"/>
      <c r="H62" s="29" t="s">
        <v>234</v>
      </c>
      <c r="I62" s="30" t="s">
        <v>235</v>
      </c>
      <c r="J62" s="29" t="s">
        <v>159</v>
      </c>
      <c r="K62" s="30" t="s">
        <v>46</v>
      </c>
      <c r="L62" s="31">
        <v>13764000</v>
      </c>
      <c r="M62" s="32">
        <v>0.7</v>
      </c>
      <c r="N62" s="31">
        <v>0</v>
      </c>
      <c r="O62" s="31"/>
      <c r="P62" s="33">
        <f t="shared" si="0"/>
        <v>0</v>
      </c>
      <c r="Q62" s="31">
        <v>0</v>
      </c>
      <c r="R62" s="34">
        <f t="shared" si="1"/>
        <v>13764000</v>
      </c>
      <c r="S62" s="34">
        <f t="shared" si="2"/>
        <v>4000000</v>
      </c>
      <c r="T62" s="34"/>
      <c r="U62" s="34">
        <v>4000000</v>
      </c>
      <c r="V62" s="34"/>
      <c r="W62" s="34"/>
      <c r="X62" s="34"/>
      <c r="Y62" s="35">
        <f t="shared" si="3"/>
        <v>2800000</v>
      </c>
    </row>
    <row r="63" s="2" customFormat="1" ht="66" customHeight="1" spans="1:25">
      <c r="A63" s="27">
        <v>59</v>
      </c>
      <c r="B63" s="28" t="s">
        <v>403</v>
      </c>
      <c r="C63" s="27" t="s">
        <v>47</v>
      </c>
      <c r="D63" s="29" t="s">
        <v>404</v>
      </c>
      <c r="E63" s="30" t="s">
        <v>413</v>
      </c>
      <c r="F63" s="30" t="s">
        <v>236</v>
      </c>
      <c r="G63" s="43" t="s">
        <v>237</v>
      </c>
      <c r="H63" s="29" t="s">
        <v>238</v>
      </c>
      <c r="I63" s="30" t="s">
        <v>239</v>
      </c>
      <c r="J63" s="30" t="s">
        <v>76</v>
      </c>
      <c r="K63" s="30" t="s">
        <v>77</v>
      </c>
      <c r="L63" s="31">
        <v>30348000</v>
      </c>
      <c r="M63" s="32">
        <v>1</v>
      </c>
      <c r="N63" s="31">
        <v>25369343.9744</v>
      </c>
      <c r="O63" s="31">
        <v>4978656.0256</v>
      </c>
      <c r="P63" s="33">
        <f t="shared" si="0"/>
        <v>4978656.0256</v>
      </c>
      <c r="Q63" s="31">
        <f>18832173+1900000</f>
        <v>20732173</v>
      </c>
      <c r="R63" s="34">
        <f t="shared" si="1"/>
        <v>9615827</v>
      </c>
      <c r="S63" s="34">
        <f t="shared" si="2"/>
        <v>8650000</v>
      </c>
      <c r="T63" s="34">
        <v>1150000</v>
      </c>
      <c r="U63" s="34">
        <v>7500000</v>
      </c>
      <c r="V63" s="34"/>
      <c r="W63" s="34"/>
      <c r="X63" s="34"/>
      <c r="Y63" s="35">
        <f t="shared" si="3"/>
        <v>8650000</v>
      </c>
    </row>
    <row r="64" s="2" customFormat="1" ht="66" customHeight="1" spans="1:25">
      <c r="A64" s="27">
        <v>60</v>
      </c>
      <c r="B64" s="28" t="s">
        <v>403</v>
      </c>
      <c r="C64" s="27" t="s">
        <v>47</v>
      </c>
      <c r="D64" s="29" t="s">
        <v>404</v>
      </c>
      <c r="E64" s="30" t="s">
        <v>413</v>
      </c>
      <c r="F64" s="38" t="s">
        <v>236</v>
      </c>
      <c r="G64" s="37"/>
      <c r="H64" s="43" t="s">
        <v>238</v>
      </c>
      <c r="I64" s="30" t="s">
        <v>239</v>
      </c>
      <c r="J64" s="30" t="s">
        <v>76</v>
      </c>
      <c r="K64" s="30" t="s">
        <v>77</v>
      </c>
      <c r="L64" s="31">
        <v>30348000</v>
      </c>
      <c r="M64" s="32">
        <v>1</v>
      </c>
      <c r="N64" s="31">
        <v>18385920.0071</v>
      </c>
      <c r="O64" s="31">
        <v>11962079.9929</v>
      </c>
      <c r="P64" s="33">
        <f t="shared" si="0"/>
        <v>11962079.9929</v>
      </c>
      <c r="Q64" s="31">
        <v>17442624</v>
      </c>
      <c r="R64" s="34">
        <f t="shared" si="1"/>
        <v>12905376</v>
      </c>
      <c r="S64" s="34">
        <f t="shared" si="2"/>
        <v>7500000</v>
      </c>
      <c r="T64" s="34"/>
      <c r="U64" s="34"/>
      <c r="V64" s="34"/>
      <c r="W64" s="34">
        <v>7500000</v>
      </c>
      <c r="X64" s="34"/>
      <c r="Y64" s="35">
        <f t="shared" si="3"/>
        <v>7500000</v>
      </c>
    </row>
    <row r="65" s="3" customFormat="1" ht="82" customHeight="1" spans="1:25">
      <c r="A65" s="27">
        <v>61</v>
      </c>
      <c r="B65" s="28" t="s">
        <v>403</v>
      </c>
      <c r="C65" s="27" t="s">
        <v>47</v>
      </c>
      <c r="D65" s="29" t="s">
        <v>404</v>
      </c>
      <c r="E65" s="30" t="s">
        <v>242</v>
      </c>
      <c r="F65" s="30" t="s">
        <v>242</v>
      </c>
      <c r="G65" s="29"/>
      <c r="H65" s="29" t="s">
        <v>243</v>
      </c>
      <c r="I65" s="30" t="s">
        <v>244</v>
      </c>
      <c r="J65" s="30" t="s">
        <v>252</v>
      </c>
      <c r="K65" s="30" t="s">
        <v>60</v>
      </c>
      <c r="L65" s="31">
        <v>3677090.91</v>
      </c>
      <c r="M65" s="32">
        <v>1</v>
      </c>
      <c r="N65" s="31">
        <v>3677090.91</v>
      </c>
      <c r="O65" s="31"/>
      <c r="P65" s="33">
        <f t="shared" si="0"/>
        <v>0</v>
      </c>
      <c r="Q65" s="31">
        <v>2700000</v>
      </c>
      <c r="R65" s="34">
        <f t="shared" si="1"/>
        <v>977090.91</v>
      </c>
      <c r="S65" s="34">
        <f t="shared" si="2"/>
        <v>0</v>
      </c>
      <c r="T65" s="34"/>
      <c r="U65" s="34"/>
      <c r="V65" s="34"/>
      <c r="W65" s="34"/>
      <c r="X65" s="34"/>
      <c r="Y65" s="35">
        <f t="shared" si="3"/>
        <v>0</v>
      </c>
    </row>
    <row r="66" s="5" customFormat="1" ht="66" customHeight="1" spans="1:25">
      <c r="A66" s="27">
        <v>62</v>
      </c>
      <c r="B66" s="28" t="s">
        <v>403</v>
      </c>
      <c r="C66" s="27" t="s">
        <v>47</v>
      </c>
      <c r="D66" s="29" t="s">
        <v>404</v>
      </c>
      <c r="E66" s="30" t="s">
        <v>413</v>
      </c>
      <c r="F66" s="59" t="s">
        <v>246</v>
      </c>
      <c r="G66" s="37"/>
      <c r="H66" s="59" t="s">
        <v>243</v>
      </c>
      <c r="I66" s="60" t="s">
        <v>244</v>
      </c>
      <c r="J66" s="29" t="s">
        <v>76</v>
      </c>
      <c r="K66" s="30" t="s">
        <v>60</v>
      </c>
      <c r="L66" s="61">
        <v>35329478.49</v>
      </c>
      <c r="M66" s="32">
        <v>1</v>
      </c>
      <c r="N66" s="62">
        <v>30561224.85</v>
      </c>
      <c r="O66" s="63"/>
      <c r="P66" s="33">
        <f t="shared" si="0"/>
        <v>0</v>
      </c>
      <c r="Q66" s="63">
        <v>25750000</v>
      </c>
      <c r="R66" s="34">
        <f t="shared" si="1"/>
        <v>9579478.49</v>
      </c>
      <c r="S66" s="34">
        <f t="shared" si="2"/>
        <v>5070000</v>
      </c>
      <c r="T66" s="34"/>
      <c r="U66" s="34"/>
      <c r="V66" s="34"/>
      <c r="W66" s="34"/>
      <c r="X66" s="34">
        <v>5070000</v>
      </c>
      <c r="Y66" s="35">
        <f t="shared" si="3"/>
        <v>5070000</v>
      </c>
    </row>
    <row r="67" s="2" customFormat="1" ht="82" customHeight="1" spans="1:25">
      <c r="A67" s="27">
        <v>63</v>
      </c>
      <c r="B67" s="28" t="s">
        <v>403</v>
      </c>
      <c r="C67" s="27" t="s">
        <v>47</v>
      </c>
      <c r="D67" s="29" t="s">
        <v>404</v>
      </c>
      <c r="E67" s="29" t="s">
        <v>411</v>
      </c>
      <c r="F67" s="30" t="s">
        <v>473</v>
      </c>
      <c r="G67" s="29"/>
      <c r="H67" s="29" t="s">
        <v>474</v>
      </c>
      <c r="I67" s="30" t="s">
        <v>475</v>
      </c>
      <c r="J67" s="30" t="s">
        <v>252</v>
      </c>
      <c r="K67" s="30" t="s">
        <v>60</v>
      </c>
      <c r="L67" s="31">
        <v>11965000</v>
      </c>
      <c r="M67" s="32">
        <v>1</v>
      </c>
      <c r="N67" s="31">
        <v>11965000</v>
      </c>
      <c r="O67" s="31"/>
      <c r="P67" s="33">
        <f t="shared" si="0"/>
        <v>0</v>
      </c>
      <c r="Q67" s="31">
        <v>11965000</v>
      </c>
      <c r="R67" s="34">
        <f t="shared" si="1"/>
        <v>0</v>
      </c>
      <c r="S67" s="34">
        <f t="shared" si="2"/>
        <v>0</v>
      </c>
      <c r="T67" s="34"/>
      <c r="U67" s="34"/>
      <c r="V67" s="34"/>
      <c r="W67" s="34"/>
      <c r="X67" s="34"/>
      <c r="Y67" s="35">
        <f t="shared" si="3"/>
        <v>0</v>
      </c>
    </row>
    <row r="68" s="3" customFormat="1" ht="66" customHeight="1" spans="1:25">
      <c r="A68" s="27">
        <v>64</v>
      </c>
      <c r="B68" s="28" t="s">
        <v>403</v>
      </c>
      <c r="C68" s="27" t="s">
        <v>47</v>
      </c>
      <c r="D68" s="29" t="s">
        <v>404</v>
      </c>
      <c r="E68" s="30" t="s">
        <v>405</v>
      </c>
      <c r="F68" s="30" t="s">
        <v>476</v>
      </c>
      <c r="G68" s="29"/>
      <c r="H68" s="29" t="s">
        <v>477</v>
      </c>
      <c r="I68" s="30" t="s">
        <v>478</v>
      </c>
      <c r="J68" s="30" t="s">
        <v>252</v>
      </c>
      <c r="K68" s="30" t="s">
        <v>60</v>
      </c>
      <c r="L68" s="31">
        <v>52450000</v>
      </c>
      <c r="M68" s="32">
        <v>1</v>
      </c>
      <c r="N68" s="31">
        <v>52450000</v>
      </c>
      <c r="O68" s="49"/>
      <c r="P68" s="33">
        <f t="shared" si="0"/>
        <v>0</v>
      </c>
      <c r="Q68" s="31">
        <v>52450000</v>
      </c>
      <c r="R68" s="34">
        <f t="shared" si="1"/>
        <v>0</v>
      </c>
      <c r="S68" s="34">
        <f t="shared" si="2"/>
        <v>0</v>
      </c>
      <c r="T68" s="34"/>
      <c r="U68" s="34"/>
      <c r="V68" s="34"/>
      <c r="W68" s="34"/>
      <c r="X68" s="34"/>
      <c r="Y68" s="35">
        <f t="shared" si="3"/>
        <v>0</v>
      </c>
    </row>
    <row r="69" s="3" customFormat="1" ht="66" customHeight="1" spans="1:25">
      <c r="A69" s="27">
        <v>65</v>
      </c>
      <c r="B69" s="28" t="s">
        <v>403</v>
      </c>
      <c r="C69" s="27" t="s">
        <v>47</v>
      </c>
      <c r="D69" s="29" t="s">
        <v>404</v>
      </c>
      <c r="E69" s="30" t="s">
        <v>405</v>
      </c>
      <c r="F69" s="30" t="s">
        <v>476</v>
      </c>
      <c r="G69" s="29"/>
      <c r="H69" s="29" t="s">
        <v>477</v>
      </c>
      <c r="I69" s="30" t="s">
        <v>478</v>
      </c>
      <c r="J69" s="30" t="s">
        <v>252</v>
      </c>
      <c r="K69" s="30" t="s">
        <v>60</v>
      </c>
      <c r="L69" s="31">
        <v>52450000</v>
      </c>
      <c r="M69" s="32">
        <v>1</v>
      </c>
      <c r="N69" s="31">
        <v>52450000</v>
      </c>
      <c r="O69" s="49"/>
      <c r="P69" s="33">
        <f t="shared" ref="P69:P106" si="4">M69*O69</f>
        <v>0</v>
      </c>
      <c r="Q69" s="31">
        <v>52450000</v>
      </c>
      <c r="R69" s="34">
        <f>L69-Q69</f>
        <v>0</v>
      </c>
      <c r="S69" s="34">
        <f t="shared" ref="S69:S106" si="5">SUM(T69:X69)</f>
        <v>0</v>
      </c>
      <c r="T69" s="34"/>
      <c r="U69" s="34"/>
      <c r="V69" s="34"/>
      <c r="W69" s="34"/>
      <c r="X69" s="34"/>
      <c r="Y69" s="35">
        <f t="shared" ref="Y69:Y106" si="6">S69*M69</f>
        <v>0</v>
      </c>
    </row>
    <row r="70" s="2" customFormat="1" ht="66" customHeight="1" spans="1:25">
      <c r="A70" s="27">
        <v>66</v>
      </c>
      <c r="B70" s="27" t="s">
        <v>403</v>
      </c>
      <c r="C70" s="27" t="s">
        <v>47</v>
      </c>
      <c r="D70" s="29" t="s">
        <v>404</v>
      </c>
      <c r="E70" s="30" t="s">
        <v>413</v>
      </c>
      <c r="F70" s="29" t="s">
        <v>248</v>
      </c>
      <c r="G70" s="29"/>
      <c r="H70" s="29" t="s">
        <v>249</v>
      </c>
      <c r="I70" s="64" t="s">
        <v>250</v>
      </c>
      <c r="J70" s="30" t="s">
        <v>252</v>
      </c>
      <c r="K70" s="30" t="s">
        <v>60</v>
      </c>
      <c r="L70" s="31">
        <v>1450000</v>
      </c>
      <c r="M70" s="32">
        <v>1</v>
      </c>
      <c r="N70" s="31"/>
      <c r="O70" s="31">
        <v>1450000</v>
      </c>
      <c r="P70" s="33">
        <f t="shared" si="4"/>
        <v>1450000</v>
      </c>
      <c r="Q70" s="31">
        <v>400000</v>
      </c>
      <c r="R70" s="34">
        <f>L70-Q70</f>
        <v>1050000</v>
      </c>
      <c r="S70" s="34">
        <f t="shared" si="5"/>
        <v>1050000</v>
      </c>
      <c r="T70" s="34"/>
      <c r="U70" s="34"/>
      <c r="V70" s="34"/>
      <c r="W70" s="34"/>
      <c r="X70" s="34">
        <v>1050000</v>
      </c>
      <c r="Y70" s="35">
        <f t="shared" si="6"/>
        <v>1050000</v>
      </c>
    </row>
    <row r="71" s="2" customFormat="1" ht="66" customHeight="1" spans="1:25">
      <c r="A71" s="27">
        <v>67</v>
      </c>
      <c r="B71" s="27" t="s">
        <v>403</v>
      </c>
      <c r="C71" s="27" t="s">
        <v>47</v>
      </c>
      <c r="D71" s="29" t="s">
        <v>404</v>
      </c>
      <c r="E71" s="30" t="s">
        <v>411</v>
      </c>
      <c r="F71" s="30" t="s">
        <v>253</v>
      </c>
      <c r="G71" s="29"/>
      <c r="H71" s="29" t="s">
        <v>249</v>
      </c>
      <c r="I71" s="30" t="s">
        <v>254</v>
      </c>
      <c r="J71" s="30" t="s">
        <v>252</v>
      </c>
      <c r="K71" s="30" t="s">
        <v>60</v>
      </c>
      <c r="L71" s="31">
        <v>1300000</v>
      </c>
      <c r="M71" s="32">
        <v>1</v>
      </c>
      <c r="N71" s="31">
        <v>1300000</v>
      </c>
      <c r="O71" s="54"/>
      <c r="P71" s="33">
        <f t="shared" si="4"/>
        <v>0</v>
      </c>
      <c r="Q71" s="31">
        <v>1170000</v>
      </c>
      <c r="R71" s="34">
        <f>L71-Q71</f>
        <v>130000</v>
      </c>
      <c r="S71" s="34">
        <f t="shared" si="5"/>
        <v>130000</v>
      </c>
      <c r="T71" s="34"/>
      <c r="U71" s="34"/>
      <c r="V71" s="34"/>
      <c r="W71" s="34"/>
      <c r="X71" s="34">
        <v>130000</v>
      </c>
      <c r="Y71" s="35">
        <f t="shared" si="6"/>
        <v>130000</v>
      </c>
    </row>
    <row r="72" s="2" customFormat="1" ht="82" customHeight="1" spans="1:25">
      <c r="A72" s="27">
        <v>68</v>
      </c>
      <c r="B72" s="28" t="s">
        <v>403</v>
      </c>
      <c r="C72" s="27" t="s">
        <v>47</v>
      </c>
      <c r="D72" s="29" t="s">
        <v>404</v>
      </c>
      <c r="E72" s="30" t="s">
        <v>413</v>
      </c>
      <c r="F72" s="30" t="s">
        <v>479</v>
      </c>
      <c r="G72" s="29"/>
      <c r="H72" s="29" t="s">
        <v>249</v>
      </c>
      <c r="I72" s="29" t="s">
        <v>480</v>
      </c>
      <c r="J72" s="29" t="s">
        <v>59</v>
      </c>
      <c r="K72" s="30" t="s">
        <v>60</v>
      </c>
      <c r="L72" s="31">
        <f>46162424.83/2</f>
        <v>23081212.415</v>
      </c>
      <c r="M72" s="32">
        <v>1</v>
      </c>
      <c r="N72" s="31">
        <v>23659947.3111</v>
      </c>
      <c r="O72" s="31"/>
      <c r="P72" s="33">
        <f t="shared" si="4"/>
        <v>0</v>
      </c>
      <c r="Q72" s="31">
        <v>22420131.3</v>
      </c>
      <c r="R72" s="34">
        <f>L72-Q72</f>
        <v>661081.114999998</v>
      </c>
      <c r="S72" s="34">
        <f t="shared" si="5"/>
        <v>0</v>
      </c>
      <c r="T72" s="34"/>
      <c r="U72" s="34"/>
      <c r="V72" s="34"/>
      <c r="W72" s="34"/>
      <c r="X72" s="34"/>
      <c r="Y72" s="35">
        <f t="shared" si="6"/>
        <v>0</v>
      </c>
    </row>
    <row r="73" s="2" customFormat="1" ht="81" customHeight="1" spans="1:25">
      <c r="A73" s="27">
        <v>69</v>
      </c>
      <c r="B73" s="28" t="s">
        <v>403</v>
      </c>
      <c r="C73" s="27" t="s">
        <v>47</v>
      </c>
      <c r="D73" s="29" t="s">
        <v>404</v>
      </c>
      <c r="E73" s="30" t="s">
        <v>413</v>
      </c>
      <c r="F73" s="30" t="s">
        <v>479</v>
      </c>
      <c r="G73" s="29"/>
      <c r="H73" s="29" t="s">
        <v>249</v>
      </c>
      <c r="I73" s="29" t="s">
        <v>480</v>
      </c>
      <c r="J73" s="29" t="s">
        <v>59</v>
      </c>
      <c r="K73" s="30" t="s">
        <v>60</v>
      </c>
      <c r="L73" s="31">
        <v>23081212.415</v>
      </c>
      <c r="M73" s="32">
        <v>1</v>
      </c>
      <c r="N73" s="31">
        <v>20084986.9364001</v>
      </c>
      <c r="O73" s="31">
        <v>2996225.47859994</v>
      </c>
      <c r="P73" s="33">
        <f t="shared" si="4"/>
        <v>2996225.47859994</v>
      </c>
      <c r="Q73" s="31">
        <f>8640211.85+2000000+13120000</f>
        <v>23760211.85</v>
      </c>
      <c r="R73" s="34"/>
      <c r="S73" s="34">
        <f t="shared" si="5"/>
        <v>0</v>
      </c>
      <c r="T73" s="34"/>
      <c r="U73" s="34"/>
      <c r="V73" s="34"/>
      <c r="W73" s="34"/>
      <c r="X73" s="34"/>
      <c r="Y73" s="35">
        <f t="shared" si="6"/>
        <v>0</v>
      </c>
    </row>
    <row r="74" s="2" customFormat="1" ht="66" customHeight="1" spans="1:25">
      <c r="A74" s="27">
        <v>70</v>
      </c>
      <c r="B74" s="28" t="s">
        <v>403</v>
      </c>
      <c r="C74" s="27" t="s">
        <v>47</v>
      </c>
      <c r="D74" s="29" t="s">
        <v>404</v>
      </c>
      <c r="E74" s="30" t="s">
        <v>405</v>
      </c>
      <c r="F74" s="30" t="s">
        <v>481</v>
      </c>
      <c r="G74" s="29"/>
      <c r="H74" s="29" t="s">
        <v>249</v>
      </c>
      <c r="I74" s="29" t="s">
        <v>482</v>
      </c>
      <c r="J74" s="30" t="s">
        <v>252</v>
      </c>
      <c r="K74" s="30" t="s">
        <v>60</v>
      </c>
      <c r="L74" s="31">
        <f>57689690.4/2</f>
        <v>28844845.2</v>
      </c>
      <c r="M74" s="32">
        <v>1</v>
      </c>
      <c r="N74" s="31">
        <v>28844845.2</v>
      </c>
      <c r="O74" s="31"/>
      <c r="P74" s="33">
        <f t="shared" si="4"/>
        <v>0</v>
      </c>
      <c r="Q74" s="31">
        <v>28844845.2</v>
      </c>
      <c r="R74" s="34">
        <f t="shared" ref="R74:R105" si="7">L74-Q74</f>
        <v>0</v>
      </c>
      <c r="S74" s="34">
        <f t="shared" si="5"/>
        <v>0</v>
      </c>
      <c r="T74" s="34"/>
      <c r="U74" s="34"/>
      <c r="V74" s="34"/>
      <c r="W74" s="34"/>
      <c r="X74" s="34"/>
      <c r="Y74" s="35">
        <f t="shared" si="6"/>
        <v>0</v>
      </c>
    </row>
    <row r="75" s="2" customFormat="1" ht="66" customHeight="1" spans="1:25">
      <c r="A75" s="27">
        <v>71</v>
      </c>
      <c r="B75" s="28" t="s">
        <v>403</v>
      </c>
      <c r="C75" s="27" t="s">
        <v>47</v>
      </c>
      <c r="D75" s="29" t="s">
        <v>404</v>
      </c>
      <c r="E75" s="30" t="s">
        <v>405</v>
      </c>
      <c r="F75" s="30" t="s">
        <v>483</v>
      </c>
      <c r="G75" s="29"/>
      <c r="H75" s="29" t="s">
        <v>249</v>
      </c>
      <c r="I75" s="29" t="s">
        <v>482</v>
      </c>
      <c r="J75" s="30" t="s">
        <v>252</v>
      </c>
      <c r="K75" s="30" t="s">
        <v>60</v>
      </c>
      <c r="L75" s="31">
        <v>28844845.2</v>
      </c>
      <c r="M75" s="32">
        <v>1</v>
      </c>
      <c r="N75" s="31">
        <v>28844845.2</v>
      </c>
      <c r="O75" s="31"/>
      <c r="P75" s="33">
        <f t="shared" si="4"/>
        <v>0</v>
      </c>
      <c r="Q75" s="31">
        <v>28844845.2</v>
      </c>
      <c r="R75" s="34">
        <f t="shared" si="7"/>
        <v>0</v>
      </c>
      <c r="S75" s="34">
        <f t="shared" si="5"/>
        <v>0</v>
      </c>
      <c r="T75" s="34"/>
      <c r="U75" s="34"/>
      <c r="V75" s="34"/>
      <c r="W75" s="34"/>
      <c r="X75" s="34"/>
      <c r="Y75" s="35">
        <f t="shared" si="6"/>
        <v>0</v>
      </c>
    </row>
    <row r="76" s="2" customFormat="1" ht="66" customHeight="1" spans="1:25">
      <c r="A76" s="27">
        <v>72</v>
      </c>
      <c r="B76" s="28" t="s">
        <v>403</v>
      </c>
      <c r="C76" s="27" t="s">
        <v>47</v>
      </c>
      <c r="D76" s="29" t="s">
        <v>404</v>
      </c>
      <c r="E76" s="30" t="s">
        <v>411</v>
      </c>
      <c r="F76" s="30" t="s">
        <v>256</v>
      </c>
      <c r="G76" s="29"/>
      <c r="H76" s="29" t="s">
        <v>249</v>
      </c>
      <c r="I76" s="29" t="s">
        <v>257</v>
      </c>
      <c r="J76" s="30" t="s">
        <v>252</v>
      </c>
      <c r="K76" s="30" t="s">
        <v>60</v>
      </c>
      <c r="L76" s="31">
        <v>38370000</v>
      </c>
      <c r="M76" s="32">
        <v>1</v>
      </c>
      <c r="N76" s="31">
        <v>38370000</v>
      </c>
      <c r="O76" s="31"/>
      <c r="P76" s="33">
        <f t="shared" si="4"/>
        <v>0</v>
      </c>
      <c r="Q76" s="31">
        <v>26859000</v>
      </c>
      <c r="R76" s="34">
        <f t="shared" si="7"/>
        <v>11511000</v>
      </c>
      <c r="S76" s="34">
        <f t="shared" si="5"/>
        <v>3837000</v>
      </c>
      <c r="T76" s="34"/>
      <c r="U76" s="34"/>
      <c r="V76" s="34"/>
      <c r="W76" s="34">
        <v>3837000</v>
      </c>
      <c r="X76" s="34"/>
      <c r="Y76" s="35">
        <f t="shared" si="6"/>
        <v>3837000</v>
      </c>
    </row>
    <row r="77" s="2" customFormat="1" ht="66" customHeight="1" spans="1:25">
      <c r="A77" s="27">
        <v>73</v>
      </c>
      <c r="B77" s="28" t="s">
        <v>403</v>
      </c>
      <c r="C77" s="27" t="s">
        <v>47</v>
      </c>
      <c r="D77" s="29" t="s">
        <v>404</v>
      </c>
      <c r="E77" s="30" t="s">
        <v>405</v>
      </c>
      <c r="F77" s="29" t="s">
        <v>484</v>
      </c>
      <c r="G77" s="29"/>
      <c r="H77" s="29" t="s">
        <v>249</v>
      </c>
      <c r="I77" s="30" t="s">
        <v>485</v>
      </c>
      <c r="J77" s="30" t="s">
        <v>252</v>
      </c>
      <c r="K77" s="30" t="s">
        <v>60</v>
      </c>
      <c r="L77" s="31">
        <v>51990000</v>
      </c>
      <c r="M77" s="32">
        <v>1</v>
      </c>
      <c r="N77" s="31">
        <v>51990000</v>
      </c>
      <c r="O77" s="31"/>
      <c r="P77" s="33">
        <f t="shared" si="4"/>
        <v>0</v>
      </c>
      <c r="Q77" s="31">
        <v>46943500</v>
      </c>
      <c r="R77" s="34">
        <f t="shared" si="7"/>
        <v>5046500</v>
      </c>
      <c r="S77" s="34">
        <f t="shared" si="5"/>
        <v>5046500</v>
      </c>
      <c r="T77" s="34"/>
      <c r="U77" s="34"/>
      <c r="V77" s="34"/>
      <c r="W77" s="34"/>
      <c r="X77" s="34">
        <v>5046500</v>
      </c>
      <c r="Y77" s="35">
        <f t="shared" si="6"/>
        <v>5046500</v>
      </c>
    </row>
    <row r="78" s="2" customFormat="1" ht="66" customHeight="1" spans="1:25">
      <c r="A78" s="27">
        <v>74</v>
      </c>
      <c r="B78" s="28" t="s">
        <v>403</v>
      </c>
      <c r="C78" s="27" t="s">
        <v>47</v>
      </c>
      <c r="D78" s="29" t="s">
        <v>404</v>
      </c>
      <c r="E78" s="30" t="s">
        <v>405</v>
      </c>
      <c r="F78" s="30" t="s">
        <v>486</v>
      </c>
      <c r="G78" s="29"/>
      <c r="H78" s="29" t="s">
        <v>249</v>
      </c>
      <c r="I78" s="30" t="s">
        <v>487</v>
      </c>
      <c r="J78" s="30" t="s">
        <v>252</v>
      </c>
      <c r="K78" s="30" t="s">
        <v>60</v>
      </c>
      <c r="L78" s="31">
        <v>65600000</v>
      </c>
      <c r="M78" s="32">
        <v>1</v>
      </c>
      <c r="N78" s="31">
        <v>65600000</v>
      </c>
      <c r="O78" s="31"/>
      <c r="P78" s="33">
        <f t="shared" si="4"/>
        <v>0</v>
      </c>
      <c r="Q78" s="31">
        <v>32800000</v>
      </c>
      <c r="R78" s="34">
        <f t="shared" si="7"/>
        <v>32800000</v>
      </c>
      <c r="S78" s="34">
        <f t="shared" si="5"/>
        <v>26240000</v>
      </c>
      <c r="T78" s="34"/>
      <c r="U78" s="34">
        <v>13120000</v>
      </c>
      <c r="V78" s="34"/>
      <c r="W78" s="34"/>
      <c r="X78" s="34">
        <v>13120000</v>
      </c>
      <c r="Y78" s="35">
        <f t="shared" si="6"/>
        <v>26240000</v>
      </c>
    </row>
    <row r="79" s="2" customFormat="1" ht="66" customHeight="1" spans="1:25">
      <c r="A79" s="27">
        <v>75</v>
      </c>
      <c r="B79" s="28" t="s">
        <v>410</v>
      </c>
      <c r="C79" s="27" t="s">
        <v>47</v>
      </c>
      <c r="D79" s="29" t="s">
        <v>404</v>
      </c>
      <c r="E79" s="30" t="s">
        <v>411</v>
      </c>
      <c r="F79" s="30" t="s">
        <v>258</v>
      </c>
      <c r="G79" s="29"/>
      <c r="H79" s="29" t="s">
        <v>249</v>
      </c>
      <c r="I79" s="30" t="s">
        <v>259</v>
      </c>
      <c r="J79" s="30" t="s">
        <v>252</v>
      </c>
      <c r="K79" s="30"/>
      <c r="L79" s="31">
        <v>17980000</v>
      </c>
      <c r="M79" s="32">
        <v>1</v>
      </c>
      <c r="N79" s="31"/>
      <c r="O79" s="31">
        <v>17980000</v>
      </c>
      <c r="P79" s="47">
        <f t="shared" si="4"/>
        <v>17980000</v>
      </c>
      <c r="Q79" s="65">
        <v>0</v>
      </c>
      <c r="R79" s="34">
        <f t="shared" si="7"/>
        <v>17980000</v>
      </c>
      <c r="S79" s="34">
        <f t="shared" si="5"/>
        <v>16182000</v>
      </c>
      <c r="T79" s="34">
        <v>12586000</v>
      </c>
      <c r="U79" s="34"/>
      <c r="V79" s="34"/>
      <c r="W79" s="34"/>
      <c r="X79" s="34">
        <v>3596000</v>
      </c>
      <c r="Y79" s="35">
        <f t="shared" si="6"/>
        <v>16182000</v>
      </c>
    </row>
    <row r="80" s="2" customFormat="1" ht="66" customHeight="1" spans="1:25">
      <c r="A80" s="27">
        <v>76</v>
      </c>
      <c r="B80" s="28" t="s">
        <v>403</v>
      </c>
      <c r="C80" s="27" t="s">
        <v>47</v>
      </c>
      <c r="D80" s="29" t="s">
        <v>404</v>
      </c>
      <c r="E80" s="30" t="s">
        <v>405</v>
      </c>
      <c r="F80" s="30" t="s">
        <v>488</v>
      </c>
      <c r="G80" s="29"/>
      <c r="H80" s="29" t="s">
        <v>249</v>
      </c>
      <c r="I80" s="30" t="s">
        <v>489</v>
      </c>
      <c r="J80" s="30" t="s">
        <v>252</v>
      </c>
      <c r="K80" s="30" t="s">
        <v>60</v>
      </c>
      <c r="L80" s="31">
        <v>1393111.48</v>
      </c>
      <c r="M80" s="32">
        <v>1</v>
      </c>
      <c r="N80" s="31">
        <v>1393111.48</v>
      </c>
      <c r="O80" s="66"/>
      <c r="P80" s="33">
        <f t="shared" si="4"/>
        <v>0</v>
      </c>
      <c r="Q80" s="65">
        <v>1393111.48</v>
      </c>
      <c r="R80" s="34">
        <f t="shared" si="7"/>
        <v>0</v>
      </c>
      <c r="S80" s="34">
        <f t="shared" si="5"/>
        <v>0</v>
      </c>
      <c r="T80" s="34"/>
      <c r="U80" s="34"/>
      <c r="V80" s="34"/>
      <c r="W80" s="34"/>
      <c r="X80" s="34"/>
      <c r="Y80" s="35">
        <f t="shared" si="6"/>
        <v>0</v>
      </c>
    </row>
    <row r="81" s="2" customFormat="1" ht="66" customHeight="1" spans="1:25">
      <c r="A81" s="27">
        <v>77</v>
      </c>
      <c r="B81" s="28" t="s">
        <v>403</v>
      </c>
      <c r="C81" s="27" t="s">
        <v>47</v>
      </c>
      <c r="D81" s="29" t="s">
        <v>404</v>
      </c>
      <c r="E81" s="30" t="s">
        <v>411</v>
      </c>
      <c r="F81" s="30" t="s">
        <v>264</v>
      </c>
      <c r="G81" s="29"/>
      <c r="H81" s="29" t="s">
        <v>265</v>
      </c>
      <c r="I81" s="64" t="s">
        <v>266</v>
      </c>
      <c r="J81" s="30" t="s">
        <v>252</v>
      </c>
      <c r="K81" s="30" t="s">
        <v>60</v>
      </c>
      <c r="L81" s="31">
        <v>26725898</v>
      </c>
      <c r="M81" s="32">
        <v>1</v>
      </c>
      <c r="N81" s="31">
        <v>15962957.995</v>
      </c>
      <c r="O81" s="66">
        <v>10762940.005</v>
      </c>
      <c r="P81" s="33">
        <f t="shared" si="4"/>
        <v>10762940.005</v>
      </c>
      <c r="Q81" s="66">
        <v>16530967.1</v>
      </c>
      <c r="R81" s="34">
        <f t="shared" si="7"/>
        <v>10194930.9</v>
      </c>
      <c r="S81" s="34">
        <f t="shared" si="5"/>
        <v>4843323</v>
      </c>
      <c r="T81" s="34"/>
      <c r="U81" s="34">
        <v>2152588</v>
      </c>
      <c r="V81" s="34"/>
      <c r="W81" s="34"/>
      <c r="X81" s="34">
        <v>2690735</v>
      </c>
      <c r="Y81" s="35">
        <f t="shared" si="6"/>
        <v>4843323</v>
      </c>
    </row>
    <row r="82" s="2" customFormat="1" ht="66" customHeight="1" spans="1:25">
      <c r="A82" s="27">
        <v>78</v>
      </c>
      <c r="B82" s="28" t="s">
        <v>403</v>
      </c>
      <c r="C82" s="27" t="s">
        <v>47</v>
      </c>
      <c r="D82" s="29" t="s">
        <v>404</v>
      </c>
      <c r="E82" s="30" t="s">
        <v>405</v>
      </c>
      <c r="F82" s="30" t="s">
        <v>268</v>
      </c>
      <c r="G82" s="29"/>
      <c r="H82" s="29" t="s">
        <v>265</v>
      </c>
      <c r="I82" s="30" t="s">
        <v>269</v>
      </c>
      <c r="J82" s="30" t="s">
        <v>252</v>
      </c>
      <c r="K82" s="30" t="s">
        <v>60</v>
      </c>
      <c r="L82" s="31">
        <v>2100000</v>
      </c>
      <c r="M82" s="32">
        <v>1</v>
      </c>
      <c r="N82" s="31">
        <v>2100000</v>
      </c>
      <c r="O82" s="31"/>
      <c r="P82" s="33">
        <f t="shared" si="4"/>
        <v>0</v>
      </c>
      <c r="Q82" s="31">
        <v>1820000</v>
      </c>
      <c r="R82" s="34">
        <f t="shared" si="7"/>
        <v>280000</v>
      </c>
      <c r="S82" s="34">
        <f t="shared" si="5"/>
        <v>280000</v>
      </c>
      <c r="T82" s="34"/>
      <c r="U82" s="34"/>
      <c r="V82" s="34"/>
      <c r="W82" s="34"/>
      <c r="X82" s="34">
        <v>280000</v>
      </c>
      <c r="Y82" s="35">
        <f t="shared" si="6"/>
        <v>280000</v>
      </c>
    </row>
    <row r="83" s="2" customFormat="1" ht="66" customHeight="1" spans="1:25">
      <c r="A83" s="27">
        <v>79</v>
      </c>
      <c r="B83" s="28" t="s">
        <v>403</v>
      </c>
      <c r="C83" s="27" t="s">
        <v>47</v>
      </c>
      <c r="D83" s="29" t="s">
        <v>404</v>
      </c>
      <c r="E83" s="30" t="s">
        <v>411</v>
      </c>
      <c r="F83" s="30" t="s">
        <v>271</v>
      </c>
      <c r="G83" s="29"/>
      <c r="H83" s="29" t="s">
        <v>265</v>
      </c>
      <c r="I83" s="29" t="s">
        <v>272</v>
      </c>
      <c r="J83" s="30" t="s">
        <v>252</v>
      </c>
      <c r="K83" s="30" t="s">
        <v>60</v>
      </c>
      <c r="L83" s="54">
        <v>10920000</v>
      </c>
      <c r="M83" s="32">
        <v>1</v>
      </c>
      <c r="N83" s="31">
        <v>10920000</v>
      </c>
      <c r="O83" s="66"/>
      <c r="P83" s="33">
        <f t="shared" si="4"/>
        <v>0</v>
      </c>
      <c r="Q83" s="66">
        <f>6046526.8+2000000</f>
        <v>8046526.8</v>
      </c>
      <c r="R83" s="34">
        <f t="shared" si="7"/>
        <v>2873473.2</v>
      </c>
      <c r="S83" s="34">
        <f t="shared" si="5"/>
        <v>2873473</v>
      </c>
      <c r="T83" s="34"/>
      <c r="U83" s="34"/>
      <c r="V83" s="34">
        <v>2873473</v>
      </c>
      <c r="W83" s="34"/>
      <c r="X83" s="34"/>
      <c r="Y83" s="35">
        <f t="shared" si="6"/>
        <v>2873473</v>
      </c>
    </row>
    <row r="84" s="2" customFormat="1" ht="66" customHeight="1" spans="1:25">
      <c r="A84" s="27">
        <v>80</v>
      </c>
      <c r="B84" s="27" t="s">
        <v>403</v>
      </c>
      <c r="C84" s="27" t="s">
        <v>47</v>
      </c>
      <c r="D84" s="29" t="s">
        <v>404</v>
      </c>
      <c r="E84" s="30" t="s">
        <v>413</v>
      </c>
      <c r="F84" s="30" t="s">
        <v>275</v>
      </c>
      <c r="G84" s="29"/>
      <c r="H84" s="30" t="s">
        <v>265</v>
      </c>
      <c r="I84" s="30" t="s">
        <v>276</v>
      </c>
      <c r="J84" s="30" t="s">
        <v>59</v>
      </c>
      <c r="K84" s="30" t="s">
        <v>60</v>
      </c>
      <c r="L84" s="31">
        <f>24270600/2</f>
        <v>12135300</v>
      </c>
      <c r="M84" s="32">
        <v>1</v>
      </c>
      <c r="N84" s="54">
        <v>11264620.4797</v>
      </c>
      <c r="O84" s="66">
        <v>870679.520300001</v>
      </c>
      <c r="P84" s="33">
        <f t="shared" si="4"/>
        <v>870679.520300001</v>
      </c>
      <c r="Q84" s="30">
        <v>9098995</v>
      </c>
      <c r="R84" s="34">
        <f t="shared" si="7"/>
        <v>3036305</v>
      </c>
      <c r="S84" s="34">
        <f t="shared" si="5"/>
        <v>3036305</v>
      </c>
      <c r="T84" s="34">
        <v>3036305</v>
      </c>
      <c r="U84" s="34"/>
      <c r="V84" s="34"/>
      <c r="W84" s="34"/>
      <c r="X84" s="34"/>
      <c r="Y84" s="35">
        <f t="shared" si="6"/>
        <v>3036305</v>
      </c>
    </row>
    <row r="85" s="2" customFormat="1" ht="66" customHeight="1" spans="1:25">
      <c r="A85" s="27">
        <v>81</v>
      </c>
      <c r="B85" s="27" t="s">
        <v>403</v>
      </c>
      <c r="C85" s="27" t="s">
        <v>47</v>
      </c>
      <c r="D85" s="29" t="s">
        <v>404</v>
      </c>
      <c r="E85" s="30" t="s">
        <v>413</v>
      </c>
      <c r="F85" s="30" t="s">
        <v>275</v>
      </c>
      <c r="G85" s="29"/>
      <c r="H85" s="30" t="s">
        <v>265</v>
      </c>
      <c r="I85" s="30" t="s">
        <v>276</v>
      </c>
      <c r="J85" s="30" t="s">
        <v>59</v>
      </c>
      <c r="K85" s="30" t="s">
        <v>60</v>
      </c>
      <c r="L85" s="31">
        <v>12135300</v>
      </c>
      <c r="M85" s="32">
        <v>1</v>
      </c>
      <c r="N85" s="31">
        <v>9545697.0011</v>
      </c>
      <c r="O85" s="66">
        <v>2589602.9989</v>
      </c>
      <c r="P85" s="33">
        <f t="shared" si="4"/>
        <v>2589602.9989</v>
      </c>
      <c r="Q85" s="30">
        <f>5265839+3500000</f>
        <v>8765839</v>
      </c>
      <c r="R85" s="34">
        <f t="shared" si="7"/>
        <v>3369461</v>
      </c>
      <c r="S85" s="34">
        <f t="shared" si="5"/>
        <v>1663695</v>
      </c>
      <c r="T85" s="34">
        <v>763695</v>
      </c>
      <c r="U85" s="34">
        <v>900000</v>
      </c>
      <c r="V85" s="34"/>
      <c r="W85" s="34"/>
      <c r="X85" s="34"/>
      <c r="Y85" s="35">
        <f t="shared" si="6"/>
        <v>1663695</v>
      </c>
    </row>
    <row r="86" s="2" customFormat="1" ht="66" customHeight="1" spans="1:25">
      <c r="A86" s="27">
        <v>82</v>
      </c>
      <c r="B86" s="27" t="s">
        <v>403</v>
      </c>
      <c r="C86" s="27" t="s">
        <v>47</v>
      </c>
      <c r="D86" s="29" t="s">
        <v>404</v>
      </c>
      <c r="E86" s="30" t="s">
        <v>411</v>
      </c>
      <c r="F86" s="30" t="s">
        <v>279</v>
      </c>
      <c r="G86" s="29"/>
      <c r="H86" s="30" t="s">
        <v>265</v>
      </c>
      <c r="I86" s="30" t="s">
        <v>280</v>
      </c>
      <c r="J86" s="30" t="s">
        <v>252</v>
      </c>
      <c r="K86" s="30" t="s">
        <v>60</v>
      </c>
      <c r="L86" s="31">
        <f>1718100+65700</f>
        <v>1783800</v>
      </c>
      <c r="M86" s="32">
        <v>1</v>
      </c>
      <c r="N86" s="31">
        <v>0</v>
      </c>
      <c r="O86" s="54">
        <v>1783800</v>
      </c>
      <c r="P86" s="33">
        <f t="shared" si="4"/>
        <v>1783800</v>
      </c>
      <c r="Q86" s="31">
        <v>1546290</v>
      </c>
      <c r="R86" s="34">
        <f t="shared" si="7"/>
        <v>237510</v>
      </c>
      <c r="S86" s="34">
        <f t="shared" si="5"/>
        <v>237510</v>
      </c>
      <c r="T86" s="34"/>
      <c r="U86" s="34"/>
      <c r="V86" s="34"/>
      <c r="W86" s="34"/>
      <c r="X86" s="34">
        <v>237510</v>
      </c>
      <c r="Y86" s="35">
        <f t="shared" si="6"/>
        <v>237510</v>
      </c>
    </row>
    <row r="87" s="2" customFormat="1" ht="66" customHeight="1" spans="1:25">
      <c r="A87" s="27">
        <v>83</v>
      </c>
      <c r="B87" s="27" t="s">
        <v>403</v>
      </c>
      <c r="C87" s="27" t="s">
        <v>47</v>
      </c>
      <c r="D87" s="29" t="s">
        <v>404</v>
      </c>
      <c r="E87" s="30" t="s">
        <v>242</v>
      </c>
      <c r="F87" s="30" t="s">
        <v>490</v>
      </c>
      <c r="G87" s="29"/>
      <c r="H87" s="29" t="s">
        <v>265</v>
      </c>
      <c r="I87" s="30" t="s">
        <v>491</v>
      </c>
      <c r="J87" s="30" t="s">
        <v>252</v>
      </c>
      <c r="K87" s="30" t="s">
        <v>60</v>
      </c>
      <c r="L87" s="31">
        <v>111000</v>
      </c>
      <c r="M87" s="32">
        <v>1</v>
      </c>
      <c r="N87" s="31">
        <v>111000</v>
      </c>
      <c r="O87" s="31"/>
      <c r="P87" s="33">
        <f t="shared" si="4"/>
        <v>0</v>
      </c>
      <c r="Q87" s="31"/>
      <c r="R87" s="34">
        <f t="shared" si="7"/>
        <v>111000</v>
      </c>
      <c r="S87" s="34">
        <f t="shared" si="5"/>
        <v>102075</v>
      </c>
      <c r="T87" s="34">
        <v>13720</v>
      </c>
      <c r="U87" s="34">
        <v>61103</v>
      </c>
      <c r="V87" s="34">
        <v>27252</v>
      </c>
      <c r="W87" s="34"/>
      <c r="X87" s="34"/>
      <c r="Y87" s="35">
        <f t="shared" si="6"/>
        <v>102075</v>
      </c>
    </row>
    <row r="88" s="2" customFormat="1" ht="66" customHeight="1" spans="1:25">
      <c r="A88" s="27">
        <v>84</v>
      </c>
      <c r="B88" s="27" t="s">
        <v>403</v>
      </c>
      <c r="C88" s="27" t="s">
        <v>47</v>
      </c>
      <c r="D88" s="29" t="s">
        <v>404</v>
      </c>
      <c r="E88" s="29" t="s">
        <v>413</v>
      </c>
      <c r="F88" s="29" t="s">
        <v>281</v>
      </c>
      <c r="G88" s="29"/>
      <c r="H88" s="29" t="s">
        <v>265</v>
      </c>
      <c r="I88" s="29" t="s">
        <v>282</v>
      </c>
      <c r="J88" s="30" t="s">
        <v>252</v>
      </c>
      <c r="K88" s="30" t="s">
        <v>60</v>
      </c>
      <c r="L88" s="31">
        <v>6000000</v>
      </c>
      <c r="M88" s="32">
        <v>1</v>
      </c>
      <c r="N88" s="31">
        <v>0</v>
      </c>
      <c r="O88" s="31">
        <v>2400000</v>
      </c>
      <c r="P88" s="33">
        <f t="shared" si="4"/>
        <v>2400000</v>
      </c>
      <c r="Q88" s="31">
        <v>350000</v>
      </c>
      <c r="R88" s="34">
        <f t="shared" si="7"/>
        <v>5650000</v>
      </c>
      <c r="S88" s="34">
        <f t="shared" si="5"/>
        <v>1000000</v>
      </c>
      <c r="T88" s="34"/>
      <c r="U88" s="34"/>
      <c r="V88" s="34"/>
      <c r="W88" s="34"/>
      <c r="X88" s="34">
        <v>1000000</v>
      </c>
      <c r="Y88" s="35">
        <f t="shared" si="6"/>
        <v>1000000</v>
      </c>
    </row>
    <row r="89" s="4" customFormat="1" ht="66" customHeight="1" spans="1:25">
      <c r="A89" s="27">
        <v>85</v>
      </c>
      <c r="B89" s="27" t="s">
        <v>403</v>
      </c>
      <c r="C89" s="27" t="s">
        <v>47</v>
      </c>
      <c r="D89" s="29" t="s">
        <v>404</v>
      </c>
      <c r="E89" s="29" t="s">
        <v>413</v>
      </c>
      <c r="F89" s="30" t="s">
        <v>283</v>
      </c>
      <c r="G89" s="29"/>
      <c r="H89" s="29" t="s">
        <v>265</v>
      </c>
      <c r="I89" s="64" t="s">
        <v>284</v>
      </c>
      <c r="J89" s="30" t="s">
        <v>59</v>
      </c>
      <c r="K89" s="30" t="s">
        <v>60</v>
      </c>
      <c r="L89" s="31">
        <f>23877300/2</f>
        <v>11938650</v>
      </c>
      <c r="M89" s="32">
        <v>1</v>
      </c>
      <c r="N89" s="31">
        <v>7147799.9823</v>
      </c>
      <c r="O89" s="31">
        <v>4790850.0177</v>
      </c>
      <c r="P89" s="33">
        <f t="shared" si="4"/>
        <v>4790850.0177</v>
      </c>
      <c r="Q89" s="31">
        <v>5882130.01</v>
      </c>
      <c r="R89" s="34">
        <f t="shared" si="7"/>
        <v>6056519.99</v>
      </c>
      <c r="S89" s="34">
        <f t="shared" si="5"/>
        <v>4000000</v>
      </c>
      <c r="T89" s="34">
        <v>4000000</v>
      </c>
      <c r="U89" s="34"/>
      <c r="V89" s="34"/>
      <c r="W89" s="34"/>
      <c r="X89" s="34"/>
      <c r="Y89" s="35">
        <f t="shared" si="6"/>
        <v>4000000</v>
      </c>
    </row>
    <row r="90" s="4" customFormat="1" ht="66" customHeight="1" spans="1:25">
      <c r="A90" s="27">
        <v>86</v>
      </c>
      <c r="B90" s="27" t="s">
        <v>403</v>
      </c>
      <c r="C90" s="27" t="s">
        <v>47</v>
      </c>
      <c r="D90" s="29" t="s">
        <v>404</v>
      </c>
      <c r="E90" s="29" t="s">
        <v>413</v>
      </c>
      <c r="F90" s="30" t="s">
        <v>283</v>
      </c>
      <c r="G90" s="29"/>
      <c r="H90" s="29" t="s">
        <v>265</v>
      </c>
      <c r="I90" s="64" t="s">
        <v>284</v>
      </c>
      <c r="J90" s="30" t="s">
        <v>59</v>
      </c>
      <c r="K90" s="30" t="s">
        <v>60</v>
      </c>
      <c r="L90" s="31">
        <v>11938650</v>
      </c>
      <c r="M90" s="32">
        <v>1</v>
      </c>
      <c r="N90" s="31">
        <v>4753800.0058</v>
      </c>
      <c r="O90" s="31">
        <v>7184849.9942</v>
      </c>
      <c r="P90" s="33">
        <f t="shared" si="4"/>
        <v>7184849.9942</v>
      </c>
      <c r="Q90" s="31">
        <v>4417869.99</v>
      </c>
      <c r="R90" s="34">
        <f t="shared" si="7"/>
        <v>7520780.01</v>
      </c>
      <c r="S90" s="34">
        <f t="shared" si="5"/>
        <v>4000000</v>
      </c>
      <c r="T90" s="34"/>
      <c r="U90" s="34">
        <v>4000000</v>
      </c>
      <c r="V90" s="34"/>
      <c r="W90" s="34"/>
      <c r="X90" s="34"/>
      <c r="Y90" s="35">
        <f t="shared" si="6"/>
        <v>4000000</v>
      </c>
    </row>
    <row r="91" s="3" customFormat="1" ht="66" customHeight="1" spans="1:25">
      <c r="A91" s="27">
        <v>87</v>
      </c>
      <c r="B91" s="28" t="s">
        <v>410</v>
      </c>
      <c r="C91" s="27" t="s">
        <v>47</v>
      </c>
      <c r="D91" s="29" t="s">
        <v>404</v>
      </c>
      <c r="E91" s="30" t="s">
        <v>405</v>
      </c>
      <c r="F91" s="30" t="s">
        <v>287</v>
      </c>
      <c r="G91" s="29"/>
      <c r="H91" s="29" t="s">
        <v>288</v>
      </c>
      <c r="I91" s="30" t="s">
        <v>492</v>
      </c>
      <c r="J91" s="30" t="s">
        <v>252</v>
      </c>
      <c r="K91" s="30" t="s">
        <v>60</v>
      </c>
      <c r="L91" s="31">
        <v>25380000</v>
      </c>
      <c r="M91" s="32">
        <v>1</v>
      </c>
      <c r="N91" s="31"/>
      <c r="O91" s="31">
        <v>25380000</v>
      </c>
      <c r="P91" s="33">
        <f t="shared" si="4"/>
        <v>25380000</v>
      </c>
      <c r="Q91" s="31">
        <v>0</v>
      </c>
      <c r="R91" s="34">
        <f t="shared" si="7"/>
        <v>25380000</v>
      </c>
      <c r="S91" s="34">
        <f t="shared" si="5"/>
        <v>15228000</v>
      </c>
      <c r="T91" s="34"/>
      <c r="U91" s="34">
        <v>5076000</v>
      </c>
      <c r="V91" s="34"/>
      <c r="W91" s="34"/>
      <c r="X91" s="34">
        <v>10152000</v>
      </c>
      <c r="Y91" s="35">
        <f t="shared" si="6"/>
        <v>15228000</v>
      </c>
    </row>
    <row r="92" s="3" customFormat="1" ht="66" customHeight="1" spans="1:25">
      <c r="A92" s="27">
        <v>88</v>
      </c>
      <c r="B92" s="28" t="s">
        <v>403</v>
      </c>
      <c r="C92" s="27" t="s">
        <v>47</v>
      </c>
      <c r="D92" s="29" t="s">
        <v>404</v>
      </c>
      <c r="E92" s="30" t="s">
        <v>405</v>
      </c>
      <c r="F92" s="45" t="s">
        <v>290</v>
      </c>
      <c r="G92" s="37"/>
      <c r="H92" s="44" t="s">
        <v>291</v>
      </c>
      <c r="I92" s="45" t="s">
        <v>292</v>
      </c>
      <c r="J92" s="45" t="s">
        <v>132</v>
      </c>
      <c r="K92" s="45" t="s">
        <v>77</v>
      </c>
      <c r="L92" s="51">
        <v>25355200</v>
      </c>
      <c r="M92" s="52">
        <v>0.7</v>
      </c>
      <c r="N92" s="51">
        <v>25355200</v>
      </c>
      <c r="O92" s="31"/>
      <c r="P92" s="33">
        <f t="shared" si="4"/>
        <v>0</v>
      </c>
      <c r="Q92" s="31">
        <v>22685297.44</v>
      </c>
      <c r="R92" s="34">
        <f t="shared" si="7"/>
        <v>2669902.56</v>
      </c>
      <c r="S92" s="34">
        <f t="shared" si="5"/>
        <v>2669902.56</v>
      </c>
      <c r="T92" s="34">
        <v>1267000</v>
      </c>
      <c r="U92" s="34"/>
      <c r="V92" s="34"/>
      <c r="W92" s="34">
        <f>R92-T92</f>
        <v>1402902.56</v>
      </c>
      <c r="X92" s="34"/>
      <c r="Y92" s="35">
        <f t="shared" si="6"/>
        <v>1868931.792</v>
      </c>
    </row>
    <row r="93" s="2" customFormat="1" ht="66" hidden="1" customHeight="1" spans="1:25">
      <c r="A93" s="27">
        <v>89</v>
      </c>
      <c r="B93" s="27" t="s">
        <v>403</v>
      </c>
      <c r="C93" s="27" t="s">
        <v>36</v>
      </c>
      <c r="D93" s="29" t="s">
        <v>404</v>
      </c>
      <c r="E93" s="29" t="s">
        <v>405</v>
      </c>
      <c r="F93" s="30" t="s">
        <v>493</v>
      </c>
      <c r="G93" s="37"/>
      <c r="H93" s="29" t="s">
        <v>494</v>
      </c>
      <c r="I93" s="30" t="s">
        <v>495</v>
      </c>
      <c r="J93" s="30" t="s">
        <v>45</v>
      </c>
      <c r="K93" s="30" t="s">
        <v>42</v>
      </c>
      <c r="L93" s="31">
        <v>3896200</v>
      </c>
      <c r="M93" s="32">
        <v>1</v>
      </c>
      <c r="N93" s="31">
        <v>3896200</v>
      </c>
      <c r="O93" s="66"/>
      <c r="P93" s="33">
        <f t="shared" si="4"/>
        <v>0</v>
      </c>
      <c r="Q93" s="66">
        <v>3896200</v>
      </c>
      <c r="R93" s="34">
        <f t="shared" si="7"/>
        <v>0</v>
      </c>
      <c r="S93" s="34">
        <f t="shared" si="5"/>
        <v>0</v>
      </c>
      <c r="T93" s="34"/>
      <c r="U93" s="34"/>
      <c r="V93" s="34"/>
      <c r="W93" s="34"/>
      <c r="X93" s="34"/>
      <c r="Y93" s="35">
        <f t="shared" si="6"/>
        <v>0</v>
      </c>
    </row>
    <row r="94" s="3" customFormat="1" ht="66" hidden="1" customHeight="1" spans="1:25">
      <c r="A94" s="27">
        <v>90</v>
      </c>
      <c r="B94" s="28" t="s">
        <v>403</v>
      </c>
      <c r="C94" s="27" t="s">
        <v>414</v>
      </c>
      <c r="D94" s="29" t="s">
        <v>404</v>
      </c>
      <c r="E94" s="29" t="s">
        <v>405</v>
      </c>
      <c r="F94" s="30" t="s">
        <v>496</v>
      </c>
      <c r="G94" s="37"/>
      <c r="H94" s="30" t="s">
        <v>497</v>
      </c>
      <c r="I94" s="30" t="s">
        <v>498</v>
      </c>
      <c r="J94" s="30" t="s">
        <v>132</v>
      </c>
      <c r="K94" s="30" t="s">
        <v>77</v>
      </c>
      <c r="L94" s="31">
        <v>1430000</v>
      </c>
      <c r="M94" s="32">
        <v>1</v>
      </c>
      <c r="N94" s="31">
        <v>1430000</v>
      </c>
      <c r="O94" s="31"/>
      <c r="P94" s="33">
        <f t="shared" si="4"/>
        <v>0</v>
      </c>
      <c r="Q94" s="31">
        <v>1358500</v>
      </c>
      <c r="R94" s="34">
        <f t="shared" si="7"/>
        <v>71500</v>
      </c>
      <c r="S94" s="34">
        <f t="shared" si="5"/>
        <v>71500</v>
      </c>
      <c r="T94" s="34"/>
      <c r="U94" s="34">
        <v>71500</v>
      </c>
      <c r="V94" s="34"/>
      <c r="W94" s="34"/>
      <c r="X94" s="34"/>
      <c r="Y94" s="35">
        <f t="shared" si="6"/>
        <v>71500</v>
      </c>
    </row>
    <row r="95" s="2" customFormat="1" ht="82" customHeight="1" spans="1:25">
      <c r="A95" s="27">
        <v>91</v>
      </c>
      <c r="B95" s="28" t="s">
        <v>403</v>
      </c>
      <c r="C95" s="27" t="s">
        <v>47</v>
      </c>
      <c r="D95" s="29" t="s">
        <v>404</v>
      </c>
      <c r="E95" s="30" t="s">
        <v>413</v>
      </c>
      <c r="F95" s="30" t="s">
        <v>294</v>
      </c>
      <c r="G95" s="37"/>
      <c r="H95" s="29" t="s">
        <v>295</v>
      </c>
      <c r="I95" s="30" t="s">
        <v>296</v>
      </c>
      <c r="J95" s="30" t="s">
        <v>76</v>
      </c>
      <c r="K95" s="30" t="s">
        <v>70</v>
      </c>
      <c r="L95" s="31">
        <v>3989250</v>
      </c>
      <c r="M95" s="32">
        <v>0.8</v>
      </c>
      <c r="N95" s="31">
        <v>1949540</v>
      </c>
      <c r="O95" s="31"/>
      <c r="P95" s="33">
        <f t="shared" si="4"/>
        <v>0</v>
      </c>
      <c r="Q95" s="31">
        <f>942742+720000</f>
        <v>1662742</v>
      </c>
      <c r="R95" s="34">
        <f t="shared" si="7"/>
        <v>2326508</v>
      </c>
      <c r="S95" s="34">
        <f t="shared" si="5"/>
        <v>0</v>
      </c>
      <c r="T95" s="34"/>
      <c r="U95" s="34"/>
      <c r="V95" s="34"/>
      <c r="W95" s="34"/>
      <c r="X95" s="34"/>
      <c r="Y95" s="35">
        <f t="shared" si="6"/>
        <v>0</v>
      </c>
    </row>
    <row r="96" s="2" customFormat="1" ht="82" customHeight="1" spans="1:25">
      <c r="A96" s="27">
        <v>92</v>
      </c>
      <c r="B96" s="28" t="s">
        <v>403</v>
      </c>
      <c r="C96" s="27" t="s">
        <v>47</v>
      </c>
      <c r="D96" s="29" t="s">
        <v>404</v>
      </c>
      <c r="E96" s="30" t="s">
        <v>413</v>
      </c>
      <c r="F96" s="38" t="s">
        <v>298</v>
      </c>
      <c r="G96" s="37"/>
      <c r="H96" s="43" t="s">
        <v>295</v>
      </c>
      <c r="I96" s="38" t="s">
        <v>296</v>
      </c>
      <c r="J96" s="38" t="s">
        <v>76</v>
      </c>
      <c r="K96" s="38" t="s">
        <v>70</v>
      </c>
      <c r="L96" s="39">
        <v>3989250</v>
      </c>
      <c r="M96" s="40">
        <v>0.8</v>
      </c>
      <c r="N96" s="39">
        <v>2251930</v>
      </c>
      <c r="O96" s="31"/>
      <c r="P96" s="33">
        <f t="shared" si="4"/>
        <v>0</v>
      </c>
      <c r="Q96" s="31">
        <f>1604637+50000</f>
        <v>1654637</v>
      </c>
      <c r="R96" s="34">
        <f t="shared" si="7"/>
        <v>2334613</v>
      </c>
      <c r="S96" s="34">
        <f t="shared" si="5"/>
        <v>0</v>
      </c>
      <c r="T96" s="34"/>
      <c r="U96" s="34"/>
      <c r="V96" s="34"/>
      <c r="W96" s="34"/>
      <c r="X96" s="34"/>
      <c r="Y96" s="35">
        <f t="shared" si="6"/>
        <v>0</v>
      </c>
    </row>
    <row r="97" s="2" customFormat="1" ht="66" customHeight="1" spans="1:25 16337:16353">
      <c r="A97" s="27">
        <v>93</v>
      </c>
      <c r="B97" s="27" t="s">
        <v>403</v>
      </c>
      <c r="C97" s="27" t="s">
        <v>47</v>
      </c>
      <c r="D97" s="29" t="s">
        <v>404</v>
      </c>
      <c r="E97" s="30" t="s">
        <v>413</v>
      </c>
      <c r="F97" s="30" t="s">
        <v>499</v>
      </c>
      <c r="G97" s="29"/>
      <c r="H97" s="29" t="s">
        <v>306</v>
      </c>
      <c r="I97" s="29" t="s">
        <v>500</v>
      </c>
      <c r="J97" s="30" t="s">
        <v>252</v>
      </c>
      <c r="K97" s="30" t="s">
        <v>60</v>
      </c>
      <c r="L97" s="31">
        <v>12000000</v>
      </c>
      <c r="M97" s="32">
        <v>1</v>
      </c>
      <c r="N97" s="31">
        <v>12000000</v>
      </c>
      <c r="O97" s="31"/>
      <c r="P97" s="33">
        <f t="shared" si="4"/>
        <v>0</v>
      </c>
      <c r="Q97" s="31">
        <v>12000000</v>
      </c>
      <c r="R97" s="34">
        <f t="shared" si="7"/>
        <v>0</v>
      </c>
      <c r="S97" s="34">
        <f t="shared" si="5"/>
        <v>5000000</v>
      </c>
      <c r="T97" s="34"/>
      <c r="U97" s="34">
        <v>4000000</v>
      </c>
      <c r="V97" s="34"/>
      <c r="W97" s="34"/>
      <c r="X97" s="34">
        <v>1000000</v>
      </c>
      <c r="Y97" s="35">
        <f t="shared" si="6"/>
        <v>5000000</v>
      </c>
    </row>
    <row r="98" s="2" customFormat="1" ht="66" customHeight="1" spans="1:25 16337:16353">
      <c r="A98" s="27">
        <v>94</v>
      </c>
      <c r="B98" s="27" t="s">
        <v>403</v>
      </c>
      <c r="C98" s="27" t="s">
        <v>47</v>
      </c>
      <c r="D98" s="29" t="s">
        <v>404</v>
      </c>
      <c r="E98" s="30" t="s">
        <v>413</v>
      </c>
      <c r="F98" s="30" t="s">
        <v>305</v>
      </c>
      <c r="G98" s="29"/>
      <c r="H98" s="29" t="s">
        <v>306</v>
      </c>
      <c r="I98" s="29" t="s">
        <v>307</v>
      </c>
      <c r="J98" s="30" t="s">
        <v>252</v>
      </c>
      <c r="K98" s="30" t="s">
        <v>60</v>
      </c>
      <c r="L98" s="31">
        <v>24000000</v>
      </c>
      <c r="M98" s="32">
        <v>1</v>
      </c>
      <c r="N98" s="31">
        <v>0</v>
      </c>
      <c r="O98" s="66">
        <v>16000000</v>
      </c>
      <c r="P98" s="33">
        <f t="shared" si="4"/>
        <v>16000000</v>
      </c>
      <c r="Q98" s="66">
        <v>4000000</v>
      </c>
      <c r="R98" s="34">
        <f t="shared" si="7"/>
        <v>20000000</v>
      </c>
      <c r="S98" s="34">
        <f t="shared" si="5"/>
        <v>8000000</v>
      </c>
      <c r="T98" s="34"/>
      <c r="U98" s="34"/>
      <c r="V98" s="34"/>
      <c r="W98" s="34">
        <v>8000000</v>
      </c>
      <c r="X98" s="34"/>
      <c r="Y98" s="35">
        <f t="shared" si="6"/>
        <v>8000000</v>
      </c>
    </row>
    <row r="99" s="6" customFormat="1" ht="66" hidden="1" customHeight="1" spans="1:25 16337:16353">
      <c r="A99" s="27">
        <v>95</v>
      </c>
      <c r="B99" s="27" t="s">
        <v>403</v>
      </c>
      <c r="C99" s="27" t="s">
        <v>36</v>
      </c>
      <c r="D99" s="27" t="s">
        <v>404</v>
      </c>
      <c r="E99" s="29" t="s">
        <v>405</v>
      </c>
      <c r="F99" s="57" t="s">
        <v>311</v>
      </c>
      <c r="G99" s="29"/>
      <c r="H99" s="57" t="s">
        <v>312</v>
      </c>
      <c r="I99" s="57" t="s">
        <v>313</v>
      </c>
      <c r="J99" s="29" t="s">
        <v>69</v>
      </c>
      <c r="K99" s="29" t="s">
        <v>70</v>
      </c>
      <c r="L99" s="61">
        <v>1840000</v>
      </c>
      <c r="M99" s="32">
        <v>1</v>
      </c>
      <c r="N99" s="62">
        <v>1840000</v>
      </c>
      <c r="O99" s="66"/>
      <c r="P99" s="33">
        <f t="shared" si="4"/>
        <v>0</v>
      </c>
      <c r="Q99" s="66">
        <v>1656000</v>
      </c>
      <c r="R99" s="34">
        <f t="shared" si="7"/>
        <v>184000</v>
      </c>
      <c r="S99" s="34">
        <f t="shared" si="5"/>
        <v>0</v>
      </c>
      <c r="T99" s="34"/>
      <c r="U99" s="34"/>
      <c r="V99" s="34"/>
      <c r="W99" s="34"/>
      <c r="X99" s="34"/>
      <c r="Y99" s="35">
        <f t="shared" si="6"/>
        <v>0</v>
      </c>
    </row>
    <row r="100" s="6" customFormat="1" ht="66" hidden="1" customHeight="1" spans="1:25 16337:16353">
      <c r="A100" s="27">
        <v>96</v>
      </c>
      <c r="B100" s="27" t="s">
        <v>403</v>
      </c>
      <c r="C100" s="27" t="s">
        <v>36</v>
      </c>
      <c r="D100" s="27" t="s">
        <v>404</v>
      </c>
      <c r="E100" s="29" t="s">
        <v>405</v>
      </c>
      <c r="F100" s="67" t="s">
        <v>501</v>
      </c>
      <c r="G100" s="37"/>
      <c r="H100" s="67" t="s">
        <v>502</v>
      </c>
      <c r="I100" s="67" t="s">
        <v>503</v>
      </c>
      <c r="J100" s="29" t="s">
        <v>45</v>
      </c>
      <c r="K100" s="30" t="s">
        <v>42</v>
      </c>
      <c r="L100" s="61">
        <v>2980000</v>
      </c>
      <c r="M100" s="32">
        <v>0.6</v>
      </c>
      <c r="N100" s="62">
        <v>2980000</v>
      </c>
      <c r="O100" s="66"/>
      <c r="P100" s="33">
        <f t="shared" si="4"/>
        <v>0</v>
      </c>
      <c r="Q100" s="66">
        <v>2831000</v>
      </c>
      <c r="R100" s="34">
        <f t="shared" si="7"/>
        <v>149000</v>
      </c>
      <c r="S100" s="34">
        <f t="shared" si="5"/>
        <v>149000</v>
      </c>
      <c r="T100" s="34"/>
      <c r="U100" s="34"/>
      <c r="V100" s="34">
        <v>149000</v>
      </c>
      <c r="W100" s="34"/>
      <c r="X100" s="34"/>
      <c r="Y100" s="35">
        <f t="shared" si="6"/>
        <v>89400</v>
      </c>
    </row>
    <row r="101" s="6" customFormat="1" ht="66" customHeight="1" spans="1:25 16337:16353">
      <c r="A101" s="27">
        <v>97</v>
      </c>
      <c r="B101" s="27" t="s">
        <v>403</v>
      </c>
      <c r="C101" s="27" t="s">
        <v>47</v>
      </c>
      <c r="D101" s="27" t="s">
        <v>404</v>
      </c>
      <c r="E101" s="30" t="s">
        <v>413</v>
      </c>
      <c r="F101" s="29" t="s">
        <v>314</v>
      </c>
      <c r="G101" s="37"/>
      <c r="H101" s="29" t="s">
        <v>315</v>
      </c>
      <c r="I101" s="29" t="s">
        <v>316</v>
      </c>
      <c r="J101" s="29" t="s">
        <v>116</v>
      </c>
      <c r="K101" s="30" t="s">
        <v>42</v>
      </c>
      <c r="L101" s="68">
        <v>21000768</v>
      </c>
      <c r="M101" s="32">
        <v>0.7</v>
      </c>
      <c r="N101" s="62"/>
      <c r="O101" s="66"/>
      <c r="P101" s="33">
        <f t="shared" si="4"/>
        <v>0</v>
      </c>
      <c r="Q101" s="66">
        <v>3150000</v>
      </c>
      <c r="R101" s="34">
        <f t="shared" si="7"/>
        <v>17850768</v>
      </c>
      <c r="S101" s="34">
        <f t="shared" si="5"/>
        <v>0</v>
      </c>
      <c r="T101" s="34"/>
      <c r="U101" s="34"/>
      <c r="V101" s="34"/>
      <c r="W101" s="34"/>
      <c r="X101" s="34"/>
      <c r="Y101" s="35">
        <f t="shared" si="6"/>
        <v>0</v>
      </c>
    </row>
    <row r="102" s="6" customFormat="1" ht="66" customHeight="1" spans="1:25 16337:16353">
      <c r="A102" s="27">
        <v>98</v>
      </c>
      <c r="B102" s="27" t="s">
        <v>403</v>
      </c>
      <c r="C102" s="27" t="s">
        <v>47</v>
      </c>
      <c r="D102" s="29" t="s">
        <v>404</v>
      </c>
      <c r="E102" s="29" t="s">
        <v>405</v>
      </c>
      <c r="F102" s="43" t="s">
        <v>504</v>
      </c>
      <c r="G102" s="37"/>
      <c r="H102" s="43" t="s">
        <v>505</v>
      </c>
      <c r="I102" s="43" t="s">
        <v>506</v>
      </c>
      <c r="J102" s="29" t="s">
        <v>76</v>
      </c>
      <c r="K102" s="29" t="s">
        <v>77</v>
      </c>
      <c r="L102" s="61">
        <v>10000000</v>
      </c>
      <c r="M102" s="32">
        <v>1</v>
      </c>
      <c r="N102" s="62">
        <v>10000000</v>
      </c>
      <c r="O102" s="66"/>
      <c r="P102" s="33">
        <f t="shared" si="4"/>
        <v>0</v>
      </c>
      <c r="Q102" s="66">
        <v>10000000</v>
      </c>
      <c r="R102" s="34">
        <f t="shared" si="7"/>
        <v>0</v>
      </c>
      <c r="S102" s="34">
        <f t="shared" si="5"/>
        <v>0</v>
      </c>
      <c r="T102" s="34"/>
      <c r="U102" s="34"/>
      <c r="V102" s="34"/>
      <c r="W102" s="34"/>
      <c r="X102" s="34"/>
      <c r="Y102" s="35">
        <f t="shared" si="6"/>
        <v>0</v>
      </c>
    </row>
    <row r="103" s="6" customFormat="1" ht="66" hidden="1" customHeight="1" spans="1:25 16337:16353">
      <c r="A103" s="27">
        <v>99</v>
      </c>
      <c r="B103" s="27" t="s">
        <v>410</v>
      </c>
      <c r="C103" s="27" t="s">
        <v>36</v>
      </c>
      <c r="D103" s="29" t="s">
        <v>404</v>
      </c>
      <c r="E103" s="29" t="s">
        <v>405</v>
      </c>
      <c r="F103" s="29" t="s">
        <v>320</v>
      </c>
      <c r="G103" s="29"/>
      <c r="H103" s="29" t="s">
        <v>321</v>
      </c>
      <c r="I103" s="29" t="s">
        <v>322</v>
      </c>
      <c r="J103" s="29" t="s">
        <v>69</v>
      </c>
      <c r="K103" s="30"/>
      <c r="L103" s="61">
        <v>960000</v>
      </c>
      <c r="M103" s="32">
        <v>1</v>
      </c>
      <c r="N103" s="62">
        <v>960000</v>
      </c>
      <c r="O103" s="66"/>
      <c r="P103" s="33">
        <f t="shared" si="4"/>
        <v>0</v>
      </c>
      <c r="Q103" s="66">
        <v>576000</v>
      </c>
      <c r="R103" s="34">
        <f t="shared" si="7"/>
        <v>384000</v>
      </c>
      <c r="S103" s="34">
        <f t="shared" si="5"/>
        <v>184000</v>
      </c>
      <c r="T103" s="34"/>
      <c r="U103" s="34">
        <v>184000</v>
      </c>
      <c r="V103" s="34"/>
      <c r="W103" s="34"/>
      <c r="X103" s="34"/>
      <c r="Y103" s="35">
        <f t="shared" si="6"/>
        <v>184000</v>
      </c>
    </row>
    <row r="104" s="6" customFormat="1" ht="66" hidden="1" customHeight="1" spans="1:25 16337:16353">
      <c r="A104" s="27">
        <v>100</v>
      </c>
      <c r="B104" s="27" t="s">
        <v>410</v>
      </c>
      <c r="C104" s="27" t="s">
        <v>36</v>
      </c>
      <c r="D104" s="29" t="s">
        <v>404</v>
      </c>
      <c r="E104" s="29" t="s">
        <v>405</v>
      </c>
      <c r="F104" s="29" t="s">
        <v>507</v>
      </c>
      <c r="G104" s="29"/>
      <c r="H104" s="29" t="s">
        <v>508</v>
      </c>
      <c r="I104" s="64" t="s">
        <v>509</v>
      </c>
      <c r="J104" s="29" t="s">
        <v>69</v>
      </c>
      <c r="K104" s="30"/>
      <c r="L104" s="61">
        <v>2220000</v>
      </c>
      <c r="M104" s="32">
        <v>0.8</v>
      </c>
      <c r="N104" s="62"/>
      <c r="O104" s="66">
        <v>2220000</v>
      </c>
      <c r="P104" s="33">
        <f t="shared" si="4"/>
        <v>1776000</v>
      </c>
      <c r="Q104" s="66">
        <v>666000</v>
      </c>
      <c r="R104" s="34">
        <f t="shared" si="7"/>
        <v>1554000</v>
      </c>
      <c r="S104" s="34">
        <f t="shared" si="5"/>
        <v>1554000</v>
      </c>
      <c r="T104" s="34"/>
      <c r="U104" s="34">
        <v>1554000</v>
      </c>
      <c r="V104" s="34"/>
      <c r="W104" s="34"/>
      <c r="X104" s="34"/>
      <c r="Y104" s="35">
        <f t="shared" si="6"/>
        <v>1243200</v>
      </c>
    </row>
    <row r="105" s="6" customFormat="1" ht="66" hidden="1" customHeight="1" spans="1:25 16337:16353">
      <c r="A105" s="27">
        <v>101</v>
      </c>
      <c r="B105" s="27" t="s">
        <v>403</v>
      </c>
      <c r="C105" s="27" t="s">
        <v>36</v>
      </c>
      <c r="D105" s="29" t="s">
        <v>404</v>
      </c>
      <c r="E105" s="29" t="s">
        <v>413</v>
      </c>
      <c r="F105" s="44" t="s">
        <v>510</v>
      </c>
      <c r="G105" s="44"/>
      <c r="H105" s="44" t="s">
        <v>511</v>
      </c>
      <c r="I105" s="44" t="s">
        <v>512</v>
      </c>
      <c r="J105" s="29" t="s">
        <v>116</v>
      </c>
      <c r="K105" s="30" t="s">
        <v>42</v>
      </c>
      <c r="L105" s="69">
        <v>6600000</v>
      </c>
      <c r="M105" s="32">
        <v>1</v>
      </c>
      <c r="N105" s="62"/>
      <c r="O105" s="66"/>
      <c r="P105" s="33">
        <f t="shared" si="4"/>
        <v>0</v>
      </c>
      <c r="Q105" s="66">
        <v>1820000</v>
      </c>
      <c r="R105" s="34">
        <f t="shared" si="7"/>
        <v>4780000</v>
      </c>
      <c r="S105" s="34">
        <f t="shared" si="5"/>
        <v>0</v>
      </c>
      <c r="T105" s="34"/>
      <c r="U105" s="34"/>
      <c r="V105" s="34"/>
      <c r="W105" s="34"/>
      <c r="X105" s="34"/>
      <c r="Y105" s="35">
        <f t="shared" si="6"/>
        <v>0</v>
      </c>
    </row>
    <row r="106" s="2" customFormat="1" ht="66" customHeight="1" spans="1:25 16337:16353">
      <c r="A106" s="27">
        <v>102</v>
      </c>
      <c r="B106" s="30"/>
      <c r="C106" s="29" t="s">
        <v>47</v>
      </c>
      <c r="D106" s="29"/>
      <c r="E106" s="29"/>
      <c r="F106" s="29" t="s">
        <v>513</v>
      </c>
      <c r="G106" s="29"/>
      <c r="H106" s="30" t="s">
        <v>514</v>
      </c>
      <c r="I106" s="31"/>
      <c r="J106" s="29" t="s">
        <v>51</v>
      </c>
      <c r="K106" s="30" t="s">
        <v>46</v>
      </c>
      <c r="L106" s="31"/>
      <c r="M106" s="32">
        <v>0.7</v>
      </c>
      <c r="N106" s="34"/>
      <c r="O106" s="34">
        <v>9500000</v>
      </c>
      <c r="P106" s="33">
        <f t="shared" si="4"/>
        <v>6650000</v>
      </c>
      <c r="Q106" s="34"/>
      <c r="R106" s="34"/>
      <c r="S106" s="34">
        <f t="shared" si="5"/>
        <v>0</v>
      </c>
      <c r="T106" s="34"/>
      <c r="U106" s="70"/>
      <c r="V106" s="70"/>
      <c r="W106" s="70"/>
      <c r="X106" s="50"/>
      <c r="Y106" s="35">
        <f t="shared" si="6"/>
        <v>0</v>
      </c>
      <c r="XDI106" s="27"/>
      <c r="XDJ106" s="30"/>
      <c r="XDK106" s="29"/>
      <c r="XDL106" s="29"/>
      <c r="XDM106" s="29"/>
      <c r="XDN106" s="29"/>
      <c r="XDO106" s="29"/>
      <c r="XDP106" s="30"/>
      <c r="XDQ106" s="31"/>
      <c r="XDR106" s="32"/>
      <c r="XDS106" s="31"/>
      <c r="XDT106" s="31"/>
      <c r="XDU106" s="31"/>
      <c r="XDV106" s="31"/>
      <c r="XDW106" s="34"/>
      <c r="XDX106" s="34"/>
      <c r="XDY106" s="34"/>
    </row>
    <row r="107" s="7" customFormat="1" ht="52" customHeight="1" spans="1:25 16337:16353">
      <c r="A107" s="71"/>
      <c r="B107" s="72"/>
      <c r="C107" s="72"/>
      <c r="D107" s="72"/>
      <c r="E107" s="73"/>
      <c r="F107" s="73" t="s">
        <v>515</v>
      </c>
      <c r="G107" s="73"/>
      <c r="H107" s="73"/>
      <c r="I107" s="74"/>
      <c r="J107" s="75"/>
      <c r="K107" s="75"/>
      <c r="L107" s="76">
        <f>SUBTOTAL(9,L5:L105)</f>
        <v>1525654757.37</v>
      </c>
      <c r="M107" s="55"/>
      <c r="N107" s="76">
        <f>SUBTOTAL(9,N5:N106)</f>
        <v>966573065.0662</v>
      </c>
      <c r="O107" s="76">
        <f>SUBTOTAL(9,O5:O106)</f>
        <v>336017363.7899</v>
      </c>
      <c r="P107" s="33">
        <f>SUBTOTAL(9,P5:P106)</f>
        <v>265281469.86289</v>
      </c>
      <c r="Q107" s="76">
        <f>SUBTOTAL(9,Q5:Q105)</f>
        <v>854496949.3</v>
      </c>
      <c r="R107" s="76">
        <f t="shared" ref="R107:Y107" si="8">SUBTOTAL(9,R5:R106)</f>
        <v>671836807.505</v>
      </c>
      <c r="S107" s="76">
        <f t="shared" si="8"/>
        <v>328203838.19</v>
      </c>
      <c r="T107" s="76">
        <f t="shared" si="8"/>
        <v>32336720</v>
      </c>
      <c r="U107" s="76">
        <f t="shared" si="8"/>
        <v>84129691</v>
      </c>
      <c r="V107" s="76">
        <f t="shared" si="8"/>
        <v>79740058.52</v>
      </c>
      <c r="W107" s="76">
        <f t="shared" si="8"/>
        <v>70942825.17</v>
      </c>
      <c r="X107" s="76">
        <f t="shared" si="8"/>
        <v>61054543.5</v>
      </c>
      <c r="Y107" s="77">
        <f t="shared" si="8"/>
        <v>264055451.033</v>
      </c>
    </row>
    <row r="115" spans="8:23">
      <c r="P115" s="10">
        <v>2444445.00111</v>
      </c>
    </row>
    <row r="116" spans="8:23">
      <c r="T116">
        <v>84129691</v>
      </c>
      <c r="U116">
        <f>T116*0.7</f>
        <v>58890783.7</v>
      </c>
    </row>
    <row r="117" spans="8:23">
      <c r="H117"/>
      <c r="U117">
        <f>T116-U116</f>
        <v>25238907.3</v>
      </c>
    </row>
    <row r="119" spans="8:23">
      <c r="W119">
        <v>10000</v>
      </c>
    </row>
    <row r="122" spans="8:23">
      <c r="T122" s="10" t="s">
        <v>398</v>
      </c>
      <c r="U122" s="10" t="s">
        <v>399</v>
      </c>
    </row>
    <row r="123" spans="8:23">
      <c r="K123" t="s">
        <v>516</v>
      </c>
      <c r="P123" s="10">
        <f>SUM(P107,P115)</f>
        <v>267725914.864</v>
      </c>
      <c r="T123" s="78">
        <v>5889.07837</v>
      </c>
      <c r="U123" s="78">
        <v>5581.8040964</v>
      </c>
    </row>
    <row r="124" spans="8:23">
      <c r="K124" t="s">
        <v>517</v>
      </c>
      <c r="T124" s="78">
        <v>2523.89073</v>
      </c>
      <c r="U124" s="78">
        <v>2392.2017556</v>
      </c>
    </row>
  </sheetData>
  <sheetProtection formatCells="0" insertHyperlinks="0" autoFilter="0"/>
  <autoFilter xmlns:etc="http://www.wps.cn/officeDocument/2017/etCustomData" ref="A4:XDY106" etc:filterBottomFollowUsedRange="0">
    <filterColumn colId="2">
      <customFilters>
        <customFilter operator="equal" val="掘进机"/>
      </customFilters>
    </filterColumn>
    <extLst/>
  </autoFilter>
  <mergeCells count="35">
    <mergeCell ref="A1:X1"/>
    <mergeCell ref="N2:P2"/>
    <mergeCell ref="F107:H107"/>
    <mergeCell ref="A2:A4"/>
    <mergeCell ref="B2:B4"/>
    <mergeCell ref="C2:C4"/>
    <mergeCell ref="D2:D4"/>
    <mergeCell ref="E2:E4"/>
    <mergeCell ref="F2:F4"/>
    <mergeCell ref="G2:G4"/>
    <mergeCell ref="G5:G9"/>
    <mergeCell ref="G10:G16"/>
    <mergeCell ref="G17:G18"/>
    <mergeCell ref="G19:G25"/>
    <mergeCell ref="G26:G30"/>
    <mergeCell ref="G31:G36"/>
    <mergeCell ref="G37:G44"/>
    <mergeCell ref="G45:G48"/>
    <mergeCell ref="G49:G52"/>
    <mergeCell ref="G53:G57"/>
    <mergeCell ref="G58:G59"/>
    <mergeCell ref="G60:G61"/>
    <mergeCell ref="G63:G105"/>
    <mergeCell ref="H2:H4"/>
    <mergeCell ref="I2:I4"/>
    <mergeCell ref="J2:J4"/>
    <mergeCell ref="K2:K4"/>
    <mergeCell ref="L2:L4"/>
    <mergeCell ref="M2:M4"/>
    <mergeCell ref="N3:N4"/>
    <mergeCell ref="O3:O4"/>
    <mergeCell ref="P3:P4"/>
    <mergeCell ref="Q2:Q4"/>
    <mergeCell ref="R2:R4"/>
    <mergeCell ref="S2:Y3"/>
  </mergeCells>
  <pageMargins left="0.75" right="0.75" top="1" bottom="1" header="0.5" footer="0.5"/>
  <pageSetup paperSize="9" scale="1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在手合同台账（主办）</vt:lpstr>
      <vt:lpstr>在手合同台账（协办)</vt:lpstr>
      <vt:lpstr>Sheet2</vt:lpstr>
      <vt:lpstr>Sheet1</vt:lpstr>
      <vt:lpstr>在手合同台账 (主办项目)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刘柯2[E3]</dc:creator>
  <cp:lastModifiedBy>刘柯</cp:lastModifiedBy>
  <dcterms:created xsi:type="dcterms:W3CDTF">2022-05-10T01:15:00Z</dcterms:created>
  <dcterms:modified xsi:type="dcterms:W3CDTF">2026-04-13T08:27:47Z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3EAAECD2623A4FF6B08847578A0A76F7_13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