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50" tabRatio="747" firstSheet="3" activeTab="1"/>
  </bookViews>
  <sheets>
    <sheet name="新签" sheetId="3" r:id="rId1"/>
    <sheet name="收入" sheetId="1" r:id="rId2"/>
    <sheet name="Sheet1" sheetId="10" state="hidden" r:id="rId3"/>
    <sheet name="回款" sheetId="2" r:id="rId4"/>
    <sheet name="业绩台账" sheetId="4" r:id="rId5"/>
    <sheet name="新签分类占比" sheetId="28" state="hidden" r:id="rId6"/>
    <sheet name="Sheet10" sheetId="27" state="hidden" r:id="rId7"/>
    <sheet name="Sheet8" sheetId="26" state="hidden" r:id="rId8"/>
    <sheet name="Sheet5" sheetId="25" state="hidden" r:id="rId9"/>
    <sheet name="Sheet9" sheetId="24" state="hidden" r:id="rId10"/>
    <sheet name="业绩台账 （月报)" sheetId="15" state="hidden" r:id="rId11"/>
    <sheet name="Sheet6" sheetId="19" state="hidden" r:id="rId12"/>
    <sheet name="Sheet4" sheetId="21" state="hidden" r:id="rId13"/>
    <sheet name="Sheet2" sheetId="20" state="hidden" r:id="rId14"/>
    <sheet name="Sheet3" sheetId="12" state="hidden" r:id="rId15"/>
    <sheet name="Sheet7" sheetId="13" state="hidden" r:id="rId16"/>
    <sheet name="业绩台账 (4)" sheetId="8" state="hidden" r:id="rId17"/>
  </sheets>
  <externalReferences>
    <externalReference r:id="rId24"/>
    <externalReference r:id="rId25"/>
  </externalReferences>
  <definedNames>
    <definedName name="_xlnm._FilterDatabase" localSheetId="0" hidden="1">新签!$A$2:$AN$41</definedName>
    <definedName name="_xlnm._FilterDatabase" localSheetId="1" hidden="1">收入!$A$3:$Z$92</definedName>
    <definedName name="_xlnm._FilterDatabase" localSheetId="3" hidden="1">回款!$A$3:$AD$63</definedName>
    <definedName name="_xlnm._FilterDatabase" localSheetId="4" hidden="1">业绩台账!$A$3:$AD$20</definedName>
    <definedName name="_xlnm._FilterDatabase" localSheetId="10" hidden="1">'业绩台账 （月报)'!$A$3:$AC$31</definedName>
    <definedName name="_xlnm._FilterDatabase" localSheetId="16" hidden="1">'业绩台账 (4)'!$A$3:$Q$31</definedName>
  </definedNames>
  <calcPr calcId="191029" concurrentCalc="0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<sst xmlns="http://schemas.openxmlformats.org/spreadsheetml/2006/main" count="2155" uniqueCount="415">
  <si>
    <t>序号</t>
  </si>
  <si>
    <t>产品线类型</t>
  </si>
  <si>
    <t>项目名称</t>
  </si>
  <si>
    <t>合同编号</t>
  </si>
  <si>
    <t>客户名称</t>
  </si>
  <si>
    <t>客户类别</t>
  </si>
  <si>
    <t>产品名称</t>
  </si>
  <si>
    <t>行业</t>
  </si>
  <si>
    <t>三新类别</t>
  </si>
  <si>
    <t>风险等级</t>
  </si>
  <si>
    <t>产品数量</t>
  </si>
  <si>
    <t>合同金额</t>
  </si>
  <si>
    <t>产品名称和数量</t>
  </si>
  <si>
    <t>合同签订日期</t>
  </si>
  <si>
    <t>生产工号</t>
  </si>
  <si>
    <t>承揽主办方</t>
  </si>
  <si>
    <t>承揽协办方</t>
  </si>
  <si>
    <t>执行协办方2</t>
  </si>
  <si>
    <t>执行主办方指标分割比例</t>
  </si>
  <si>
    <t>执行协办方1指标分割比例</t>
  </si>
  <si>
    <t>执行协办方2指标分割比例</t>
  </si>
  <si>
    <t>执行主办方指标分割金额</t>
  </si>
  <si>
    <t>执行协办方1指标分割金额</t>
  </si>
  <si>
    <t>执行协办方2指标分割金额</t>
  </si>
  <si>
    <t>归属华东金额</t>
  </si>
  <si>
    <t>部门业绩分配</t>
  </si>
  <si>
    <t>责任人</t>
  </si>
  <si>
    <t>比例</t>
  </si>
  <si>
    <t>金额</t>
  </si>
  <si>
    <t>特装</t>
  </si>
  <si>
    <t>十一局四公司温福铁路搅拌站采购合同</t>
  </si>
  <si>
    <t>C2000010001100004011002025019</t>
  </si>
  <si>
    <t>中铁十一局集团第四工程有限公司</t>
  </si>
  <si>
    <t>系统内</t>
  </si>
  <si>
    <t>华中区域</t>
  </si>
  <si>
    <t>华东区域</t>
  </si>
  <si>
    <t>袁志凌</t>
  </si>
  <si>
    <t>掘进机</t>
  </si>
  <si>
    <t>中铁二十四局DZ609维修改造合同</t>
  </si>
  <si>
    <t>GDGSDG-QT-2025-001（DZ609）</t>
  </si>
  <si>
    <t>中铁二十四局集团有限公司</t>
  </si>
  <si>
    <t>赵宇瑄</t>
  </si>
  <si>
    <t>穆华清</t>
  </si>
  <si>
    <t>中铁二十四局常州地铁5号线DZ213盾构机再制造合同</t>
  </si>
  <si>
    <t>GDGSDG-QT-2025-001（DZ213）</t>
  </si>
  <si>
    <t>十一局一公司温福铁路凿岩、锚杆台车等采购合同</t>
  </si>
  <si>
    <t>中铁十一局集团第一工程有限公司</t>
  </si>
  <si>
    <t>杨志胜</t>
  </si>
  <si>
    <t>上海市机械施工集团上海市轨道交通19号线2台ZTE6760采购合同</t>
  </si>
  <si>
    <t>上海市机械施工集团有限公司</t>
  </si>
  <si>
    <t>系统外</t>
  </si>
  <si>
    <t>中铁二十四局福建公司温福铁路1批特种装备采购合同</t>
  </si>
  <si>
    <t>CR24FJ-SBCG-2026-01、CR24FJ-SBCG-2026-02</t>
  </si>
  <si>
    <t>中铁二十四局集团福建铁路建设有限公司</t>
  </si>
  <si>
    <t>周斌</t>
  </si>
  <si>
    <t>陈浩</t>
  </si>
  <si>
    <t>十一局一公司温福铁路搅拌站采购合同</t>
  </si>
  <si>
    <t>中铁十九局华东公司宜常高铁项目2台HZS180采购合同</t>
  </si>
  <si>
    <t>CRCHI-XS-2026-001</t>
  </si>
  <si>
    <t>中铁十九局集团华东工程有限公司</t>
  </si>
  <si>
    <t>万赛</t>
  </si>
  <si>
    <t>十八局隧道工程扩大杭嘉湖南排连续皮带机设备采购合同</t>
  </si>
  <si>
    <t>11-QT-2026-装备中心-11-001、11-SHB-2026-装备中心-11-002</t>
  </si>
  <si>
    <t>中铁十八局集团隧道工程有限公司</t>
  </si>
  <si>
    <t>西南区域</t>
  </si>
  <si>
    <t>刘新峥</t>
  </si>
  <si>
    <t>唐作栋</t>
  </si>
  <si>
    <t>十六局集团杭州轨道15号线DZ151&amp;DZ153维修改造合同</t>
  </si>
  <si>
    <t>ZT16J-HZDTSG15-13-DGJWXGZ-02</t>
  </si>
  <si>
    <t>中铁十六局集团有限公司</t>
  </si>
  <si>
    <t>华北区域</t>
  </si>
  <si>
    <t>二十局集团长赣铁路湿喷台车设备采购合同</t>
  </si>
  <si>
    <t>CR2005-长赣物设-SC-25-007</t>
  </si>
  <si>
    <t>中铁二十局集团第五工程有限公司</t>
  </si>
  <si>
    <t>DN5200mm盾构机备品备件材料采购合同</t>
  </si>
  <si>
    <t>配件</t>
  </si>
  <si>
    <t>中铁十一局青浦分公司DZ852有偿服务合同</t>
  </si>
  <si>
    <t>宏润建设集团股份有限公司采购合同</t>
  </si>
  <si>
    <t>上海通盛山水能源有限责任公司有偿服务合同</t>
  </si>
  <si>
    <t>中铁十一局甬舟铁路项目DZ1396盾构机技术服务合同</t>
  </si>
  <si>
    <t>T11-2024-JSFW-YZTL3GQ-001</t>
  </si>
  <si>
    <t>上海地铁盾构设备工程有限公司年度合同</t>
  </si>
  <si>
    <t>D25-137F-S00-065</t>
  </si>
  <si>
    <t>中铁十二局浙江区域盾构机配件采购（虚拟）合同</t>
  </si>
  <si>
    <t>中铁十六局城西南排项目配件采购（虚拟）合同</t>
  </si>
  <si>
    <t>上海渠顺贸易有限公司配件合同</t>
  </si>
  <si>
    <t>中铁十六局集团杭州至德清市域铁路土建施工I标段三工区项目有偿技术服务合同</t>
  </si>
  <si>
    <t>ZT16J-HDSYTL-DGJSFW-01</t>
  </si>
  <si>
    <t>上海城建市政工程（集团）有限公司备品备件采购合同</t>
  </si>
  <si>
    <t>CRCHI-PJCG-1204</t>
  </si>
  <si>
    <t>中国铁建港航局集团温福高铁3台HZS180K采购合同</t>
  </si>
  <si>
    <t>GH-温福高铁-SBCG-20251217-001</t>
  </si>
  <si>
    <t>中国铁建港航局集团有限公司</t>
  </si>
  <si>
    <t>搅拌站-3</t>
  </si>
  <si>
    <t>中铁建大桥局五公司长赣铁路项目钻锚注一体机采购合同</t>
  </si>
  <si>
    <t>CGJX10-2-JXSBCG-2026-07</t>
  </si>
  <si>
    <t>中铁建大桥局五公司</t>
  </si>
  <si>
    <t>钻锚注一体机-1</t>
  </si>
  <si>
    <t>中铁十四局隧道公司长赣铁路隧道施工大机设备采购合同补充协议</t>
  </si>
  <si>
    <t>ZTSSJ-SDGS-SB-2025-1211-补1</t>
  </si>
  <si>
    <t>中铁十四局集团隧道工程有限公司</t>
  </si>
  <si>
    <t>特种装备</t>
  </si>
  <si>
    <t>中原区域</t>
  </si>
  <si>
    <t>上海市基础工程集团有限公司DZ851维修改造合同</t>
  </si>
  <si>
    <t>SFEG(2025)五工-F029</t>
  </si>
  <si>
    <t>上海市基础工程集团有限公司</t>
  </si>
  <si>
    <t>盾构机-1</t>
  </si>
  <si>
    <t>上海市基础工程集团有限公司DZ851主驱动维修合同</t>
  </si>
  <si>
    <t>SFEG(2025)五工-F027</t>
  </si>
  <si>
    <t>中铁十九局华东公司宜涪铁路1台MT141&amp;3台SCD133A采购合同</t>
  </si>
  <si>
    <t>CRCHI-XS-2025-055、CRCHI-XS-2025-056</t>
  </si>
  <si>
    <t>中铁十一局集团有限公司上海青浦分公司设备配件购销合同</t>
  </si>
  <si>
    <t>2025-SHSFQX16B-PJCG-022</t>
  </si>
  <si>
    <t>国能e购商城内蒙古公司2024年度集团级铁建重工掘锚机配件单一来源铺货采购协议</t>
  </si>
  <si>
    <t>CRCHI-KSPJ-2025-021301</t>
  </si>
  <si>
    <t>十一局一公司温福铁路凿岩、锚杆台车等采购合同（合并重签）</t>
  </si>
  <si>
    <t>C2000010001100001011002026008（合并2）</t>
  </si>
  <si>
    <t>甬舟公路复线二期</t>
  </si>
  <si>
    <t>CRCC1417-DGJZZZ-DZ666-2026-01</t>
  </si>
  <si>
    <t>中铁十四局集团装备有限公司</t>
  </si>
  <si>
    <t>沈腾飞</t>
  </si>
  <si>
    <t>中铁十一局一公司温福铁路凿岩台车、拱架安装台车、湿喷机械手采购合同(第二批)</t>
  </si>
  <si>
    <t>C2000010001100001011002026013</t>
  </si>
  <si>
    <t>特装装备</t>
  </si>
  <si>
    <t>上海城建市政工程（集团）有限公司泰和污水处理厂扩建工程1台ZTJ13000租赁合同</t>
  </si>
  <si>
    <t>CRCHI-GZ-2023-001、2024-ZLPS-000088</t>
  </si>
  <si>
    <t>2026年华东区域指挥部收入明细表</t>
  </si>
  <si>
    <t>确认收入月日</t>
  </si>
  <si>
    <t>销售收入金额（不含税）</t>
  </si>
  <si>
    <t>执行主办方</t>
  </si>
  <si>
    <t>执行协办方</t>
  </si>
  <si>
    <t>上海地铁盾构设备工程有限公司</t>
  </si>
  <si>
    <t>上海地铁盾构设备工程公司上海市轨道交通崇明线一期工程2台盾构机租赁合同</t>
  </si>
  <si>
    <t>D24-022F-T00-005</t>
  </si>
  <si>
    <t>中铁二十四局上海东站项目2台ZTE6830租赁合同</t>
  </si>
  <si>
    <t>SHDZ-2025-DZ-001</t>
  </si>
  <si>
    <t>中铁二十局集团有限公司</t>
  </si>
  <si>
    <t>二十局集团长赣高铁湿喷台车购销合同</t>
  </si>
  <si>
    <t>ZT2003CGWS20250004</t>
  </si>
  <si>
    <t>浙江物产工程技术服务有限公司</t>
  </si>
  <si>
    <t>浙江物产工程技术服务有限公司DZ620维修、整机联调合同</t>
  </si>
  <si>
    <t>WCGF-DZ620-04-WXLT</t>
  </si>
  <si>
    <t>华南区域</t>
  </si>
  <si>
    <t>上海市基础工程集团有限公司上海机场联络线</t>
  </si>
  <si>
    <t>上海市基础工程集团有限公司泥水平衡隧道掘进机销售合同</t>
  </si>
  <si>
    <t>SFEG（2024）设材-C004【SFEG（2023）五工092-D001（0613-224023070012）】</t>
  </si>
  <si>
    <t>中铁十一局集团有限公司城市建设分公司甬舟铁路YZSG-3工区一分部项目经理部</t>
  </si>
  <si>
    <t>浙江物产工程技术服务有限公司长春地铁9号线2台ZTE7150租赁合同</t>
  </si>
  <si>
    <t>CRCHI-GZ-2023-013</t>
  </si>
  <si>
    <t>东北区域</t>
  </si>
  <si>
    <t>关于“中铁十六局集团上海嘉闵线土压平衡盾构机租赁合同”的审批申请</t>
  </si>
  <si>
    <t>CRCC-16J-JMWZ-2024-008</t>
  </si>
  <si>
    <t>11局甬舟铁路项目DZ1396盾构机配件第八批采购合同</t>
  </si>
  <si>
    <t>T11-2025-PJ-YZTL3GQ-087</t>
  </si>
  <si>
    <t>中铁十一局集团城市轨道工程有限公司</t>
  </si>
  <si>
    <t>中铁十一局杭州城轨交通SG18-8标2台ZTE7150租赁合同</t>
  </si>
  <si>
    <t>CRCHI-GZ-2025-002（客户编号T11CG-HZ1808-2025-ZL-11）</t>
  </si>
  <si>
    <t>中铁十六局集团有限公司杭州至德清市域铁路土建施工I标段三工区项目部</t>
  </si>
  <si>
    <t>上海市基础工程集团有限公司机场联络线DZ851/852第2批备品备件购销合同</t>
  </si>
  <si>
    <t>SFEG（2022）五工088-C001</t>
  </si>
  <si>
    <t>宏润建设集团股份有限公司</t>
  </si>
  <si>
    <t>中铁十一局集团有限公司</t>
  </si>
  <si>
    <t>中铁十一局杭州市城市轨道交通18号线1台ZTE7150租赁合同</t>
  </si>
  <si>
    <t>T11CG-HZ18HX13-2025-ZL-001</t>
  </si>
  <si>
    <t>上海基础赊销物料发货合同</t>
  </si>
  <si>
    <t>PJXS20220806</t>
  </si>
  <si>
    <t>中铁十五局集团有限公司杭州机场高铁站前4标项目经理部盾尾油脂采购合同</t>
  </si>
  <si>
    <t>上海基础减速机销售合同</t>
  </si>
  <si>
    <t>CRCHI-2024-PJXS1</t>
  </si>
  <si>
    <t>中铁十四局集团第四工程有限公司温玉项目390元销售配件</t>
  </si>
  <si>
    <t>中国铁建大桥工程局集团有限公司</t>
  </si>
  <si>
    <t>中铁建大桥局温福铁路2台ZYS113&amp;2台MT141采购合同</t>
  </si>
  <si>
    <t>DQJHF04-SDDJCG-202501（温福）</t>
  </si>
  <si>
    <t>中铁十四局集团第二工程有限公司</t>
  </si>
  <si>
    <t>中铁十四局二公司长赣铁路1批特种装备采购合同</t>
  </si>
  <si>
    <t>1402-SW-25021</t>
  </si>
  <si>
    <t>中铁十四局隧道公司长赣铁路1批特种装备采购合同</t>
  </si>
  <si>
    <t>ZTSSJ-SDGS-SB-2025-1211</t>
  </si>
  <si>
    <t>中铁十二局集团第三工程有限公司</t>
  </si>
  <si>
    <t>中铁十二局长赣高铁8标1台SCD133B&amp;2台MT141采购合同</t>
  </si>
  <si>
    <t>CG0803-DJ-001</t>
  </si>
  <si>
    <t>中铁十二局集团有限公司</t>
  </si>
  <si>
    <t>十二局长赣高铁特装设备采购合同</t>
  </si>
  <si>
    <t>ZT12-CGJXZQ8-001、002、003、006、007、008</t>
  </si>
  <si>
    <t>西北区域</t>
  </si>
  <si>
    <t>ZT12-CGJXZQ8-004、005、009</t>
  </si>
  <si>
    <t>中铁十六局集团第三工程有限公司</t>
  </si>
  <si>
    <t>中铁十六局杭淳开高速公路项目2套HZS180采购合同</t>
  </si>
  <si>
    <t>ZT163HSB-SBCG-20251113</t>
  </si>
  <si>
    <t>中铁十九局华东公司宜涪铁路1批特种装备采购合同</t>
  </si>
  <si>
    <t>CRCHI-XS-2025-045、046、047、048</t>
  </si>
  <si>
    <t>中铁十八局隧道公司江西上栗抽蓄项目DZ534TBM维修改造合同</t>
  </si>
  <si>
    <t>11-QT-2024-流源水库-0-006</t>
  </si>
  <si>
    <t>上海城建市政（集团）有限公司泰和污水调蓄池项目</t>
  </si>
  <si>
    <t>上海城建市政工程（集团）有限公司合流污水一期复线工程盾构设备租赁合同</t>
  </si>
  <si>
    <t>（2025-ZLPS-000088）-号</t>
  </si>
  <si>
    <t>十六局杭州地铁15号线机械设备维修改造合同</t>
  </si>
  <si>
    <t>ZT16J-HZDTSG15-13-DGJWXGZ-01</t>
  </si>
  <si>
    <t>中铁十二局集团有限公司杭州地铁12号线一期工程土建施工SG12-2标段项目经理部</t>
  </si>
  <si>
    <t>十二局杭州地铁12号线DZ659、DZ660盾构机维修改造合同</t>
  </si>
  <si>
    <t>ZT12-4HZDT12-02</t>
  </si>
  <si>
    <t>中铁二十二局集团有限公司轨道交通工程分公司台州市域铁路S2线土建施工2标段项目部</t>
  </si>
  <si>
    <t>二十二局轨道交通台州S2线盾构机维修改造合同</t>
  </si>
  <si>
    <t>CR22GD-GD-TZSYTL-SBWX-2025-002</t>
  </si>
  <si>
    <t>中国铁建大桥工程局集团有限公司成都分公司设备材料租赁中心</t>
  </si>
  <si>
    <t>中玮莆禧（福建）建设有限公司</t>
  </si>
  <si>
    <t>中玮莆禧（福建）建设有限公司金门供水保障工程1台顶盾机采购合同</t>
  </si>
  <si>
    <t>CRCHI-XS-2025-004（变更前CRCHI-XS-2023-056）</t>
  </si>
  <si>
    <t>上海市基础工程集团有限公司上海浦东机场三期项目</t>
  </si>
  <si>
    <t>上海市基础工程集团有限公司桃浦污水处理厂初期雨水调蓄工程TP1.2标</t>
  </si>
  <si>
    <t>上海市基础工程集团有限公司4套沉井式压沉设备租赁合同</t>
  </si>
  <si>
    <t>SFEG（2023）二工162-D002（变更后编号：SFEG(2026)二工-C001）</t>
  </si>
  <si>
    <t>中铁十四局集团大盾构工程有限公司</t>
  </si>
  <si>
    <t>中铁十四局大盾构公司合流污水一期复线工程1台ZTE6050租赁合同</t>
  </si>
  <si>
    <t>1412-SHHL-SBZL-2025-001</t>
  </si>
  <si>
    <t>十六局浙江公司</t>
  </si>
  <si>
    <t>铁建金租&amp;铁建重工&amp;十六局浙江三澳二期排水隧洞工程2台ZTS6250采购合同（重签做融资租赁）</t>
  </si>
  <si>
    <t>CRCCFL-1-JY-2025-048-02</t>
  </si>
  <si>
    <t>\</t>
  </si>
  <si>
    <t>求和项:归属华东金额</t>
  </si>
  <si>
    <t>2025-01-13</t>
  </si>
  <si>
    <t>2025-01-15</t>
  </si>
  <si>
    <t>2025-01-18</t>
  </si>
  <si>
    <t>2025-01-19</t>
  </si>
  <si>
    <t>(空白)</t>
  </si>
  <si>
    <t>总计</t>
  </si>
  <si>
    <t>2026年华东区域指挥部回款明细表</t>
  </si>
  <si>
    <t>回款月日</t>
  </si>
  <si>
    <t>是否是逾期回款</t>
  </si>
  <si>
    <t>回款金额</t>
  </si>
  <si>
    <t>责任人1</t>
  </si>
  <si>
    <t>责任人2</t>
  </si>
  <si>
    <t>责任人3</t>
  </si>
  <si>
    <t>责任人4</t>
  </si>
  <si>
    <t>中铁十五局集团有限公司</t>
  </si>
  <si>
    <t>中铁十五局彭泽廊道项目散料运输设备购销合同</t>
  </si>
  <si>
    <t>CR15G2C-TL（房建、市政）彭泽廊道项目-SBCG-2025-001</t>
  </si>
  <si>
    <t>中铁十五局集团城市轨道交通工程有限公司</t>
  </si>
  <si>
    <t>关于“中铁十五局城市轨道交通工程公司杭州机场高铁搅拌站采购合同”的审批申请</t>
  </si>
  <si>
    <t>是</t>
  </si>
  <si>
    <t>CR15-HZJCGT4-JD-202301-(1F)</t>
  </si>
  <si>
    <t>DN5200盾构机备品备件材料采购</t>
  </si>
  <si>
    <t>SFEG(2024)二工154-C009</t>
  </si>
  <si>
    <t>中铁十四局集团有限公司</t>
  </si>
  <si>
    <t>关于“中铁十四局萧山机场铁路搅拌站采购合同”的审批申请</t>
  </si>
  <si>
    <t>SBCGHT-HZXSJC-00008、ZZCLCGHT-HZXSJC-00002</t>
  </si>
  <si>
    <t>浙江物产工程技术服务有限公司深圳地铁15号线DZ619/621维修改造合同</t>
  </si>
  <si>
    <t>WCGF-DZ619/DZ621-04-WXLTGZ</t>
  </si>
  <si>
    <t>十八局隧道镜岭水库皮带机采购合同</t>
  </si>
  <si>
    <t>11-SHB-2025-隧道公司-11-010</t>
  </si>
  <si>
    <t>中交路桥南方工程有限公司</t>
  </si>
  <si>
    <t>中交路桥南方公司长赣铁路凿岩台车改造修理合同</t>
  </si>
  <si>
    <t>LJNFNF-PJ2021018413-069925006</t>
  </si>
  <si>
    <t>回款虚拟合同池-华东区域</t>
  </si>
  <si>
    <t>3250*</t>
  </si>
  <si>
    <t>上海市基础工程集团有限公司DL1207&amp;DL1208改造合同</t>
  </si>
  <si>
    <t>SFEG（2024）设材-F001</t>
  </si>
  <si>
    <t>中铁十八局集团有限公司</t>
  </si>
  <si>
    <t>关于“中铁十八局集团有限公司杭州地铁10号线盾构设备租赁合同”的审批申请</t>
  </si>
  <si>
    <t>12-SHBZ-2024-杭州地铁1032-12-002</t>
  </si>
  <si>
    <t>中铁十二局集团第四工程有限公司</t>
  </si>
  <si>
    <t>中铁十二局四公司DZ407/DZ408盾构机刀盘改造合同</t>
  </si>
  <si>
    <t>ZT12-HZDTDG-SB012</t>
  </si>
  <si>
    <t>上海市机械施工集团有限公司1台ZTJ18000采购合同</t>
  </si>
  <si>
    <t>上海市基础工程集团有限公司9m土压掘进机采购合同</t>
  </si>
  <si>
    <t>SFEG（2022）设材-C001</t>
  </si>
  <si>
    <t>中铁二十二局集团轨道工程有限公司</t>
  </si>
  <si>
    <t>中铁天瑞杭州18号线盾构设备租赁合同</t>
  </si>
  <si>
    <t>CR22TR-SBZLCG-HW-2025-001</t>
  </si>
  <si>
    <t>中铁十五局集团有限公司杭州机场高铁站前4标项目经理部</t>
  </si>
  <si>
    <t>中铁十五局集团有限公司杭州机场高铁站前4标项目经理部加强型密封刷采购合同</t>
  </si>
  <si>
    <t>CR15-HZJCGT4-JD-2024022(1F)</t>
  </si>
  <si>
    <t>通用个人客户</t>
  </si>
  <si>
    <t>中建海峡建设发展有限公司</t>
  </si>
  <si>
    <t>中建海峡建设发展有限公司租赁合同</t>
  </si>
  <si>
    <t>107003021【2017】55SZ83-07</t>
  </si>
  <si>
    <t>上海市基础工程集团上海市轨道交通项目2台ZTE6760采购合同</t>
  </si>
  <si>
    <t>SFEG（2024）设材-C003</t>
  </si>
  <si>
    <t>中铁十六局集团地铁工程有限公司</t>
  </si>
  <si>
    <t>中铁十六局地铁公司厦工中铁243/244号盾构机维修合同</t>
  </si>
  <si>
    <t>CRCC-16J-DGJWXHT-202303-8（CRCHI-WXGZ-2022-009）</t>
  </si>
  <si>
    <t>上海地铁盾构设备工程有限公司盾构机部件购销合同</t>
  </si>
  <si>
    <t>CRCHI-XS-2021-028</t>
  </si>
  <si>
    <t>中铁十一局集团有限公司第四分公司</t>
  </si>
  <si>
    <t>十一局四公司甬舟铁路凿岩台车、多功能钻机采购合同</t>
  </si>
  <si>
    <t>C2000010001100004011002025006</t>
  </si>
  <si>
    <t>中铁二十局福州港口后方铁路项目砂石骨料加工设备采购合同</t>
  </si>
  <si>
    <t>CR2006-港后-SC-25-010</t>
  </si>
  <si>
    <t>中铁十九局华东公司汉宜高速项目2台HZS180采购合同</t>
  </si>
  <si>
    <t>CRCHI-XS-2025-032</t>
  </si>
  <si>
    <t>宁波市轨道永盈供应链有限公司</t>
  </si>
  <si>
    <t>中铁建大桥局二公司DZ426/DZ427盾构机再制造合同</t>
  </si>
  <si>
    <t>GYL-CDG-25002（变更前SZSZ—TJZG-2024-001）</t>
  </si>
  <si>
    <t>T11CG-HZ18HX13-2025-ZL-002</t>
  </si>
  <si>
    <t>费县鑫垒建筑工程有限公司</t>
  </si>
  <si>
    <t>关于“中铁十二局四公司盾构分公司杭州地铁12号线DZ038、DZ039盾构机维修改造合同”的审批申请</t>
  </si>
  <si>
    <t>ZT12-4HZDT12-01</t>
  </si>
  <si>
    <t>中交第三公路工程局有限公司滨海快线（福州至长乐机场城际铁路工程）第 3 标段 4 工区项目经理部</t>
  </si>
  <si>
    <t>中交三公局皮带机租赁合同</t>
  </si>
  <si>
    <t>ZCB-BHKX3-04-JX-03-2021</t>
  </si>
  <si>
    <t>上海渠顺贸易有限公司</t>
  </si>
  <si>
    <t>上海渠顺贸易有限公司配件采购项目</t>
  </si>
  <si>
    <t>中铁十八局集团隧道公司</t>
  </si>
  <si>
    <t>扩大杭嘉湖南排后续西部通道（南北段）工程（南段）TBM</t>
  </si>
  <si>
    <t>11-SHB-2024-城西南排-11-001</t>
  </si>
  <si>
    <t>扩大杭嘉湖南排后续西部通道（南北段）工程（南段）皮带机</t>
  </si>
  <si>
    <r>
      <rPr>
        <sz val="10"/>
        <rFont val="宋体"/>
        <charset val="134"/>
      </rPr>
      <t>11-SHB-2026-</t>
    </r>
    <r>
      <rPr>
        <sz val="10"/>
        <color rgb="FF000000"/>
        <rFont val="宋体"/>
        <charset val="134"/>
      </rPr>
      <t>装备中心</t>
    </r>
    <r>
      <rPr>
        <sz val="10"/>
        <color rgb="FF000000"/>
        <rFont val="Arial"/>
        <charset val="134"/>
      </rPr>
      <t>-11-002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Arial"/>
        <charset val="134"/>
      </rPr>
      <t>11-QT-2026-</t>
    </r>
    <r>
      <rPr>
        <sz val="10"/>
        <color rgb="FF000000"/>
        <rFont val="宋体"/>
        <charset val="134"/>
      </rPr>
      <t>装备中心</t>
    </r>
    <r>
      <rPr>
        <sz val="10"/>
        <color rgb="FF000000"/>
        <rFont val="Arial"/>
        <charset val="134"/>
      </rPr>
      <t>-11-001</t>
    </r>
  </si>
  <si>
    <t>中玮莆禧(福建)建设有限公司</t>
  </si>
  <si>
    <t>泉州南高干渠N1标</t>
  </si>
  <si>
    <t>CRCHI-XS-2025-0047</t>
  </si>
  <si>
    <t>中铁二十二局集团有限公司台州市域铁路S2线土建施工2标段项目部</t>
  </si>
  <si>
    <t>中铁二十二局集团有限公司台州市域铁路S2线盾构机再制造</t>
  </si>
  <si>
    <t>中铁十六局集团轨道交通公司本部</t>
  </si>
  <si>
    <t>杭州地铁15号线项目</t>
  </si>
  <si>
    <t>中国铁建港航局集团320国道项目1台HZS180K采购合同</t>
  </si>
  <si>
    <t>GH-02-SBHT-202501-03</t>
  </si>
  <si>
    <t>中铁十五局集团第二工程有限公司</t>
  </si>
  <si>
    <t>中吉乌铁路1批特种装备</t>
  </si>
  <si>
    <t>CR15G2C-SBCG-2025-17</t>
  </si>
  <si>
    <t>海外区域</t>
  </si>
  <si>
    <t>10000</t>
  </si>
  <si>
    <t>华东区域指挥部经营人员指标完成情况</t>
  </si>
  <si>
    <t>单位：万元</t>
  </si>
  <si>
    <t>排序</t>
  </si>
  <si>
    <t>省市</t>
  </si>
  <si>
    <t>经营小组</t>
  </si>
  <si>
    <t>姓名</t>
  </si>
  <si>
    <t>本周新签</t>
  </si>
  <si>
    <t>近两周新签</t>
  </si>
  <si>
    <t>本月新签</t>
  </si>
  <si>
    <t>累计新签</t>
  </si>
  <si>
    <t>新签目标</t>
  </si>
  <si>
    <t>新签目标完成率</t>
  </si>
  <si>
    <t>2025年同期新签</t>
  </si>
  <si>
    <t>新签同比增长率</t>
  </si>
  <si>
    <t>本周营收</t>
  </si>
  <si>
    <t>近两周营收</t>
  </si>
  <si>
    <t>本月营收</t>
  </si>
  <si>
    <t>累计营收</t>
  </si>
  <si>
    <t>营收目标</t>
  </si>
  <si>
    <t>营收目标完成率</t>
  </si>
  <si>
    <t>2025年同期营收</t>
  </si>
  <si>
    <t>营收同比增长率</t>
  </si>
  <si>
    <t>本周回款</t>
  </si>
  <si>
    <t>近两周回款</t>
  </si>
  <si>
    <t>本月回款</t>
  </si>
  <si>
    <t>累计回款</t>
  </si>
  <si>
    <t>回款目标</t>
  </si>
  <si>
    <t>回款目标完成率</t>
  </si>
  <si>
    <t>2025年同期回款</t>
  </si>
  <si>
    <t>回款同比增长率</t>
  </si>
  <si>
    <t>浙江省经营部</t>
  </si>
  <si>
    <t>杭州经营小组</t>
  </si>
  <si>
    <t>小计</t>
  </si>
  <si>
    <t>宁波经营小组</t>
  </si>
  <si>
    <t>上海市经营部</t>
  </si>
  <si>
    <t>上海经营小组</t>
  </si>
  <si>
    <t>闽赣经营营</t>
  </si>
  <si>
    <t>铁道经营小组</t>
  </si>
  <si>
    <t>建筑经营小组</t>
  </si>
  <si>
    <t>华东区域指挥部总计</t>
  </si>
  <si>
    <t>产品线</t>
  </si>
  <si>
    <t>占比</t>
  </si>
  <si>
    <t>合计</t>
  </si>
  <si>
    <t>求和项:金额</t>
  </si>
  <si>
    <t>陆顺</t>
  </si>
  <si>
    <t>赵宇暄</t>
  </si>
  <si>
    <t>段靖宗</t>
  </si>
  <si>
    <t>李汝</t>
  </si>
  <si>
    <t>申星</t>
  </si>
  <si>
    <t xml:space="preserve">华东区域指挥部经营人员指标完成情况                                                                               </t>
  </si>
  <si>
    <t>经营部</t>
  </si>
  <si>
    <t>月度新签目标</t>
  </si>
  <si>
    <t>月度新签目标完成率</t>
  </si>
  <si>
    <t>累计新签完成率</t>
  </si>
  <si>
    <t>月度营收目标</t>
  </si>
  <si>
    <t>月度营收目标完成率</t>
  </si>
  <si>
    <t>在手项目营收目标完成率</t>
  </si>
  <si>
    <t>新签项目本月营收</t>
  </si>
  <si>
    <t>新签项目营收</t>
  </si>
  <si>
    <t>期初逾期总额</t>
  </si>
  <si>
    <t>本月逾期回款目标</t>
  </si>
  <si>
    <t>本月逾期回款</t>
  </si>
  <si>
    <t>本月逾期回款目标完成率</t>
  </si>
  <si>
    <t>逾期累计回款</t>
  </si>
  <si>
    <t>逾期回款率</t>
  </si>
  <si>
    <t>本月到期回款（含新增逾期回款）</t>
  </si>
  <si>
    <t>累计到期回款（含新增逾期回款）</t>
  </si>
  <si>
    <t>经营一组</t>
  </si>
  <si>
    <t>经营二组</t>
  </si>
  <si>
    <t>福州经营小组</t>
  </si>
  <si>
    <t>厦门经营小组</t>
  </si>
  <si>
    <t>刘江斌</t>
  </si>
  <si>
    <t>南昌经营小组</t>
  </si>
  <si>
    <t>九江经营小组</t>
  </si>
  <si>
    <t>/</t>
  </si>
  <si>
    <t>邓华富</t>
  </si>
  <si>
    <t>余广</t>
  </si>
  <si>
    <t>期初存量逾期</t>
  </si>
  <si>
    <t>本周存量逾期回款</t>
  </si>
  <si>
    <t>累计存量逾期回款</t>
  </si>
  <si>
    <t>期末存量逾期</t>
  </si>
  <si>
    <t>1-9月新增逾期</t>
  </si>
  <si>
    <t>本周新增逾期回款</t>
  </si>
  <si>
    <t>累计新增逾期回款</t>
  </si>
  <si>
    <t>期末新增逾期</t>
  </si>
  <si>
    <t>张勇</t>
  </si>
  <si>
    <t>赵庆</t>
  </si>
  <si>
    <t>福建省经营部</t>
  </si>
  <si>
    <t>杨志胜（福建）</t>
  </si>
  <si>
    <t>江西省经营部</t>
  </si>
  <si>
    <t>张文斌</t>
  </si>
  <si>
    <t>杨志胜
(江西）</t>
  </si>
  <si>
    <t>朱太礼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</si>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</sst>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.00_ "/>
    <numFmt numFmtId="179" formatCode="[$-409]yyyy/mm/dd;@"/>
  </numFmts>
  <fonts count="6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仿宋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黑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0"/>
      <color rgb="FF000000"/>
      <name val="仿宋"/>
      <charset val="134"/>
    </font>
    <font>
      <b/>
      <sz val="10"/>
      <color rgb="FF000000"/>
      <name val="仿宋"/>
      <charset val="134"/>
    </font>
    <font>
      <b/>
      <sz val="10"/>
      <color theme="1"/>
      <name val="仿宋"/>
      <charset val="134"/>
    </font>
    <font>
      <sz val="10"/>
      <color theme="1"/>
      <name val="仿宋"/>
      <charset val="134"/>
    </font>
    <font>
      <sz val="12"/>
      <name val="仿宋"/>
      <charset val="134"/>
    </font>
    <font>
      <b/>
      <sz val="12"/>
      <name val="仿宋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b/>
      <sz val="18"/>
      <color theme="1"/>
      <name val="仿宋"/>
      <charset val="134"/>
    </font>
    <font>
      <sz val="9.75"/>
      <color rgb="FF555555"/>
      <name val="Microsoft yahei"/>
      <charset val="134"/>
    </font>
    <font>
      <b/>
      <sz val="9.75"/>
      <color rgb="FF293A58"/>
      <name val="Microsoft yahei"/>
      <charset val="134"/>
    </font>
    <font>
      <sz val="9.75"/>
      <color rgb="FF16325C"/>
      <name val="Arial"/>
      <charset val="134"/>
    </font>
    <font>
      <sz val="9.75"/>
      <color rgb="FF293A58"/>
      <name val="Microsoft yahei"/>
      <charset val="134"/>
    </font>
    <font>
      <sz val="10.5"/>
      <color theme="1"/>
      <name val="仿宋"/>
      <charset val="134"/>
    </font>
    <font>
      <sz val="14"/>
      <color theme="1"/>
      <name val="仿宋"/>
      <charset val="134"/>
    </font>
    <font>
      <b/>
      <sz val="20"/>
      <name val="宋体"/>
      <charset val="134"/>
    </font>
    <font>
      <b/>
      <sz val="14"/>
      <name val="仿宋"/>
      <charset val="134"/>
    </font>
    <font>
      <sz val="14"/>
      <color indexed="8"/>
      <name val="仿宋"/>
      <charset val="134"/>
    </font>
    <font>
      <sz val="10"/>
      <name val="宋体"/>
      <charset val="134"/>
    </font>
    <font>
      <sz val="16"/>
      <color theme="1"/>
      <name val="仿宋"/>
      <charset val="134"/>
    </font>
    <font>
      <sz val="16"/>
      <color indexed="8"/>
      <name val="仿宋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8" borderId="22" applyNumberFormat="0" applyAlignment="0" applyProtection="0">
      <alignment vertical="center"/>
    </xf>
    <xf numFmtId="0" fontId="46" fillId="9" borderId="23" applyNumberFormat="0" applyAlignment="0" applyProtection="0">
      <alignment vertical="center"/>
    </xf>
    <xf numFmtId="0" fontId="47" fillId="9" borderId="22" applyNumberFormat="0" applyAlignment="0" applyProtection="0">
      <alignment vertical="center"/>
    </xf>
    <xf numFmtId="0" fontId="48" fillId="10" borderId="24" applyNumberFormat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56" fillId="0" borderId="0"/>
    <xf numFmtId="0" fontId="0" fillId="0" borderId="0"/>
    <xf numFmtId="0" fontId="57" fillId="0" borderId="0"/>
    <xf numFmtId="0" fontId="57" fillId="0" borderId="0">
      <protection locked="0"/>
    </xf>
    <xf numFmtId="0" fontId="58" fillId="0" borderId="0">
      <alignment vertical="center"/>
    </xf>
  </cellStyleXfs>
  <cellXfs count="2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right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176" fontId="8" fillId="4" borderId="2" xfId="0" applyNumberFormat="1" applyFont="1" applyFill="1" applyBorder="1" applyAlignment="1">
      <alignment horizontal="center" vertical="center" wrapText="1"/>
    </xf>
    <xf numFmtId="176" fontId="8" fillId="4" borderId="2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176" fontId="4" fillId="3" borderId="6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 wrapText="1"/>
    </xf>
    <xf numFmtId="177" fontId="12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9" fontId="14" fillId="0" borderId="10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0" fontId="15" fillId="0" borderId="8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0" fontId="15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0" fontId="15" fillId="0" borderId="10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0" fontId="16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0" fontId="12" fillId="0" borderId="16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0" fontId="12" fillId="0" borderId="10" xfId="0" applyNumberFormat="1" applyFont="1" applyBorder="1" applyAlignment="1">
      <alignment horizontal="center" vertical="center"/>
    </xf>
    <xf numFmtId="9" fontId="14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0" fontId="17" fillId="0" borderId="10" xfId="0" applyNumberFormat="1" applyFont="1" applyBorder="1" applyAlignment="1">
      <alignment horizontal="center" vertical="center"/>
    </xf>
    <xf numFmtId="9" fontId="17" fillId="0" borderId="10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9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9" fontId="18" fillId="0" borderId="8" xfId="0" applyNumberFormat="1" applyFont="1" applyBorder="1" applyAlignment="1">
      <alignment horizontal="center" vertical="center"/>
    </xf>
    <xf numFmtId="177" fontId="13" fillId="0" borderId="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0" fontId="17" fillId="0" borderId="14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9" fontId="15" fillId="0" borderId="16" xfId="0" applyNumberFormat="1" applyFont="1" applyBorder="1" applyAlignment="1">
      <alignment horizontal="center" vertical="center"/>
    </xf>
    <xf numFmtId="9" fontId="15" fillId="0" borderId="10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176" fontId="19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 wrapText="1"/>
    </xf>
    <xf numFmtId="178" fontId="19" fillId="3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76" fontId="20" fillId="0" borderId="1" xfId="0" applyNumberFormat="1" applyFont="1" applyFill="1" applyBorder="1" applyAlignment="1">
      <alignment horizontal="center" vertical="center"/>
    </xf>
    <xf numFmtId="176" fontId="20" fillId="4" borderId="1" xfId="0" applyNumberFormat="1" applyFont="1" applyFill="1" applyBorder="1" applyAlignment="1">
      <alignment horizontal="center" vertical="center"/>
    </xf>
    <xf numFmtId="178" fontId="20" fillId="4" borderId="1" xfId="0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 wrapText="1"/>
    </xf>
    <xf numFmtId="176" fontId="20" fillId="4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10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vertical="center" wrapText="1"/>
    </xf>
    <xf numFmtId="178" fontId="0" fillId="0" borderId="0" xfId="0" applyNumberFormat="1">
      <alignment vertical="center"/>
    </xf>
    <xf numFmtId="176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76" fontId="23" fillId="0" borderId="0" xfId="0" applyNumberFormat="1" applyFont="1" applyAlignment="1">
      <alignment horizontal="center" vertical="center" wrapText="1"/>
    </xf>
    <xf numFmtId="0" fontId="5" fillId="0" borderId="17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176" fontId="5" fillId="0" borderId="0" xfId="0" applyNumberFormat="1" applyFont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9" fillId="3" borderId="1" xfId="0" applyNumberFormat="1" applyFont="1" applyFill="1" applyBorder="1" applyAlignment="1">
      <alignment horizontal="center" vertical="center" wrapText="1"/>
    </xf>
    <xf numFmtId="10" fontId="19" fillId="3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20" fillId="4" borderId="1" xfId="0" applyNumberFormat="1" applyFont="1" applyFill="1" applyBorder="1" applyAlignment="1">
      <alignment horizontal="center" vertical="center" wrapText="1"/>
    </xf>
    <xf numFmtId="10" fontId="20" fillId="4" borderId="1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left" vertical="center"/>
    </xf>
    <xf numFmtId="4" fontId="24" fillId="0" borderId="0" xfId="0" applyNumberFormat="1" applyFont="1">
      <alignment vertical="center"/>
    </xf>
    <xf numFmtId="4" fontId="25" fillId="0" borderId="0" xfId="0" applyNumberFormat="1" applyFont="1" applyAlignment="1">
      <alignment horizontal="left" vertical="top" wrapText="1"/>
    </xf>
    <xf numFmtId="0" fontId="26" fillId="0" borderId="0" xfId="0" applyFont="1" applyAlignment="1">
      <alignment vertical="top" wrapText="1"/>
    </xf>
    <xf numFmtId="176" fontId="25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176" fontId="27" fillId="0" borderId="0" xfId="0" applyNumberFormat="1" applyFont="1" applyAlignment="1">
      <alignment horizontal="center" vertical="center"/>
    </xf>
    <xf numFmtId="4" fontId="28" fillId="0" borderId="0" xfId="0" applyNumberFormat="1" applyFont="1" applyAlignment="1">
      <alignment horizontal="justify" vertical="center"/>
    </xf>
    <xf numFmtId="176" fontId="28" fillId="0" borderId="0" xfId="0" applyNumberFormat="1" applyFont="1" applyAlignment="1">
      <alignment horizontal="justify" vertical="center"/>
    </xf>
    <xf numFmtId="0" fontId="29" fillId="0" borderId="0" xfId="0" applyFont="1" applyFill="1" applyAlignment="1">
      <alignment horizontal="left" vertical="center"/>
    </xf>
    <xf numFmtId="0" fontId="29" fillId="0" borderId="0" xfId="0" applyFont="1" applyFill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0" fillId="0" borderId="0" xfId="0" applyFont="1" applyFill="1" applyAlignment="1">
      <alignment horizontal="center" vertical="center" wrapText="1"/>
    </xf>
    <xf numFmtId="178" fontId="30" fillId="0" borderId="0" xfId="0" applyNumberFormat="1" applyFont="1" applyFill="1" applyAlignment="1">
      <alignment horizontal="center" vertical="center" wrapText="1"/>
    </xf>
    <xf numFmtId="0" fontId="31" fillId="0" borderId="18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horizontal="center" vertical="center" wrapText="1"/>
    </xf>
    <xf numFmtId="49" fontId="31" fillId="0" borderId="1" xfId="0" applyNumberFormat="1" applyFont="1" applyFill="1" applyBorder="1" applyAlignment="1">
      <alignment horizontal="center" vertical="center" wrapText="1"/>
    </xf>
    <xf numFmtId="10" fontId="31" fillId="0" borderId="1" xfId="0" applyNumberFormat="1" applyFont="1" applyFill="1" applyBorder="1" applyAlignment="1">
      <alignment horizontal="center" vertical="center" wrapText="1"/>
    </xf>
    <xf numFmtId="178" fontId="31" fillId="0" borderId="1" xfId="0" applyNumberFormat="1" applyFont="1" applyFill="1" applyBorder="1" applyAlignment="1">
      <alignment horizontal="center" vertical="center" wrapText="1"/>
    </xf>
    <xf numFmtId="176" fontId="31" fillId="4" borderId="1" xfId="0" applyNumberFormat="1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79" fontId="29" fillId="0" borderId="1" xfId="0" applyNumberFormat="1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4" fontId="32" fillId="0" borderId="1" xfId="0" applyNumberFormat="1" applyFont="1" applyFill="1" applyBorder="1" applyAlignment="1">
      <alignment horizontal="center" vertical="center" wrapText="1"/>
    </xf>
    <xf numFmtId="10" fontId="32" fillId="0" borderId="1" xfId="0" applyNumberFormat="1" applyFont="1" applyFill="1" applyBorder="1" applyAlignment="1">
      <alignment horizontal="center" vertical="center" wrapText="1"/>
    </xf>
    <xf numFmtId="10" fontId="29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78" fontId="29" fillId="0" borderId="1" xfId="0" applyNumberFormat="1" applyFont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9" fontId="29" fillId="0" borderId="1" xfId="0" applyNumberFormat="1" applyFont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179" fontId="29" fillId="6" borderId="1" xfId="0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 wrapText="1"/>
    </xf>
    <xf numFmtId="4" fontId="32" fillId="6" borderId="1" xfId="0" applyNumberFormat="1" applyFont="1" applyFill="1" applyBorder="1" applyAlignment="1">
      <alignment horizontal="center" vertical="center" wrapText="1"/>
    </xf>
    <xf numFmtId="10" fontId="32" fillId="6" borderId="1" xfId="0" applyNumberFormat="1" applyFont="1" applyFill="1" applyBorder="1" applyAlignment="1">
      <alignment horizontal="center" vertical="center" wrapText="1"/>
    </xf>
    <xf numFmtId="49" fontId="29" fillId="6" borderId="1" xfId="0" applyNumberFormat="1" applyFont="1" applyFill="1" applyBorder="1" applyAlignment="1">
      <alignment horizontal="center" vertical="center"/>
    </xf>
    <xf numFmtId="178" fontId="29" fillId="6" borderId="1" xfId="0" applyNumberFormat="1" applyFont="1" applyFill="1" applyBorder="1" applyAlignment="1">
      <alignment horizontal="center" vertical="center"/>
    </xf>
    <xf numFmtId="176" fontId="29" fillId="6" borderId="1" xfId="0" applyNumberFormat="1" applyFont="1" applyFill="1" applyBorder="1" applyAlignment="1">
      <alignment horizontal="center" vertical="center"/>
    </xf>
    <xf numFmtId="179" fontId="29" fillId="0" borderId="1" xfId="0" applyNumberFormat="1" applyFont="1" applyFill="1" applyBorder="1" applyAlignment="1">
      <alignment horizontal="center" vertical="center"/>
    </xf>
    <xf numFmtId="49" fontId="29" fillId="0" borderId="1" xfId="0" applyNumberFormat="1" applyFont="1" applyFill="1" applyBorder="1" applyAlignment="1">
      <alignment horizontal="center" vertical="center"/>
    </xf>
    <xf numFmtId="178" fontId="29" fillId="0" borderId="1" xfId="0" applyNumberFormat="1" applyFont="1" applyFill="1" applyBorder="1" applyAlignment="1">
      <alignment horizontal="center" vertical="center"/>
    </xf>
    <xf numFmtId="176" fontId="29" fillId="0" borderId="1" xfId="0" applyNumberFormat="1" applyFont="1" applyFill="1" applyBorder="1" applyAlignment="1">
      <alignment horizontal="center" vertical="center"/>
    </xf>
    <xf numFmtId="9" fontId="29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29" fillId="0" borderId="0" xfId="0" applyFont="1">
      <alignment vertical="center"/>
    </xf>
    <xf numFmtId="0" fontId="29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31" fillId="0" borderId="1" xfId="0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179" fontId="34" fillId="0" borderId="1" xfId="0" applyNumberFormat="1" applyFont="1" applyBorder="1" applyAlignment="1">
      <alignment horizontal="center" vertical="center"/>
    </xf>
    <xf numFmtId="10" fontId="35" fillId="0" borderId="1" xfId="0" applyNumberFormat="1" applyFont="1" applyFill="1" applyBorder="1" applyAlignment="1">
      <alignment horizontal="center" vertical="center" wrapText="1"/>
    </xf>
    <xf numFmtId="176" fontId="34" fillId="0" borderId="1" xfId="0" applyNumberFormat="1" applyFont="1" applyBorder="1" applyAlignment="1">
      <alignment horizontal="center" vertical="center"/>
    </xf>
    <xf numFmtId="9" fontId="34" fillId="0" borderId="1" xfId="0" applyNumberFormat="1" applyFont="1" applyBorder="1" applyAlignment="1">
      <alignment horizontal="center" vertical="center"/>
    </xf>
    <xf numFmtId="179" fontId="34" fillId="0" borderId="1" xfId="0" applyNumberFormat="1" applyFont="1" applyFill="1" applyBorder="1" applyAlignment="1">
      <alignment horizontal="center" vertical="center"/>
    </xf>
    <xf numFmtId="176" fontId="34" fillId="0" borderId="1" xfId="0" applyNumberFormat="1" applyFont="1" applyFill="1" applyBorder="1" applyAlignment="1">
      <alignment horizontal="center" vertical="center"/>
    </xf>
    <xf numFmtId="9" fontId="34" fillId="0" borderId="1" xfId="0" applyNumberFormat="1" applyFont="1" applyFill="1" applyBorder="1" applyAlignment="1">
      <alignment horizontal="center" vertical="center"/>
    </xf>
    <xf numFmtId="0" fontId="35" fillId="0" borderId="1" xfId="0" applyNumberFormat="1" applyFont="1" applyFill="1" applyBorder="1" applyAlignment="1">
      <alignment horizontal="center" vertical="center" wrapText="1"/>
    </xf>
    <xf numFmtId="10" fontId="36" fillId="0" borderId="1" xfId="0" applyNumberFormat="1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3" fontId="34" fillId="0" borderId="1" xfId="0" applyNumberFormat="1" applyFont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3" xfId="50"/>
    <cellStyle name="Normal 4" xfId="51"/>
    <cellStyle name="常规 3" xfId="52"/>
    <cellStyle name="常规 5" xfId="53"/>
    <cellStyle name="常规 2" xfId="54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0F0F4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95B3D7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.xml"/><Relationship Id="rId23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5.xml"/><Relationship Id="rId21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8719820" y="12700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2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3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4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5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6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7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8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9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10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11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12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13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14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15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16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17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18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19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20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21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22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23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24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25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26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27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28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29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30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31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32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33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34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1409065</xdr:colOff>
      <xdr:row>53</xdr:row>
      <xdr:rowOff>183515</xdr:rowOff>
    </xdr:to>
    <xdr:sp>
      <xdr:nvSpPr>
        <xdr:cNvPr id="35" name="Host Control  1" hidden="1"/>
        <xdr:cNvSpPr/>
      </xdr:nvSpPr>
      <xdr:spPr>
        <a:xfrm>
          <a:off x="4276090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36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37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38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39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40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212725</xdr:colOff>
      <xdr:row>53</xdr:row>
      <xdr:rowOff>183515</xdr:rowOff>
    </xdr:to>
    <xdr:sp>
      <xdr:nvSpPr>
        <xdr:cNvPr id="41" name="Host Control  1" hidden="1"/>
        <xdr:cNvSpPr/>
      </xdr:nvSpPr>
      <xdr:spPr>
        <a:xfrm>
          <a:off x="677735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210185</xdr:colOff>
      <xdr:row>53</xdr:row>
      <xdr:rowOff>182880</xdr:rowOff>
    </xdr:to>
    <xdr:sp>
      <xdr:nvSpPr>
        <xdr:cNvPr id="42" name="Host Control  1" hidden="1"/>
        <xdr:cNvSpPr/>
      </xdr:nvSpPr>
      <xdr:spPr>
        <a:xfrm>
          <a:off x="677735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210185</xdr:colOff>
      <xdr:row>53</xdr:row>
      <xdr:rowOff>182880</xdr:rowOff>
    </xdr:to>
    <xdr:sp>
      <xdr:nvSpPr>
        <xdr:cNvPr id="43" name="Host Control  1" hidden="1"/>
        <xdr:cNvSpPr/>
      </xdr:nvSpPr>
      <xdr:spPr>
        <a:xfrm>
          <a:off x="677735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210185</xdr:colOff>
      <xdr:row>53</xdr:row>
      <xdr:rowOff>182880</xdr:rowOff>
    </xdr:to>
    <xdr:sp>
      <xdr:nvSpPr>
        <xdr:cNvPr id="44" name="Host Control  1" hidden="1"/>
        <xdr:cNvSpPr/>
      </xdr:nvSpPr>
      <xdr:spPr>
        <a:xfrm>
          <a:off x="677735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210185</xdr:colOff>
      <xdr:row>53</xdr:row>
      <xdr:rowOff>182880</xdr:rowOff>
    </xdr:to>
    <xdr:sp>
      <xdr:nvSpPr>
        <xdr:cNvPr id="45" name="Host Control  1" hidden="1"/>
        <xdr:cNvSpPr/>
      </xdr:nvSpPr>
      <xdr:spPr>
        <a:xfrm>
          <a:off x="677735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46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47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48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49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0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1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2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3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4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5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6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7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8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59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60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61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210185</xdr:colOff>
      <xdr:row>53</xdr:row>
      <xdr:rowOff>182880</xdr:rowOff>
    </xdr:to>
    <xdr:sp>
      <xdr:nvSpPr>
        <xdr:cNvPr id="62" name="Host Control  1" hidden="1"/>
        <xdr:cNvSpPr/>
      </xdr:nvSpPr>
      <xdr:spPr>
        <a:xfrm>
          <a:off x="677735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210185</xdr:colOff>
      <xdr:row>53</xdr:row>
      <xdr:rowOff>182880</xdr:rowOff>
    </xdr:to>
    <xdr:sp>
      <xdr:nvSpPr>
        <xdr:cNvPr id="63" name="Host Control  1" hidden="1"/>
        <xdr:cNvSpPr/>
      </xdr:nvSpPr>
      <xdr:spPr>
        <a:xfrm>
          <a:off x="677735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64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65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66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232410</xdr:colOff>
      <xdr:row>53</xdr:row>
      <xdr:rowOff>182880</xdr:rowOff>
    </xdr:to>
    <xdr:sp>
      <xdr:nvSpPr>
        <xdr:cNvPr id="67" name="Host Control  1" hidden="1"/>
        <xdr:cNvSpPr/>
      </xdr:nvSpPr>
      <xdr:spPr>
        <a:xfrm>
          <a:off x="677735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210185</xdr:colOff>
      <xdr:row>53</xdr:row>
      <xdr:rowOff>182880</xdr:rowOff>
    </xdr:to>
    <xdr:sp>
      <xdr:nvSpPr>
        <xdr:cNvPr id="68" name="Host Control  1" hidden="1"/>
        <xdr:cNvSpPr/>
      </xdr:nvSpPr>
      <xdr:spPr>
        <a:xfrm>
          <a:off x="677735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210185</xdr:colOff>
      <xdr:row>53</xdr:row>
      <xdr:rowOff>182880</xdr:rowOff>
    </xdr:to>
    <xdr:sp>
      <xdr:nvSpPr>
        <xdr:cNvPr id="69" name="Host Control  1" hidden="1"/>
        <xdr:cNvSpPr/>
      </xdr:nvSpPr>
      <xdr:spPr>
        <a:xfrm>
          <a:off x="677735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0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1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2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3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4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5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6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7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8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79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0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1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2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3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4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5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6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7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8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89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0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1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2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3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4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5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6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7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8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212725</xdr:colOff>
      <xdr:row>53</xdr:row>
      <xdr:rowOff>183515</xdr:rowOff>
    </xdr:to>
    <xdr:sp>
      <xdr:nvSpPr>
        <xdr:cNvPr id="99" name="Host Control  1" hidden="1"/>
        <xdr:cNvSpPr/>
      </xdr:nvSpPr>
      <xdr:spPr>
        <a:xfrm>
          <a:off x="11922125" y="2108200"/>
          <a:ext cx="1409065" cy="18351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210185</xdr:colOff>
      <xdr:row>53</xdr:row>
      <xdr:rowOff>182880</xdr:rowOff>
    </xdr:to>
    <xdr:sp>
      <xdr:nvSpPr>
        <xdr:cNvPr id="100" name="Host Control  1" hidden="1"/>
        <xdr:cNvSpPr/>
      </xdr:nvSpPr>
      <xdr:spPr>
        <a:xfrm>
          <a:off x="1192212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210185</xdr:colOff>
      <xdr:row>53</xdr:row>
      <xdr:rowOff>182880</xdr:rowOff>
    </xdr:to>
    <xdr:sp>
      <xdr:nvSpPr>
        <xdr:cNvPr id="101" name="Host Control  1" hidden="1"/>
        <xdr:cNvSpPr/>
      </xdr:nvSpPr>
      <xdr:spPr>
        <a:xfrm>
          <a:off x="1192212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210185</xdr:colOff>
      <xdr:row>53</xdr:row>
      <xdr:rowOff>182880</xdr:rowOff>
    </xdr:to>
    <xdr:sp>
      <xdr:nvSpPr>
        <xdr:cNvPr id="102" name="Host Control  1" hidden="1"/>
        <xdr:cNvSpPr/>
      </xdr:nvSpPr>
      <xdr:spPr>
        <a:xfrm>
          <a:off x="1192212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210185</xdr:colOff>
      <xdr:row>53</xdr:row>
      <xdr:rowOff>182880</xdr:rowOff>
    </xdr:to>
    <xdr:sp>
      <xdr:nvSpPr>
        <xdr:cNvPr id="103" name="Host Control  1" hidden="1"/>
        <xdr:cNvSpPr/>
      </xdr:nvSpPr>
      <xdr:spPr>
        <a:xfrm>
          <a:off x="1192212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04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05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06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07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08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09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0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1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2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3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4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5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6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7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8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19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210185</xdr:colOff>
      <xdr:row>53</xdr:row>
      <xdr:rowOff>182880</xdr:rowOff>
    </xdr:to>
    <xdr:sp>
      <xdr:nvSpPr>
        <xdr:cNvPr id="120" name="Host Control  1" hidden="1"/>
        <xdr:cNvSpPr/>
      </xdr:nvSpPr>
      <xdr:spPr>
        <a:xfrm>
          <a:off x="1192212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210185</xdr:colOff>
      <xdr:row>53</xdr:row>
      <xdr:rowOff>182880</xdr:rowOff>
    </xdr:to>
    <xdr:sp>
      <xdr:nvSpPr>
        <xdr:cNvPr id="121" name="Host Control  1" hidden="1"/>
        <xdr:cNvSpPr/>
      </xdr:nvSpPr>
      <xdr:spPr>
        <a:xfrm>
          <a:off x="1192212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22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23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24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232410</xdr:colOff>
      <xdr:row>53</xdr:row>
      <xdr:rowOff>182880</xdr:rowOff>
    </xdr:to>
    <xdr:sp>
      <xdr:nvSpPr>
        <xdr:cNvPr id="125" name="Host Control  1" hidden="1"/>
        <xdr:cNvSpPr/>
      </xdr:nvSpPr>
      <xdr:spPr>
        <a:xfrm>
          <a:off x="11922125" y="2108200"/>
          <a:ext cx="142875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210185</xdr:colOff>
      <xdr:row>53</xdr:row>
      <xdr:rowOff>182880</xdr:rowOff>
    </xdr:to>
    <xdr:sp>
      <xdr:nvSpPr>
        <xdr:cNvPr id="126" name="Host Control  1" hidden="1"/>
        <xdr:cNvSpPr/>
      </xdr:nvSpPr>
      <xdr:spPr>
        <a:xfrm>
          <a:off x="1192212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210185</xdr:colOff>
      <xdr:row>53</xdr:row>
      <xdr:rowOff>182880</xdr:rowOff>
    </xdr:to>
    <xdr:sp>
      <xdr:nvSpPr>
        <xdr:cNvPr id="127" name="Host Control  1" hidden="1"/>
        <xdr:cNvSpPr/>
      </xdr:nvSpPr>
      <xdr:spPr>
        <a:xfrm>
          <a:off x="11922125" y="2108200"/>
          <a:ext cx="1406525" cy="18288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ke2\AppData\Roaming\kingsoft\office6\backup\&#21326;&#19996;&#21306;&#22495;&#25351;&#25381;&#37096;&#23384;&#37327;&#36926;&#26399;&#21488;&#36134;&#65288;10.30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ke2\AppData\Roaming\kingsoft\office6\backup\&#21326;&#19996;&#21306;&#22495;&#25351;&#25381;&#37096;&#26032;&#22686;&#36926;&#26399;&#21488;&#36134;&#65288;10.30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华东主办逾期台账"/>
      <sheetName val="华东协办逾期台账"/>
    </sheetNames>
    <sheetDataSet>
      <sheetData sheetId="0">
        <row r="6">
          <cell r="C6" t="str">
            <v>袁志凌</v>
          </cell>
          <cell r="D6">
            <v>180.3</v>
          </cell>
          <cell r="E6">
            <v>0</v>
          </cell>
          <cell r="F6">
            <v>13.5</v>
          </cell>
          <cell r="G6">
            <v>0</v>
          </cell>
          <cell r="H6">
            <v>13.5</v>
          </cell>
          <cell r="I6">
            <v>0</v>
          </cell>
          <cell r="J6">
            <v>166.8</v>
          </cell>
        </row>
        <row r="7">
          <cell r="C7" t="str">
            <v>沈腾飞</v>
          </cell>
          <cell r="D7">
            <v>808.3712454</v>
          </cell>
          <cell r="E7">
            <v>0</v>
          </cell>
          <cell r="F7">
            <v>0</v>
          </cell>
          <cell r="G7">
            <v>187.6424154</v>
          </cell>
          <cell r="H7">
            <v>187.6424154</v>
          </cell>
          <cell r="I7">
            <v>0</v>
          </cell>
          <cell r="J7">
            <v>620.72883</v>
          </cell>
        </row>
        <row r="8">
          <cell r="C8" t="str">
            <v>段靖宗</v>
          </cell>
          <cell r="D8">
            <v>4912.50278653</v>
          </cell>
          <cell r="E8">
            <v>365.91477832</v>
          </cell>
          <cell r="F8">
            <v>613.4996</v>
          </cell>
          <cell r="G8">
            <v>745.4688626</v>
          </cell>
          <cell r="H8">
            <v>1724.88324092</v>
          </cell>
          <cell r="I8">
            <v>24.5</v>
          </cell>
          <cell r="J8">
            <v>3187.61954561</v>
          </cell>
        </row>
        <row r="9">
          <cell r="C9" t="str">
            <v>唐作栋</v>
          </cell>
          <cell r="D9">
            <v>822.51972357</v>
          </cell>
          <cell r="E9">
            <v>156.82061928</v>
          </cell>
          <cell r="F9">
            <v>262.9284</v>
          </cell>
          <cell r="G9">
            <v>0</v>
          </cell>
          <cell r="H9">
            <v>419.74901928</v>
          </cell>
          <cell r="I9">
            <v>10.5</v>
          </cell>
          <cell r="J9">
            <v>402.77070429</v>
          </cell>
        </row>
        <row r="10">
          <cell r="C10" t="str">
            <v>浙江小计</v>
          </cell>
          <cell r="D10">
            <v>6723.6937555</v>
          </cell>
          <cell r="E10">
            <v>522.7353976</v>
          </cell>
          <cell r="F10">
            <v>889.928</v>
          </cell>
          <cell r="G10">
            <v>933.111278</v>
          </cell>
          <cell r="H10">
            <v>2345.7746756</v>
          </cell>
          <cell r="I10">
            <v>35</v>
          </cell>
          <cell r="J10">
            <v>4377.9190799</v>
          </cell>
        </row>
        <row r="11">
          <cell r="C11" t="str">
            <v>穆华清</v>
          </cell>
          <cell r="D11">
            <v>369.22254176</v>
          </cell>
          <cell r="E11">
            <v>15.51709096</v>
          </cell>
          <cell r="F11">
            <v>115.97241</v>
          </cell>
          <cell r="G11">
            <v>0</v>
          </cell>
          <cell r="H11">
            <v>131.48950096</v>
          </cell>
          <cell r="I11">
            <v>0</v>
          </cell>
          <cell r="J11">
            <v>237.7330408</v>
          </cell>
        </row>
        <row r="12">
          <cell r="C12" t="str">
            <v>邓华富</v>
          </cell>
          <cell r="D12">
            <v>1175.867</v>
          </cell>
          <cell r="E12">
            <v>10.332</v>
          </cell>
          <cell r="F12">
            <v>345.55</v>
          </cell>
          <cell r="G12">
            <v>131.939</v>
          </cell>
          <cell r="H12">
            <v>487.821</v>
          </cell>
          <cell r="I12">
            <v>50</v>
          </cell>
          <cell r="J12">
            <v>688.046</v>
          </cell>
        </row>
        <row r="13">
          <cell r="C13" t="str">
            <v>周斌</v>
          </cell>
          <cell r="D13">
            <v>883.55909864</v>
          </cell>
          <cell r="E13">
            <v>6.65018184</v>
          </cell>
          <cell r="F13">
            <v>340.75</v>
          </cell>
          <cell r="G13">
            <v>49.625</v>
          </cell>
          <cell r="H13">
            <v>397.02518184</v>
          </cell>
          <cell r="I13">
            <v>50</v>
          </cell>
          <cell r="J13">
            <v>486.5339168</v>
          </cell>
        </row>
        <row r="14">
          <cell r="C14" t="str">
            <v>申星</v>
          </cell>
          <cell r="D14">
            <v>863.9867948</v>
          </cell>
          <cell r="E14">
            <v>0</v>
          </cell>
          <cell r="F14">
            <v>389.3617948</v>
          </cell>
          <cell r="G14">
            <v>49.625</v>
          </cell>
          <cell r="H14">
            <v>438.9867948</v>
          </cell>
          <cell r="I14">
            <v>50</v>
          </cell>
          <cell r="J14">
            <v>425</v>
          </cell>
        </row>
        <row r="15">
          <cell r="C15" t="str">
            <v>福建小计</v>
          </cell>
          <cell r="D15">
            <v>2923.41289344</v>
          </cell>
          <cell r="E15">
            <v>16.98218184</v>
          </cell>
          <cell r="F15">
            <v>1075.6617948</v>
          </cell>
          <cell r="G15">
            <v>231.189</v>
          </cell>
          <cell r="H15">
            <v>1323.83297664</v>
          </cell>
          <cell r="I15">
            <v>150</v>
          </cell>
          <cell r="J15">
            <v>1599.5799168</v>
          </cell>
        </row>
        <row r="16">
          <cell r="C16" t="str">
            <v>杨志胜</v>
          </cell>
          <cell r="D16">
            <v>5279.6668714</v>
          </cell>
          <cell r="E16">
            <v>31.688</v>
          </cell>
          <cell r="F16">
            <v>1300.3158714</v>
          </cell>
          <cell r="G16">
            <v>378.653</v>
          </cell>
          <cell r="H16">
            <v>1710.6568714</v>
          </cell>
          <cell r="I16">
            <v>50</v>
          </cell>
          <cell r="J16">
            <v>3569.01</v>
          </cell>
        </row>
        <row r="17">
          <cell r="C17" t="str">
            <v>陈浩</v>
          </cell>
          <cell r="D17">
            <v>3349.6358</v>
          </cell>
          <cell r="E17">
            <v>411.6</v>
          </cell>
          <cell r="F17">
            <v>494.9958</v>
          </cell>
          <cell r="G17">
            <v>1084.96</v>
          </cell>
          <cell r="H17">
            <v>1991.5558</v>
          </cell>
          <cell r="I17">
            <v>0</v>
          </cell>
          <cell r="J17">
            <v>1358.08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华东主办新增逾期台账"/>
      <sheetName val="华东协办新增逾期台账"/>
    </sheetNames>
    <sheetDataSet>
      <sheetData sheetId="0">
        <row r="6">
          <cell r="C6" t="str">
            <v>段靖宗</v>
          </cell>
          <cell r="D6">
            <v>14358.3371966689</v>
          </cell>
          <cell r="E6">
            <v>8421.85831392892</v>
          </cell>
          <cell r="F6">
            <v>218.33639226</v>
          </cell>
          <cell r="G6">
            <v>0</v>
          </cell>
          <cell r="H6">
            <v>8640.19470618892</v>
          </cell>
          <cell r="I6">
            <v>4578.7658</v>
          </cell>
          <cell r="J6">
            <v>5718.14249047998</v>
          </cell>
        </row>
        <row r="7">
          <cell r="C7" t="str">
            <v>唐作栋</v>
          </cell>
          <cell r="D7">
            <v>6153.57308428668</v>
          </cell>
          <cell r="E7">
            <v>3609.36784882668</v>
          </cell>
          <cell r="F7">
            <v>93.57273954</v>
          </cell>
          <cell r="G7">
            <v>0</v>
          </cell>
          <cell r="H7">
            <v>3702.94058836668</v>
          </cell>
          <cell r="I7">
            <v>1962.3282</v>
          </cell>
          <cell r="J7">
            <v>2450.63249592</v>
          </cell>
        </row>
        <row r="8">
          <cell r="C8" t="str">
            <v>沈腾飞</v>
          </cell>
          <cell r="D8">
            <v>690</v>
          </cell>
          <cell r="E8">
            <v>690</v>
          </cell>
          <cell r="F8">
            <v>0</v>
          </cell>
          <cell r="G8">
            <v>0</v>
          </cell>
          <cell r="H8">
            <v>690</v>
          </cell>
          <cell r="I8">
            <v>0</v>
          </cell>
          <cell r="J8">
            <v>0</v>
          </cell>
        </row>
        <row r="9">
          <cell r="C9" t="str">
            <v>袁志凌</v>
          </cell>
          <cell r="D9">
            <v>126</v>
          </cell>
          <cell r="E9">
            <v>126</v>
          </cell>
          <cell r="F9">
            <v>0</v>
          </cell>
          <cell r="G9">
            <v>0</v>
          </cell>
          <cell r="H9">
            <v>126</v>
          </cell>
          <cell r="I9">
            <v>0</v>
          </cell>
          <cell r="J9">
            <v>0</v>
          </cell>
        </row>
        <row r="10">
          <cell r="C10" t="str">
            <v>浙江小计</v>
          </cell>
          <cell r="D10">
            <v>21327.9102809556</v>
          </cell>
          <cell r="E10">
            <v>12847.2261627556</v>
          </cell>
          <cell r="F10">
            <v>311.9091318</v>
          </cell>
          <cell r="G10">
            <v>0</v>
          </cell>
          <cell r="H10">
            <v>13159.1352945556</v>
          </cell>
          <cell r="I10">
            <v>6541.094</v>
          </cell>
          <cell r="J10">
            <v>8168.77498639998</v>
          </cell>
        </row>
        <row r="11">
          <cell r="C11" t="str">
            <v>穆华清</v>
          </cell>
          <cell r="D11">
            <v>2608.58300388</v>
          </cell>
          <cell r="E11">
            <v>1644.94004913</v>
          </cell>
          <cell r="F11">
            <v>595</v>
          </cell>
          <cell r="G11">
            <v>0</v>
          </cell>
          <cell r="H11">
            <v>2239.94004913</v>
          </cell>
          <cell r="I11">
            <v>0</v>
          </cell>
          <cell r="J11">
            <v>368.642954749999</v>
          </cell>
        </row>
        <row r="12">
          <cell r="C12" t="str">
            <v>赵宇瑄</v>
          </cell>
          <cell r="D12">
            <v>587.94495132</v>
          </cell>
          <cell r="E12">
            <v>549.80511357</v>
          </cell>
          <cell r="F12">
            <v>0</v>
          </cell>
          <cell r="G12">
            <v>0</v>
          </cell>
          <cell r="H12">
            <v>549.80511357</v>
          </cell>
          <cell r="I12">
            <v>0</v>
          </cell>
          <cell r="J12">
            <v>38.13983775</v>
          </cell>
        </row>
        <row r="13">
          <cell r="C13" t="str">
            <v>上海小计</v>
          </cell>
          <cell r="D13">
            <v>3196.5279552</v>
          </cell>
          <cell r="E13">
            <v>2194.7451627</v>
          </cell>
          <cell r="F13">
            <v>595</v>
          </cell>
          <cell r="G13">
            <v>0</v>
          </cell>
          <cell r="H13">
            <v>2789.7451627</v>
          </cell>
          <cell r="I13">
            <v>0</v>
          </cell>
          <cell r="J13">
            <v>406.782792499999</v>
          </cell>
        </row>
        <row r="14">
          <cell r="C14" t="str">
            <v>周斌</v>
          </cell>
          <cell r="D14">
            <v>960.42492</v>
          </cell>
          <cell r="E14">
            <v>540.42492</v>
          </cell>
          <cell r="F14">
            <v>0</v>
          </cell>
          <cell r="G14">
            <v>0</v>
          </cell>
          <cell r="H14">
            <v>540.42492</v>
          </cell>
          <cell r="I14">
            <v>140</v>
          </cell>
          <cell r="J14">
            <v>420</v>
          </cell>
        </row>
        <row r="15">
          <cell r="C15" t="str">
            <v>邓华富</v>
          </cell>
          <cell r="D15">
            <v>327.075</v>
          </cell>
          <cell r="E15">
            <v>327.075</v>
          </cell>
          <cell r="F15">
            <v>0</v>
          </cell>
          <cell r="G15">
            <v>0</v>
          </cell>
          <cell r="H15">
            <v>327.075</v>
          </cell>
          <cell r="I15">
            <v>34.2</v>
          </cell>
          <cell r="J15">
            <v>0</v>
          </cell>
        </row>
        <row r="16">
          <cell r="C16" t="str">
            <v>申星</v>
          </cell>
          <cell r="D16">
            <v>327.075</v>
          </cell>
          <cell r="E16">
            <v>327.075</v>
          </cell>
          <cell r="F16">
            <v>0</v>
          </cell>
          <cell r="G16">
            <v>0</v>
          </cell>
          <cell r="H16">
            <v>327.075</v>
          </cell>
          <cell r="I16">
            <v>0</v>
          </cell>
          <cell r="J16">
            <v>0</v>
          </cell>
        </row>
        <row r="17">
          <cell r="C17" t="str">
            <v>李汝</v>
          </cell>
          <cell r="D17">
            <v>62.16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62.16</v>
          </cell>
          <cell r="J17">
            <v>62.16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46.9703356481" refreshedBy="Administrator" recordCount="29">
  <cacheSource type="worksheet">
    <worksheetSource ref="B2:Q1047988" sheet="收入"/>
  </cacheSource>
  <cacheFields count="18">
    <cacheField name="确认收入月日" numFmtId="0">
      <sharedItems containsBlank="1" containsDate="1" containsMixedTypes="1" count="83">
        <m/>
        <d v="2025-01-10T00:00:00"/>
        <s v="2025-01-19"/>
        <s v="2025-01-18"/>
        <s v="2025-01-15"/>
        <s v="2025-01-13"/>
        <d v="2025-02-24T00:00:00"/>
        <d v="2025-02-28T00:00:00"/>
        <d v="2025-03-07T00:00:00"/>
        <d v="2025-03-15T00:00:00"/>
        <d v="2025-03-31T00:00:00"/>
        <d v="2022-01-14T00:00:00" u="1"/>
        <d v="2022-01-21T00:00:00" u="1"/>
        <d v="2022-01-30T00:00:00" u="1"/>
        <d v="2022-02-15T00:00:00" u="1"/>
        <d v="2022-02-25T00:00:00" u="1"/>
        <d v="2022-02-28T00:00:00" u="1"/>
        <d v="2022-03-31T00:00:00" u="1"/>
        <d v="2022-04-22T00:00:00" u="1"/>
        <d v="2022-04-28T00:00:00" u="1"/>
        <d v="2022-04-30T00:00:00" u="1"/>
        <d v="2022-05-20T00:00:00" u="1"/>
        <d v="2022-05-27T00:00:00" u="1"/>
        <d v="2022-06-17T00:00:00" u="1"/>
        <d v="2022-06-30T00:00:00" u="1"/>
        <d v="2022-07-29T00:00:00" u="1"/>
        <d v="2022-08-26T00:00:00" u="1"/>
        <d v="2022-08-31T00:00:00" u="1"/>
        <d v="2022-09-09T00:00:00" u="1"/>
        <d v="2022-09-23T00:00:00" u="1"/>
        <d v="2022-09-30T00:00:00" u="1"/>
        <d v="2022-07-15T00:00:00" u="1"/>
        <d v="2021-03-31T00:00:00" u="1"/>
        <d v="2021-01-21T00:00:00" u="1"/>
        <d v="2021-01-12T00:00:00" u="1"/>
        <d v="2021-01-19T00:00:00" u="1"/>
        <d v="2021-01-27T00:00:00" u="1"/>
        <d v="2021-01-22T00:00:00" u="1"/>
        <d v="2021-02-22T00:00:00" u="1"/>
        <d v="2021-03-12T00:00:00" u="1"/>
        <d v="2021-03-18T00:00:00" u="1"/>
        <d v="2021-03-23T00:00:00" u="1"/>
        <d v="2021-04-09T00:00:00" u="1"/>
        <d v="2021-04-15T00:00:00" u="1"/>
        <d v="2021-04-20T00:00:00" u="1"/>
        <d v="2021-04-22T00:00:00" u="1"/>
        <d v="2021-04-25T00:00:00" u="1"/>
        <d v="2021-01-11T00:00:00" u="1"/>
        <d v="2021-02-03T00:00:00" u="1"/>
        <d v="2021-03-17T00:00:00" u="1"/>
        <d v="2021-03-05T00:00:00" u="1"/>
        <d v="2021-05-15T00:00:00" u="1"/>
        <d v="2021-05-28T00:00:00" u="1"/>
        <d v="2021-05-30T00:00:00" u="1"/>
        <d v="2021-05-31T00:00:00" u="1"/>
        <d v="2021-06-07T00:00:00" u="1"/>
        <d v="2021-06-11T00:00:00" u="1"/>
        <d v="2021-06-17T00:00:00" u="1"/>
        <d v="2021-06-18T00:00:00" u="1"/>
        <d v="2021-06-23T00:00:00" u="1"/>
        <d v="2021-06-29T00:00:00" u="1"/>
        <d v="2021-06-28T00:00:00" u="1"/>
        <d v="2021-07-15T00:00:00" u="1"/>
        <d v="2021-07-23T00:00:00" u="1"/>
        <d v="2021-07-30T00:00:00" u="1"/>
        <d v="2021-07-31T00:00:00" u="1"/>
        <d v="2021-08-01T00:00:00" u="1"/>
        <d v="2021-08-12T00:00:00" u="1"/>
        <d v="2021-08-20T00:00:00" u="1"/>
        <d v="2021-08-27T00:00:00" u="1"/>
        <d v="2021-08-31T00:00:00" u="1"/>
        <d v="2021-09-03T00:00:00" u="1"/>
        <d v="2021-09-10T00:00:00" u="1"/>
        <d v="2021-09-17T00:00:00" u="1"/>
        <d v="2021-09-24T00:00:00" u="1"/>
        <d v="2021-09-26T00:00:00" u="1"/>
        <d v="2021-09-30T00:00:00" u="1"/>
        <d v="2021-10-15T00:00:00" u="1"/>
        <d v="2021-11-26T00:00:00" u="1"/>
        <d v="2021-11-30T00:00:00" u="1"/>
        <d v="2021-12-17T00:00:00" u="1"/>
        <d v="2021-12-24T00:00:00" u="1"/>
        <d v="2021-12-30T00:00:00" u="1"/>
      </sharedItems>
    </cacheField>
    <cacheField name="客户单位名称" numFmtId="0">
      <sharedItems containsBlank="1" count="17">
        <m/>
        <s v="福州地铁实业有限公司"/>
        <s v="中铁建金融租赁有限公司"/>
        <s v="上海市基础工程集团有限公司上海机场联络线"/>
        <s v="中铁二十三局集团轨道交通工程有限公司"/>
        <s v="上海地铁盾构设备工程有限公司"/>
        <s v="中铁十六局集团地铁工程有限公司"/>
        <s v="中铁十七局集团第六工程有限公司福州滨海快线2标4工区项目经理部"/>
        <s v="中铁隧道股份有限公司"/>
        <s v="上海市基础工程集团有限公司"/>
        <s v="上海渠顺贸易有限公司配件合同"/>
        <s v="11局甬舟铁路项目DZ1396盾构机配件第五批采购合同"/>
        <s v="浙江物产工程技术服务有限公司"/>
        <s v="中铁十六局集团有限公司"/>
        <s v="嵊州市安瑞建材有限公司"/>
        <s v="西藏巨龙铜业有限公司"/>
        <s v="福建省木兰抽水蓄能有限公司"/>
      </sharedItems>
    </cacheField>
    <cacheField name="项目名称" numFmtId="0">
      <sharedItems containsBlank="1" count="15">
        <m/>
        <s v="福州市轨道交通2号线项目"/>
        <s v="中铁建金融租赁有限公司DL756X2&amp;DL758X2设备采购合同"/>
        <s v="上海市基础工程集团有限公司DZ852主驱动维修合同"/>
        <s v="中铁二十三局轨道公司DZ131勘验有偿服务合同"/>
        <s v="上海地铁盾构设备工程公司上海市轨道交通崇明线一期工程2台盾构机租赁合同"/>
        <s v="中铁十六局地铁公司厦工中铁243/244号盾构机维修合同"/>
        <s v="中铁十七局六公司滨海快线项目土压/TBM双模掘进机采购合同"/>
        <s v="中铁隧道集团宁波轨道6109标盾构技术有偿服务"/>
        <s v="上海市基础工程集团有限公司DL1207&amp;DL1208改造合同"/>
        <s v="浙江物产工程技术服务有限公司长春地铁9号线2台ZTE7150租赁合同"/>
        <s v="关于“中铁十六局集团上海嘉闵线土压平衡盾构机租赁合同”的审批申请"/>
        <s v="嵊州市祈佑建筑劳务工程有限公司1台ZYS123采购合同"/>
        <s v="西藏巨龙铜业有限公司凿岩台车、锚杆台车采购合同"/>
        <s v="福建省木兰抽水蓄能有限公司1台SCC1500采购合同"/>
      </sharedItems>
    </cacheField>
    <cacheField name="业务类型" numFmtId="0">
      <sharedItems containsBlank="1" count="7">
        <m/>
        <s v="租赁"/>
        <s v="销售"/>
        <s v="维修改造"/>
        <s v="技术服务"/>
        <s v="采购"/>
        <s v="配件"/>
      </sharedItems>
    </cacheField>
    <cacheField name="产品线" numFmtId="0">
      <sharedItems containsBlank="1" count="2">
        <m/>
        <s v="掘进机"/>
      </sharedItems>
    </cacheField>
    <cacheField name="设备工号" numFmtId="0">
      <sharedItems containsBlank="1" count="18">
        <m/>
        <s v="DL1206"/>
        <s v="DL1205"/>
        <s v="DL758X2"/>
        <s v="DL756X2"/>
        <s v="DG24010"/>
        <s v="DL749G2"/>
        <s v="DL750G3"/>
        <s v="DG1190"/>
        <s v="DZ773"/>
        <s v="DZ1162"/>
        <s v="DZ1605"/>
        <s v="DL1558"/>
        <s v="YF2024001S"/>
        <s v="G230323023"/>
        <s v="G260123003"/>
        <s v="DL748X1"/>
        <s v="G410121026"/>
      </sharedItems>
    </cacheField>
    <cacheField name="合同编号" numFmtId="0">
      <sharedItems containsBlank="1" count="16">
        <m/>
        <s v="SY-ZY-2022-097"/>
        <s v="CRCCFL-1-JY-2024-105-02"/>
        <s v="SFEG(2024)五工-F017"/>
        <s v="CR23GD-WZSBB-2024-004"/>
        <s v="D24-022F-T00-005"/>
        <s v="CRCC-16J-DGJWXHT-202303-8（CRCHI-WXGZ-2022-009）"/>
        <s v="CRCC17(6)/GN/SBCG/2020004"/>
        <s v="///////12"/>
        <s v="SFEG（2024）设材-F001"/>
        <s v="T11-2024-PJ-YZTL3GQ-044"/>
        <s v="CRCHI-GZ-2023-013"/>
        <s v="CRCC-16J-JMWZ-2024-008"/>
        <s v="CRCHI-XS-2025-001"/>
        <s v="2566-CG-2025-00107"/>
        <s v="MLCX�HT-WZ2025-003"/>
      </sharedItems>
    </cacheField>
    <cacheField name="销售收入金额（不含税）" numFmtId="0">
      <sharedItems containsString="0" containsBlank="1" containsNumber="1" minValue="-1544336.28" maxValue="16872101.77" count="26">
        <m/>
        <n v="1013352.21"/>
        <n v="271178.76"/>
        <n v="0"/>
        <n v="1150442.48"/>
        <n v="37735.85"/>
        <n v="1606109.73"/>
        <n v="1544336.28"/>
        <n v="293423.89"/>
        <n v="73169.03"/>
        <n v="617734.51"/>
        <n v="-530973.45"/>
        <n v="-1544336.28"/>
        <n v="4232.08"/>
        <n v="965210.18"/>
        <n v="16872101.77"/>
        <n v="13038.05"/>
        <n v="104326.53"/>
        <n v="491814.16"/>
        <n v="60530.97"/>
        <n v="884070.8"/>
        <n v="6769911.5"/>
        <n v="1145132.74"/>
        <n v="1038938.05"/>
        <n v="991194.69"/>
        <n v="849557.52"/>
      </sharedItems>
    </cacheField>
    <cacheField name="执行主办方" numFmtId="0">
      <sharedItems containsBlank="1" count="4">
        <m/>
        <s v="华东区域指挥部"/>
        <s v="东北区域指挥部"/>
        <s v="西南区域指挥部"/>
      </sharedItems>
    </cacheField>
    <cacheField name="执行协办方1" numFmtId="0">
      <sharedItems containsBlank="1" count="5">
        <m/>
        <s v="华中区域指挥部"/>
        <s v="中原区域指挥部"/>
        <s v="华东区域指挥部"/>
        <s v="华北区域指挥部"/>
      </sharedItems>
    </cacheField>
    <cacheField name="执行协办方2" numFmtId="0">
      <sharedItems containsString="0" containsBlank="1" containsNonDate="0" count="1">
        <m/>
      </sharedItems>
    </cacheField>
    <cacheField name="执行主办方指标分割比例" numFmtId="0">
      <sharedItems containsString="0" containsBlank="1" containsNumber="1" minValue="0" maxValue="1" count="4">
        <m/>
        <n v="1"/>
        <n v="0.6"/>
        <n v="0.7"/>
      </sharedItems>
    </cacheField>
    <cacheField name="执行协办方1指标分割比例" numFmtId="0">
      <sharedItems containsBlank="1" containsNumber="1" containsMixedTypes="1" count="4">
        <m/>
        <s v="40.00%"/>
        <n v="0.4"/>
        <n v="0.3"/>
      </sharedItems>
    </cacheField>
    <cacheField name="执行协办方2指标分割比例" numFmtId="0">
      <sharedItems containsString="0" containsBlank="1" containsNonDate="0" count="1">
        <m/>
      </sharedItems>
    </cacheField>
    <cacheField name="执行主办方指标分割金额" numFmtId="0">
      <sharedItems containsString="0" containsBlank="1" containsNumber="1" minValue="-1544336.28" maxValue="16872101.77" count="26">
        <m/>
        <n v="1013352.21"/>
        <n v="271178.76"/>
        <n v="0"/>
        <n v="1150442.48"/>
        <n v="37735.85"/>
        <n v="1606109.73"/>
        <n v="1544336.28"/>
        <n v="293423.89"/>
        <n v="73169.03"/>
        <n v="617734.51"/>
        <n v="-371681.415"/>
        <n v="-1544336.28"/>
        <n v="4232.08"/>
        <n v="965210.18"/>
        <n v="16872101.77"/>
        <n v="13038.05"/>
        <n v="104326.53"/>
        <n v="344269.912"/>
        <n v="42371.679"/>
        <n v="618849.56"/>
        <n v="6769911.5"/>
        <n v="687079.644"/>
        <n v="623362.83"/>
        <n v="693836.283"/>
        <n v="849557.52"/>
      </sharedItems>
    </cacheField>
    <cacheField name="执行协办方1指标分割金额" numFmtId="0">
      <sharedItems containsString="0" containsBlank="1" containsNumber="1" minValue="-159292.035" maxValue="458053.096" count="9">
        <m/>
        <n v="0"/>
        <n v="-159292.035"/>
        <n v="147544.248"/>
        <n v="18159.291"/>
        <n v="265221.24"/>
        <n v="458053.096"/>
        <n v="415575.22"/>
        <n v="297358.407"/>
      </sharedItems>
    </cacheField>
    <cacheField name="执行协办方2指标分割金额" numFmtId="0">
      <sharedItems containsString="0" containsBlank="1" containsNonDate="0" count="1">
        <m/>
      </sharedItems>
    </cacheField>
    <cacheField name="归属华东金额" numFmtId="0">
      <sharedItems containsString="0" containsBlank="1" containsNumber="1" minValue="-1544336.28" maxValue="16872101.77" count="26">
        <m/>
        <n v="1013352.21"/>
        <n v="271178.76"/>
        <n v="0"/>
        <n v="1150442.48"/>
        <n v="37735.85"/>
        <n v="1606109.73"/>
        <n v="1544336.28"/>
        <n v="293423.89"/>
        <n v="73169.03"/>
        <n v="617734.51"/>
        <n v="-371681.415"/>
        <n v="-1544336.28"/>
        <n v="4232.08"/>
        <n v="965210.18"/>
        <n v="16872101.77"/>
        <n v="13038.05"/>
        <n v="104326.53"/>
        <n v="147544.248"/>
        <n v="18159.291"/>
        <n v="618849.56"/>
        <n v="6769911.5"/>
        <n v="458053.096"/>
        <n v="415575.22"/>
        <n v="297358.407"/>
        <n v="849557.5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572.4013194444" refreshedBy="刘柯2[E3]" recordCount="0">
  <cacheSource type="worksheet">
    <worksheetSource ref="A1:A1" sheet="新签"/>
  </cacheSource>
  <cacheFields count="3">
    <cacheField name="责任人" numFmtId="0">
      <sharedItems containsBlank="1" count="17">
        <s v="陈浩"/>
        <s v="周斌"/>
        <s v="穆华清"/>
        <s v="段靖宗"/>
        <s v="沈腾飞"/>
        <s v="李汝"/>
        <s v="杨志胜"/>
        <s v="余广"/>
        <s v="袁志凌"/>
        <s v="刘新峥"/>
        <s v="赵宇瑄"/>
        <s v="万赛"/>
        <s v="申星"/>
        <s v="唐作栋"/>
        <s v="邓华富"/>
        <s v="陆顺"/>
        <m/>
      </sharedItems>
    </cacheField>
    <cacheField name="比例" numFmtId="0">
      <sharedItems containsString="0" containsBlank="1" containsNumber="1" minValue="0" maxValue="1" count="11">
        <n v="1"/>
        <n v="0.5"/>
        <n v="0.7"/>
        <n v="0.6"/>
        <n v="0.85"/>
        <n v="0.3"/>
        <n v="0.4"/>
        <n v="0.330578512396694"/>
        <n v="0.15"/>
        <n v="0.169421487603306"/>
        <m/>
      </sharedItems>
    </cacheField>
    <cacheField name="金额" numFmtId="0">
      <sharedItems containsString="0" containsBlank="1" containsNumber="1" minValue="0" maxValue="22680" count="41">
        <n v="354.2"/>
        <n v="717.332"/>
        <n v="704.956"/>
        <n v="957.42"/>
        <n v="22680"/>
        <n v="3708.6"/>
        <n v="195.8"/>
        <n v="725.2"/>
        <n v="175"/>
        <n v="441"/>
        <n v="1596"/>
        <n v="374.85"/>
        <n v="1694"/>
        <n v="293.328"/>
        <n v="147"/>
        <n v="903"/>
        <n v="1669.92"/>
        <n v="46.41031"/>
        <n v="205.8"/>
        <n v="847"/>
        <n v="29.328"/>
        <n v="84"/>
        <n v="270"/>
        <n v="42"/>
        <n v="1134"/>
        <n v="1327.9"/>
        <n v="889"/>
        <n v="257.5"/>
        <n v="3278.52429"/>
        <n v="9720"/>
        <n v="1589.4"/>
        <n v="160.65"/>
        <n v="195.552"/>
        <n v="63"/>
        <n v="715.68"/>
        <n v="88.2"/>
        <n v="560"/>
        <n v="569.1"/>
        <n v="578.56311"/>
        <n v="28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855.4881712963" refreshedBy="刘柯2[E3]" recordCount="0">
  <cacheSource type="worksheet">
    <worksheetSource ref="A1:A1" sheet="新签"/>
  </cacheSource>
  <cacheFields count="3">
    <cacheField name="责任人" numFmtId="0">
      <sharedItems containsBlank="1" count="15">
        <s v="万赛"/>
        <s v="段靖宗"/>
        <s v="周斌"/>
        <s v="杨志胜"/>
        <s v="沈腾飞"/>
        <s v="赵宇瑄"/>
        <s v="陈浩"/>
        <s v="申星"/>
        <s v="穆华清"/>
        <s v="刘新峥"/>
        <s v="李汝"/>
        <s v="袁志凌"/>
        <s v="唐作栋"/>
        <m/>
        <s v="陆顺"/>
      </sharedItems>
    </cacheField>
    <cacheField name="比例" numFmtId="0">
      <sharedItems containsString="0" containsBlank="1" containsNumber="1" minValue="0" maxValue="1" count="9">
        <n v="1"/>
        <n v="0.7"/>
        <n v="0.6"/>
        <n v="0.85"/>
        <n v="0.333333333333333"/>
        <n v="0.3"/>
        <m/>
        <n v="0.4"/>
        <n v="0.15"/>
      </sharedItems>
    </cacheField>
    <cacheField name="金额" numFmtId="0">
      <sharedItems containsString="0" containsBlank="1" containsNumber="1" minValue="-22060.125" maxValue="113964601.76" count="136">
        <n v="86513.27"/>
        <n v="1459766.3696"/>
        <n v="1412121.0285"/>
        <n v="1156302"/>
        <n v="1524681.3981"/>
        <n v="1974922.8863"/>
        <n v="450241.4882"/>
        <n v="378612.1612"/>
        <n v="1958502.7168"/>
        <n v="9763371.1133"/>
        <n v="4522702.4304"/>
        <n v="6972499.5753"/>
        <n v="709168.145"/>
        <n v="754154.492"/>
        <n v="644663.9479"/>
        <n v="1398477.346"/>
        <n v="1807787.7867"/>
        <n v="2132830.0462"/>
        <n v="2440679.6561"/>
        <n v="1824707.9669"/>
        <n v="18867.92"/>
        <n v="221238.938"/>
        <n v="-22060.125"/>
        <n v="1732743.363"/>
        <n v="1023276.1042"/>
        <n v="59433.9627"/>
        <n v="362389.3791"/>
        <n v="6197783.473"/>
        <n v="1101961.063"/>
        <n v="2785974.9337"/>
        <n v="3905345.2025"/>
        <n v="1170796.4597"/>
        <n v="3729203.5403"/>
        <n v="572389.3791"/>
        <n v="1797085.8388"/>
        <n v="1797085.8437"/>
        <n v="5339054.86725664"/>
        <n v="1261858.4076"/>
        <n v="831171.824"/>
        <n v="4014159.291"/>
        <n v="224290.4685"/>
        <n v="1659185.843"/>
        <n v="113964601.76"/>
        <n v="1057061.95"/>
        <n v="3642477.8768"/>
        <n v="32819469.025"/>
        <n v="247787.61"/>
        <n v="123893.812"/>
        <n v="66371.681"/>
        <n v="14506744.64595"/>
        <n v="3184070.799"/>
        <n v="1070796.46"/>
        <n v="1391575.22"/>
        <n v="2413362.5873"/>
        <n v="485005.29"/>
        <n v="447783.1848"/>
        <n v="2176991.151"/>
        <n v="107787.612"/>
        <n v="1171415.7903"/>
        <n v="1061946.9"/>
        <n v="1141592.92"/>
        <n v="485192.9208"/>
        <n v="802831.855"/>
        <n v="1548672.57"/>
        <n v="769911.5"/>
        <n v="1300884.956"/>
        <n v="73331.601"/>
        <n v="774336.283"/>
        <n v="2218867.9702"/>
        <n v="11751327.434"/>
        <n v="214385.8388"/>
        <n v="130088.4963"/>
        <n v="1084070.799"/>
        <n v="37847.784"/>
        <n v="562279.6452"/>
        <n v="385619.4699"/>
        <n v="2172641.5074"/>
        <n v="1837168.14"/>
        <n v="3542743.365"/>
        <n v="2743362.832"/>
        <n v="72254.864"/>
        <n v="34407.08"/>
        <n v="7964.601"/>
        <n v="6107964.60176991"/>
        <n v="4379645.088"/>
        <n v="625614.1584"/>
        <n v="605194.7265"/>
        <n v="495558"/>
        <n v="653434.8849"/>
        <n v="846395.5227"/>
        <n v="192960.6378"/>
        <n v="162262.3548"/>
        <n v="839358.3072"/>
        <n v="4184301.9057"/>
        <n v="1938301.0416"/>
        <n v="2988214.1037"/>
        <n v="0"/>
        <n v="323209.068"/>
        <n v="276284.5491"/>
        <n v="599347.434"/>
        <n v="774766.1943"/>
        <n v="914070.0198"/>
        <n v="1046005.5669"/>
        <n v="782017.7001"/>
        <n v="438546.9018"/>
        <n v="25471.6983"/>
        <n v="155309.7339"/>
        <n v="2656192.917"/>
        <n v="1193989.2573"/>
        <n v="1673719.3725"/>
        <n v="501769.9113"/>
        <n v="1598230.0887"/>
        <n v="245309.7339"/>
        <n v="770179.6452"/>
        <n v="770179.6473"/>
        <n v="3559369.91150442"/>
        <n v="540796.4604"/>
        <n v="96124.4865"/>
        <m/>
        <n v="1561061.9472"/>
        <n v="14065486.725"/>
        <n v="2560013.76105"/>
        <n v="1034298.2517"/>
        <n v="207859.41"/>
        <n v="191907.0792"/>
        <n v="502035.3387"/>
        <n v="207939.8232"/>
        <n v="31427.829"/>
        <n v="950943.4158"/>
        <n v="5036283.186"/>
        <n v="91879.6452"/>
        <n v="55752.2127"/>
        <n v="240976.9908"/>
        <n v="165265.4871"/>
        <n v="931132.0746"/>
        <n v="1518318.585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46.9703356481" refreshedBy="Administrator" recordCount="7">
  <cacheSource type="worksheet">
    <worksheetSource ref="A38:C45" sheet="Sheet2"/>
  </cacheSource>
  <cacheFields count="3">
    <cacheField name="责任人" numFmtId="0">
      <sharedItems count="5">
        <s v="李汝"/>
        <s v="段靖宗"/>
        <s v="杨志胜"/>
        <s v="穆华清"/>
        <s v="唐作栋"/>
      </sharedItems>
    </cacheField>
    <cacheField name="比例" numFmtId="0">
      <sharedItems containsSemiMixedTypes="0" containsString="0" containsNumber="1" minValue="0" maxValue="1" count="3">
        <n v="1"/>
        <n v="0.7"/>
        <n v="0.3"/>
      </sharedItems>
    </cacheField>
    <cacheField name="金额" numFmtId="0">
      <sharedItems containsSemiMixedTypes="0" containsString="0" containsNumber="1" containsInteger="1" minValue="0" maxValue="50320000" count="7">
        <n v="525000"/>
        <n v="245000"/>
        <n v="1000000"/>
        <n v="780000"/>
        <n v="150000"/>
        <n v="50320000"/>
        <n v="10500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46.9703356481" refreshedBy="Administrator" recordCount="11">
  <cacheSource type="worksheet">
    <worksheetSource ref="A1:C12" sheet="Sheet5"/>
  </cacheSource>
  <cacheFields count="3">
    <cacheField name="责任人1" numFmtId="0">
      <sharedItems count="6">
        <s v="赵宇暄"/>
        <s v="周斌"/>
        <s v="陈浩"/>
        <s v="陆顺"/>
        <s v="穆华清"/>
        <s v="刘新峥"/>
      </sharedItems>
    </cacheField>
    <cacheField name="比例" numFmtId="0">
      <sharedItems containsSemiMixedTypes="0" containsString="0" containsNumber="1" minValue="0" maxValue="1" count="4">
        <n v="0.7"/>
        <n v="1"/>
        <n v="0.5"/>
        <n v="0.3"/>
      </sharedItems>
    </cacheField>
    <cacheField name="金额" numFmtId="0">
      <sharedItems containsSemiMixedTypes="0" containsString="0" containsNumber="1" minValue="0" maxValue="1870812.86" count="10">
        <n v="1870812.86"/>
        <n v="1100000"/>
        <n v="400400"/>
        <n v="585000"/>
        <n v="230000"/>
        <n v="575400"/>
        <n v="240000"/>
        <n v="400000"/>
        <n v="801776.94"/>
        <n v="171600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46.9703356481" refreshedBy="Administrator" recordCount="22">
  <cacheSource type="worksheet">
    <worksheetSource ref="A1:C1048576" sheet="Sheet8"/>
  </cacheSource>
  <cacheFields count="3">
    <cacheField name="姓名" numFmtId="0">
      <sharedItems containsBlank="1" count="10">
        <s v="陈浩"/>
        <s v="赵宇瑄"/>
        <s v="袁志凌"/>
        <s v="赵宇暄"/>
        <s v="沈腾飞"/>
        <s v="周斌"/>
        <s v="陆顺"/>
        <s v="穆华清"/>
        <m/>
        <s v="刘新峥"/>
      </sharedItems>
    </cacheField>
    <cacheField name="比例" numFmtId="0">
      <sharedItems containsString="0" containsBlank="1" containsNumber="1" minValue="0" maxValue="1" count="7">
        <n v="1"/>
        <n v="0.6"/>
        <n v="0.7"/>
        <n v="0.5"/>
        <n v="0.4"/>
        <n v="0.3"/>
        <m/>
      </sharedItems>
    </cacheField>
    <cacheField name="金额" numFmtId="0">
      <sharedItems containsString="0" containsBlank="1" containsNumber="1" minValue="-1749000" maxValue="1870812.86" count="19">
        <n v="80000"/>
        <n v="-1749000"/>
        <n v="320760"/>
        <n v="-334896.576"/>
        <n v="509250"/>
        <n v="1870812.86"/>
        <n v="1100000"/>
        <n v="400400"/>
        <n v="585000"/>
        <n v="230000"/>
        <n v="575400"/>
        <n v="240000"/>
        <n v="400000"/>
        <n v="580202"/>
        <n v="213840"/>
        <n v="-143527.104"/>
        <m/>
        <n v="801776.94"/>
        <n v="1716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0"/>
    <x v="1"/>
    <x v="0"/>
    <x v="0"/>
    <x v="1"/>
    <x v="0"/>
    <x v="0"/>
    <x v="1"/>
  </r>
  <r>
    <x v="1"/>
    <x v="1"/>
    <x v="1"/>
    <x v="1"/>
    <x v="1"/>
    <x v="2"/>
    <x v="1"/>
    <x v="2"/>
    <x v="1"/>
    <x v="0"/>
    <x v="0"/>
    <x v="1"/>
    <x v="0"/>
    <x v="0"/>
    <x v="2"/>
    <x v="0"/>
    <x v="0"/>
    <x v="2"/>
  </r>
  <r>
    <x v="2"/>
    <x v="2"/>
    <x v="2"/>
    <x v="2"/>
    <x v="1"/>
    <x v="3"/>
    <x v="2"/>
    <x v="3"/>
    <x v="1"/>
    <x v="1"/>
    <x v="0"/>
    <x v="2"/>
    <x v="1"/>
    <x v="0"/>
    <x v="3"/>
    <x v="1"/>
    <x v="0"/>
    <x v="3"/>
  </r>
  <r>
    <x v="2"/>
    <x v="2"/>
    <x v="2"/>
    <x v="2"/>
    <x v="1"/>
    <x v="4"/>
    <x v="2"/>
    <x v="3"/>
    <x v="1"/>
    <x v="1"/>
    <x v="0"/>
    <x v="2"/>
    <x v="2"/>
    <x v="0"/>
    <x v="3"/>
    <x v="1"/>
    <x v="0"/>
    <x v="3"/>
  </r>
  <r>
    <x v="3"/>
    <x v="3"/>
    <x v="3"/>
    <x v="3"/>
    <x v="1"/>
    <x v="5"/>
    <x v="3"/>
    <x v="4"/>
    <x v="1"/>
    <x v="0"/>
    <x v="0"/>
    <x v="1"/>
    <x v="0"/>
    <x v="0"/>
    <x v="4"/>
    <x v="0"/>
    <x v="0"/>
    <x v="4"/>
  </r>
  <r>
    <x v="4"/>
    <x v="4"/>
    <x v="4"/>
    <x v="4"/>
    <x v="1"/>
    <x v="0"/>
    <x v="4"/>
    <x v="5"/>
    <x v="1"/>
    <x v="0"/>
    <x v="0"/>
    <x v="1"/>
    <x v="0"/>
    <x v="0"/>
    <x v="5"/>
    <x v="0"/>
    <x v="0"/>
    <x v="5"/>
  </r>
  <r>
    <x v="5"/>
    <x v="5"/>
    <x v="5"/>
    <x v="1"/>
    <x v="1"/>
    <x v="6"/>
    <x v="5"/>
    <x v="6"/>
    <x v="1"/>
    <x v="0"/>
    <x v="0"/>
    <x v="1"/>
    <x v="0"/>
    <x v="0"/>
    <x v="6"/>
    <x v="0"/>
    <x v="0"/>
    <x v="6"/>
  </r>
  <r>
    <x v="5"/>
    <x v="5"/>
    <x v="5"/>
    <x v="1"/>
    <x v="1"/>
    <x v="6"/>
    <x v="5"/>
    <x v="7"/>
    <x v="1"/>
    <x v="0"/>
    <x v="0"/>
    <x v="1"/>
    <x v="0"/>
    <x v="0"/>
    <x v="7"/>
    <x v="0"/>
    <x v="0"/>
    <x v="7"/>
  </r>
  <r>
    <x v="5"/>
    <x v="5"/>
    <x v="5"/>
    <x v="1"/>
    <x v="1"/>
    <x v="7"/>
    <x v="5"/>
    <x v="8"/>
    <x v="1"/>
    <x v="0"/>
    <x v="0"/>
    <x v="1"/>
    <x v="0"/>
    <x v="0"/>
    <x v="8"/>
    <x v="0"/>
    <x v="0"/>
    <x v="8"/>
  </r>
  <r>
    <x v="5"/>
    <x v="6"/>
    <x v="6"/>
    <x v="4"/>
    <x v="1"/>
    <x v="8"/>
    <x v="6"/>
    <x v="9"/>
    <x v="1"/>
    <x v="0"/>
    <x v="0"/>
    <x v="1"/>
    <x v="0"/>
    <x v="0"/>
    <x v="9"/>
    <x v="0"/>
    <x v="0"/>
    <x v="9"/>
  </r>
  <r>
    <x v="5"/>
    <x v="5"/>
    <x v="5"/>
    <x v="1"/>
    <x v="1"/>
    <x v="7"/>
    <x v="5"/>
    <x v="10"/>
    <x v="1"/>
    <x v="0"/>
    <x v="0"/>
    <x v="1"/>
    <x v="0"/>
    <x v="0"/>
    <x v="10"/>
    <x v="0"/>
    <x v="0"/>
    <x v="10"/>
  </r>
  <r>
    <x v="5"/>
    <x v="7"/>
    <x v="7"/>
    <x v="5"/>
    <x v="1"/>
    <x v="9"/>
    <x v="7"/>
    <x v="11"/>
    <x v="1"/>
    <x v="2"/>
    <x v="0"/>
    <x v="3"/>
    <x v="3"/>
    <x v="0"/>
    <x v="11"/>
    <x v="2"/>
    <x v="0"/>
    <x v="11"/>
  </r>
  <r>
    <x v="5"/>
    <x v="5"/>
    <x v="5"/>
    <x v="1"/>
    <x v="1"/>
    <x v="6"/>
    <x v="5"/>
    <x v="12"/>
    <x v="1"/>
    <x v="0"/>
    <x v="0"/>
    <x v="1"/>
    <x v="0"/>
    <x v="0"/>
    <x v="12"/>
    <x v="0"/>
    <x v="0"/>
    <x v="12"/>
  </r>
  <r>
    <x v="6"/>
    <x v="8"/>
    <x v="8"/>
    <x v="4"/>
    <x v="1"/>
    <x v="10"/>
    <x v="8"/>
    <x v="13"/>
    <x v="1"/>
    <x v="0"/>
    <x v="0"/>
    <x v="1"/>
    <x v="0"/>
    <x v="0"/>
    <x v="13"/>
    <x v="0"/>
    <x v="0"/>
    <x v="13"/>
  </r>
  <r>
    <x v="6"/>
    <x v="5"/>
    <x v="5"/>
    <x v="1"/>
    <x v="1"/>
    <x v="6"/>
    <x v="5"/>
    <x v="14"/>
    <x v="1"/>
    <x v="0"/>
    <x v="0"/>
    <x v="1"/>
    <x v="0"/>
    <x v="0"/>
    <x v="14"/>
    <x v="0"/>
    <x v="0"/>
    <x v="14"/>
  </r>
  <r>
    <x v="6"/>
    <x v="5"/>
    <x v="5"/>
    <x v="1"/>
    <x v="1"/>
    <x v="6"/>
    <x v="5"/>
    <x v="7"/>
    <x v="1"/>
    <x v="0"/>
    <x v="0"/>
    <x v="1"/>
    <x v="0"/>
    <x v="0"/>
    <x v="7"/>
    <x v="0"/>
    <x v="0"/>
    <x v="7"/>
  </r>
  <r>
    <x v="7"/>
    <x v="9"/>
    <x v="9"/>
    <x v="3"/>
    <x v="1"/>
    <x v="11"/>
    <x v="9"/>
    <x v="15"/>
    <x v="1"/>
    <x v="0"/>
    <x v="0"/>
    <x v="1"/>
    <x v="0"/>
    <x v="0"/>
    <x v="15"/>
    <x v="0"/>
    <x v="0"/>
    <x v="15"/>
  </r>
  <r>
    <x v="7"/>
    <x v="10"/>
    <x v="0"/>
    <x v="6"/>
    <x v="1"/>
    <x v="0"/>
    <x v="0"/>
    <x v="16"/>
    <x v="1"/>
    <x v="0"/>
    <x v="0"/>
    <x v="1"/>
    <x v="0"/>
    <x v="0"/>
    <x v="16"/>
    <x v="0"/>
    <x v="0"/>
    <x v="16"/>
  </r>
  <r>
    <x v="8"/>
    <x v="11"/>
    <x v="0"/>
    <x v="6"/>
    <x v="1"/>
    <x v="0"/>
    <x v="10"/>
    <x v="17"/>
    <x v="1"/>
    <x v="0"/>
    <x v="0"/>
    <x v="1"/>
    <x v="0"/>
    <x v="0"/>
    <x v="17"/>
    <x v="0"/>
    <x v="0"/>
    <x v="17"/>
  </r>
  <r>
    <x v="9"/>
    <x v="12"/>
    <x v="10"/>
    <x v="1"/>
    <x v="1"/>
    <x v="0"/>
    <x v="11"/>
    <x v="18"/>
    <x v="2"/>
    <x v="3"/>
    <x v="0"/>
    <x v="3"/>
    <x v="3"/>
    <x v="0"/>
    <x v="18"/>
    <x v="3"/>
    <x v="0"/>
    <x v="18"/>
  </r>
  <r>
    <x v="9"/>
    <x v="12"/>
    <x v="10"/>
    <x v="1"/>
    <x v="1"/>
    <x v="0"/>
    <x v="11"/>
    <x v="19"/>
    <x v="2"/>
    <x v="3"/>
    <x v="0"/>
    <x v="3"/>
    <x v="3"/>
    <x v="0"/>
    <x v="19"/>
    <x v="4"/>
    <x v="0"/>
    <x v="19"/>
  </r>
  <r>
    <x v="10"/>
    <x v="13"/>
    <x v="11"/>
    <x v="1"/>
    <x v="0"/>
    <x v="12"/>
    <x v="12"/>
    <x v="20"/>
    <x v="1"/>
    <x v="4"/>
    <x v="0"/>
    <x v="3"/>
    <x v="3"/>
    <x v="0"/>
    <x v="20"/>
    <x v="5"/>
    <x v="0"/>
    <x v="20"/>
  </r>
  <r>
    <x v="10"/>
    <x v="14"/>
    <x v="12"/>
    <x v="2"/>
    <x v="0"/>
    <x v="13"/>
    <x v="13"/>
    <x v="21"/>
    <x v="1"/>
    <x v="0"/>
    <x v="0"/>
    <x v="1"/>
    <x v="0"/>
    <x v="0"/>
    <x v="21"/>
    <x v="0"/>
    <x v="0"/>
    <x v="21"/>
  </r>
  <r>
    <x v="10"/>
    <x v="15"/>
    <x v="13"/>
    <x v="2"/>
    <x v="0"/>
    <x v="14"/>
    <x v="14"/>
    <x v="22"/>
    <x v="3"/>
    <x v="3"/>
    <x v="0"/>
    <x v="2"/>
    <x v="2"/>
    <x v="0"/>
    <x v="22"/>
    <x v="6"/>
    <x v="0"/>
    <x v="22"/>
  </r>
  <r>
    <x v="10"/>
    <x v="15"/>
    <x v="13"/>
    <x v="2"/>
    <x v="0"/>
    <x v="15"/>
    <x v="14"/>
    <x v="23"/>
    <x v="3"/>
    <x v="3"/>
    <x v="0"/>
    <x v="2"/>
    <x v="2"/>
    <x v="0"/>
    <x v="23"/>
    <x v="7"/>
    <x v="0"/>
    <x v="23"/>
  </r>
  <r>
    <x v="10"/>
    <x v="12"/>
    <x v="10"/>
    <x v="1"/>
    <x v="0"/>
    <x v="16"/>
    <x v="11"/>
    <x v="24"/>
    <x v="2"/>
    <x v="3"/>
    <x v="0"/>
    <x v="3"/>
    <x v="3"/>
    <x v="0"/>
    <x v="24"/>
    <x v="8"/>
    <x v="0"/>
    <x v="24"/>
  </r>
  <r>
    <x v="10"/>
    <x v="16"/>
    <x v="14"/>
    <x v="2"/>
    <x v="0"/>
    <x v="17"/>
    <x v="15"/>
    <x v="25"/>
    <x v="1"/>
    <x v="0"/>
    <x v="0"/>
    <x v="1"/>
    <x v="0"/>
    <x v="0"/>
    <x v="25"/>
    <x v="0"/>
    <x v="0"/>
    <x v="25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0"/>
</file>

<file path=xl/pivotCache/pivotCacheRecords4.xml><?xml version="1.0" encoding="utf-8"?>
<pivotCacheRecords xmlns="http://schemas.openxmlformats.org/spreadsheetml/2006/main" xmlns:r="http://schemas.openxmlformats.org/officeDocument/2006/relationships" count="0"/>
</file>

<file path=xl/pivotCache/pivotCacheRecords5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1"/>
  </r>
  <r>
    <x v="0"/>
    <x v="0"/>
    <x v="2"/>
  </r>
  <r>
    <x v="2"/>
    <x v="0"/>
    <x v="3"/>
  </r>
  <r>
    <x v="3"/>
    <x v="0"/>
    <x v="4"/>
  </r>
  <r>
    <x v="3"/>
    <x v="0"/>
    <x v="5"/>
  </r>
  <r>
    <x v="4"/>
    <x v="2"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1">
  <r>
    <x v="0"/>
    <x v="0"/>
    <x v="0"/>
  </r>
  <r>
    <x v="1"/>
    <x v="1"/>
    <x v="1"/>
  </r>
  <r>
    <x v="1"/>
    <x v="0"/>
    <x v="2"/>
  </r>
  <r>
    <x v="2"/>
    <x v="2"/>
    <x v="3"/>
  </r>
  <r>
    <x v="2"/>
    <x v="1"/>
    <x v="4"/>
  </r>
  <r>
    <x v="2"/>
    <x v="1"/>
    <x v="5"/>
  </r>
  <r>
    <x v="3"/>
    <x v="1"/>
    <x v="6"/>
  </r>
  <r>
    <x v="3"/>
    <x v="1"/>
    <x v="7"/>
  </r>
  <r>
    <x v="4"/>
    <x v="3"/>
    <x v="8"/>
  </r>
  <r>
    <x v="2"/>
    <x v="3"/>
    <x v="9"/>
  </r>
  <r>
    <x v="5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5" firstHeaderRow="1" firstDataRow="1" firstDataCol="1"/>
  <pivotFields count="18">
    <pivotField axis="axisRow" compact="0" sortType="ascending" showAll="0">
      <items count="84">
        <item x="5"/>
        <item x="4"/>
        <item x="3"/>
        <item x="2"/>
        <item m="1" x="47"/>
        <item m="1" x="34"/>
        <item m="1" x="35"/>
        <item m="1" x="33"/>
        <item m="1" x="37"/>
        <item m="1" x="36"/>
        <item m="1" x="48"/>
        <item m="1" x="38"/>
        <item m="1" x="50"/>
        <item m="1" x="39"/>
        <item m="1" x="49"/>
        <item m="1" x="40"/>
        <item m="1" x="41"/>
        <item m="1" x="32"/>
        <item m="1" x="42"/>
        <item m="1" x="43"/>
        <item m="1" x="44"/>
        <item m="1" x="45"/>
        <item m="1" x="46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1"/>
        <item m="1" x="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31"/>
        <item m="1" x="25"/>
        <item m="1" x="26"/>
        <item m="1" x="27"/>
        <item m="1" x="28"/>
        <item m="1" x="29"/>
        <item m="1" x="30"/>
        <item x="1"/>
        <item x="6"/>
        <item x="7"/>
        <item x="8"/>
        <item x="9"/>
        <item x="10"/>
        <item x="0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27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27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10">
        <item x="0"/>
        <item x="2"/>
        <item x="1"/>
        <item x="3"/>
        <item x="4"/>
        <item x="5"/>
        <item x="6"/>
        <item x="7"/>
        <item x="8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27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3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dataFields count="1">
    <dataField name="求和项:归属华东金额" fld="17" baseField="0" baseItem="4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5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4" firstHeaderRow="1" firstDataRow="1" firstDataCol="1"/>
  <pivotFields count="3">
    <pivotField axis="axisRow" compact="0" showAll="0">
      <items count="11">
        <item x="0"/>
        <item x="9"/>
        <item x="6"/>
        <item x="7"/>
        <item x="4"/>
        <item x="2"/>
        <item x="1"/>
        <item x="3"/>
        <item x="5"/>
        <item x="8"/>
        <item t="default"/>
      </items>
    </pivotField>
    <pivotField compact="0" showAll="0">
      <items count="8">
        <item x="5"/>
        <item x="4"/>
        <item x="3"/>
        <item x="1"/>
        <item x="2"/>
        <item x="0"/>
        <item x="6"/>
        <item t="default"/>
      </items>
    </pivotField>
    <pivotField dataField="1" compact="0" showAll="0">
      <items count="20">
        <item x="1"/>
        <item x="3"/>
        <item x="15"/>
        <item x="0"/>
        <item x="18"/>
        <item x="14"/>
        <item x="9"/>
        <item x="11"/>
        <item x="2"/>
        <item x="12"/>
        <item x="7"/>
        <item x="4"/>
        <item x="10"/>
        <item x="13"/>
        <item x="8"/>
        <item x="17"/>
        <item x="6"/>
        <item x="5"/>
        <item x="16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求和项:金额" fld="2" baseField="0" baseItem="0"/>
  </dataFields>
  <formats count="1">
    <format dxfId="0">
      <pivotArea collapsedLevelsAreSubtotals="1" fieldPosition="0">
        <references count="1">
          <reference field="0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1" cacheId="4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28:G35" firstHeaderRow="1" firstDataRow="1" firstDataCol="1"/>
  <pivotFields count="3">
    <pivotField axis="axisRow" compact="0" showAll="0">
      <items count="7">
        <item x="2"/>
        <item x="5"/>
        <item x="3"/>
        <item x="4"/>
        <item x="0"/>
        <item x="1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dataField="1" compact="0" showAll="0">
      <items count="11">
        <item x="9"/>
        <item x="4"/>
        <item x="6"/>
        <item x="7"/>
        <item x="2"/>
        <item x="5"/>
        <item x="3"/>
        <item x="8"/>
        <item x="1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金额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9" firstHeaderRow="1" firstDataRow="1" firstDataCol="1"/>
  <pivotFields count="3">
    <pivotField axis="axisRow" compact="0" showAll="0">
      <items count="16">
        <item x="6"/>
        <item x="1"/>
        <item x="10"/>
        <item x="9"/>
        <item x="14"/>
        <item x="8"/>
        <item x="7"/>
        <item x="4"/>
        <item x="12"/>
        <item x="0"/>
        <item x="3"/>
        <item x="11"/>
        <item x="5"/>
        <item x="2"/>
        <item x="13"/>
        <item t="default"/>
      </items>
    </pivotField>
    <pivotField compact="0" showAll="0">
      <items count="10">
        <item x="8"/>
        <item x="5"/>
        <item x="4"/>
        <item x="7"/>
        <item x="2"/>
        <item x="1"/>
        <item x="3"/>
        <item x="0"/>
        <item x="6"/>
        <item t="default"/>
      </items>
    </pivotField>
    <pivotField dataField="1" compact="0" showAll="0">
      <items count="137">
        <item x="22"/>
        <item x="96"/>
        <item x="82"/>
        <item x="20"/>
        <item x="105"/>
        <item x="127"/>
        <item x="81"/>
        <item x="73"/>
        <item x="131"/>
        <item x="25"/>
        <item x="48"/>
        <item x="80"/>
        <item x="66"/>
        <item x="0"/>
        <item x="130"/>
        <item x="117"/>
        <item x="57"/>
        <item x="47"/>
        <item x="71"/>
        <item x="106"/>
        <item x="91"/>
        <item x="133"/>
        <item x="124"/>
        <item x="90"/>
        <item x="123"/>
        <item x="126"/>
        <item x="70"/>
        <item x="21"/>
        <item x="40"/>
        <item x="132"/>
        <item x="112"/>
        <item x="46"/>
        <item x="98"/>
        <item x="97"/>
        <item x="26"/>
        <item x="7"/>
        <item x="75"/>
        <item x="104"/>
        <item x="55"/>
        <item x="6"/>
        <item x="54"/>
        <item x="61"/>
        <item x="87"/>
        <item x="110"/>
        <item x="125"/>
        <item x="116"/>
        <item x="74"/>
        <item x="33"/>
        <item x="99"/>
        <item x="86"/>
        <item x="85"/>
        <item x="14"/>
        <item x="88"/>
        <item x="12"/>
        <item x="13"/>
        <item x="64"/>
        <item x="113"/>
        <item x="114"/>
        <item x="67"/>
        <item x="100"/>
        <item x="103"/>
        <item x="62"/>
        <item x="38"/>
        <item x="92"/>
        <item x="89"/>
        <item x="101"/>
        <item x="134"/>
        <item x="128"/>
        <item x="24"/>
        <item x="122"/>
        <item x="102"/>
        <item x="43"/>
        <item x="59"/>
        <item x="51"/>
        <item x="72"/>
        <item x="28"/>
        <item x="60"/>
        <item x="3"/>
        <item x="31"/>
        <item x="58"/>
        <item x="108"/>
        <item x="37"/>
        <item x="65"/>
        <item x="52"/>
        <item x="15"/>
        <item x="2"/>
        <item x="1"/>
        <item x="135"/>
        <item x="4"/>
        <item x="63"/>
        <item x="119"/>
        <item x="111"/>
        <item x="41"/>
        <item x="109"/>
        <item x="23"/>
        <item x="34"/>
        <item x="35"/>
        <item x="16"/>
        <item x="19"/>
        <item x="77"/>
        <item x="94"/>
        <item x="8"/>
        <item x="5"/>
        <item x="17"/>
        <item x="76"/>
        <item x="56"/>
        <item x="68"/>
        <item x="53"/>
        <item x="18"/>
        <item x="121"/>
        <item x="107"/>
        <item x="79"/>
        <item x="29"/>
        <item x="95"/>
        <item x="50"/>
        <item x="78"/>
        <item x="115"/>
        <item x="44"/>
        <item x="32"/>
        <item x="30"/>
        <item x="39"/>
        <item x="93"/>
        <item x="84"/>
        <item x="10"/>
        <item x="129"/>
        <item x="36"/>
        <item x="83"/>
        <item x="27"/>
        <item x="11"/>
        <item x="9"/>
        <item x="69"/>
        <item x="120"/>
        <item x="49"/>
        <item x="45"/>
        <item x="42"/>
        <item x="118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求和项:金额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1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F49:G55" firstHeaderRow="1" firstDataRow="1" firstDataCol="1"/>
  <pivotFields count="3">
    <pivotField axis="axisRow" compact="0" showAll="0">
      <items count="6">
        <item x="1"/>
        <item x="0"/>
        <item x="3"/>
        <item x="4"/>
        <item x="2"/>
        <item t="default"/>
      </items>
    </pivotField>
    <pivotField compact="0" showAll="0"/>
    <pivotField dataField="1" compact="0" showAll="0">
      <items count="8">
        <item x="6"/>
        <item x="4"/>
        <item x="1"/>
        <item x="0"/>
        <item x="3"/>
        <item x="2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金额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1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3">
    <pivotField compact="0" showAll="0">
      <items count="18">
        <item x="0"/>
        <item x="14"/>
        <item x="3"/>
        <item x="5"/>
        <item x="9"/>
        <item x="15"/>
        <item x="2"/>
        <item x="12"/>
        <item x="4"/>
        <item x="13"/>
        <item x="11"/>
        <item x="6"/>
        <item x="7"/>
        <item x="8"/>
        <item x="10"/>
        <item x="1"/>
        <item x="16"/>
        <item t="default"/>
      </items>
    </pivotField>
    <pivotField compact="0" showAll="0"/>
    <pivotField dataField="1" compact="0" showAll="0">
      <items count="42">
        <item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6"/>
        <item x="39"/>
        <item t="default"/>
      </items>
    </pivotField>
  </pivotFields>
  <dataFields count="1">
    <dataField name="求和项:金额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21" firstHeaderRow="1" firstDataRow="1" firstDataCol="1"/>
  <pivotFields count="3">
    <pivotField axis="axisRow" compact="0" showAll="0">
      <items count="18">
        <item x="0"/>
        <item x="14"/>
        <item x="3"/>
        <item x="5"/>
        <item x="9"/>
        <item x="15"/>
        <item x="2"/>
        <item x="12"/>
        <item x="4"/>
        <item x="13"/>
        <item x="11"/>
        <item x="6"/>
        <item x="7"/>
        <item x="8"/>
        <item x="10"/>
        <item x="1"/>
        <item x="16"/>
        <item t="default"/>
      </items>
    </pivotField>
    <pivotField compact="0" showAll="0">
      <items count="12">
        <item x="8"/>
        <item x="5"/>
        <item x="6"/>
        <item x="1"/>
        <item x="3"/>
        <item x="2"/>
        <item x="4"/>
        <item x="0"/>
        <item x="10"/>
        <item x="7"/>
        <item x="9"/>
        <item t="default"/>
      </items>
    </pivotField>
    <pivotField dataField="1" compact="0" showAll="0">
      <items count="42">
        <item x="20"/>
        <item x="23"/>
        <item x="17"/>
        <item x="33"/>
        <item x="21"/>
        <item x="35"/>
        <item x="14"/>
        <item x="31"/>
        <item x="8"/>
        <item x="32"/>
        <item x="6"/>
        <item x="18"/>
        <item x="27"/>
        <item x="22"/>
        <item x="13"/>
        <item x="0"/>
        <item x="11"/>
        <item x="9"/>
        <item x="37"/>
        <item x="38"/>
        <item x="2"/>
        <item x="34"/>
        <item x="1"/>
        <item x="7"/>
        <item x="19"/>
        <item x="26"/>
        <item x="15"/>
        <item x="3"/>
        <item x="24"/>
        <item x="25"/>
        <item x="30"/>
        <item x="10"/>
        <item x="16"/>
        <item x="12"/>
        <item x="28"/>
        <item x="5"/>
        <item x="29"/>
        <item x="4"/>
        <item x="40"/>
        <item x="36"/>
        <item x="39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求和项:金额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43"/>
  <sheetViews>
    <sheetView zoomScale="40" zoomScaleNormal="40" topLeftCell="A30" workbookViewId="0">
      <selection activeCell="P39" sqref="P39"/>
    </sheetView>
  </sheetViews>
  <sheetFormatPr defaultColWidth="9" defaultRowHeight="14"/>
  <cols>
    <col min="1" max="1" width="8.18181818181818" customWidth="1"/>
    <col min="2" max="2" width="14.5454545454545" customWidth="1"/>
    <col min="3" max="3" width="30.4181818181818" style="86" customWidth="1"/>
    <col min="4" max="4" width="26.4363636363636" style="221" customWidth="1"/>
    <col min="5" max="5" width="35.2272727272727" style="221" customWidth="1"/>
    <col min="6" max="6" width="16.5363636363636" customWidth="1"/>
    <col min="7" max="8" width="16.5363636363636" hidden="1" customWidth="1"/>
    <col min="9" max="10" width="15.0363636363636" hidden="1" customWidth="1"/>
    <col min="11" max="11" width="16.5363636363636" hidden="1" customWidth="1"/>
    <col min="12" max="12" width="26.2363636363636" customWidth="1"/>
    <col min="13" max="14" width="21.9818181818182" customWidth="1"/>
    <col min="15" max="15" width="16.5363636363636" customWidth="1"/>
    <col min="16" max="18" width="13.3636363636364" customWidth="1"/>
    <col min="19" max="21" width="11.1636363636364" customWidth="1"/>
    <col min="22" max="22" width="16.6363636363636" style="88" customWidth="1"/>
    <col min="23" max="23" width="20.2272727272727" customWidth="1"/>
    <col min="24" max="24" width="11.9454545454545" customWidth="1"/>
    <col min="25" max="25" width="19.6090909090909" customWidth="1"/>
    <col min="26" max="27" width="12.0727272727273" customWidth="1"/>
    <col min="28" max="28" width="21.8181818181818" customWidth="1"/>
    <col min="29" max="30" width="12.0727272727273" customWidth="1"/>
    <col min="31" max="31" width="17.6818181818182" customWidth="1"/>
    <col min="32" max="34" width="12.0727272727273" customWidth="1"/>
    <col min="37" max="37" width="9.54545454545454"/>
    <col min="39" max="39" width="12.2727272727273"/>
  </cols>
  <sheetData>
    <row r="1" s="217" customFormat="1" ht="83" customHeight="1" spans="1:40">
      <c r="A1" s="177" t="s">
        <v>0</v>
      </c>
      <c r="B1" s="177" t="s">
        <v>1</v>
      </c>
      <c r="C1" s="177" t="s">
        <v>2</v>
      </c>
      <c r="D1" s="177" t="s">
        <v>3</v>
      </c>
      <c r="E1" s="177" t="s">
        <v>4</v>
      </c>
      <c r="F1" s="178" t="s">
        <v>5</v>
      </c>
      <c r="G1" s="177" t="s">
        <v>6</v>
      </c>
      <c r="H1" s="178" t="s">
        <v>7</v>
      </c>
      <c r="I1" s="178" t="s">
        <v>8</v>
      </c>
      <c r="J1" s="177" t="s">
        <v>9</v>
      </c>
      <c r="K1" s="177" t="s">
        <v>10</v>
      </c>
      <c r="L1" s="177" t="s">
        <v>11</v>
      </c>
      <c r="M1" s="178" t="s">
        <v>12</v>
      </c>
      <c r="N1" s="177" t="s">
        <v>13</v>
      </c>
      <c r="O1" s="177" t="s">
        <v>14</v>
      </c>
      <c r="P1" s="177" t="s">
        <v>15</v>
      </c>
      <c r="Q1" s="177" t="s">
        <v>16</v>
      </c>
      <c r="R1" s="177" t="s">
        <v>17</v>
      </c>
      <c r="S1" s="177" t="s">
        <v>18</v>
      </c>
      <c r="T1" s="177" t="s">
        <v>19</v>
      </c>
      <c r="U1" s="177" t="s">
        <v>20</v>
      </c>
      <c r="V1" s="222" t="s">
        <v>21</v>
      </c>
      <c r="W1" s="177" t="s">
        <v>22</v>
      </c>
      <c r="X1" s="177" t="s">
        <v>23</v>
      </c>
      <c r="Y1" s="183" t="s">
        <v>24</v>
      </c>
      <c r="Z1" s="183" t="s">
        <v>25</v>
      </c>
      <c r="AA1" s="183"/>
      <c r="AB1" s="183"/>
      <c r="AC1" s="183"/>
      <c r="AD1" s="183"/>
      <c r="AE1" s="183"/>
      <c r="AF1" s="183"/>
      <c r="AG1" s="183"/>
      <c r="AH1" s="183"/>
    </row>
    <row r="2" s="218" customFormat="1" ht="83" customHeight="1" spans="1:40">
      <c r="A2" s="177"/>
      <c r="B2" s="177"/>
      <c r="C2" s="177"/>
      <c r="D2" s="177"/>
      <c r="E2" s="177"/>
      <c r="F2" s="184"/>
      <c r="G2" s="177"/>
      <c r="H2" s="184"/>
      <c r="I2" s="184"/>
      <c r="J2" s="177"/>
      <c r="K2" s="177"/>
      <c r="L2" s="177"/>
      <c r="M2" s="184"/>
      <c r="N2" s="177"/>
      <c r="O2" s="177"/>
      <c r="P2" s="177"/>
      <c r="Q2" s="177"/>
      <c r="R2" s="177"/>
      <c r="S2" s="177"/>
      <c r="T2" s="177"/>
      <c r="U2" s="177"/>
      <c r="V2" s="222"/>
      <c r="W2" s="177"/>
      <c r="X2" s="177"/>
      <c r="Y2" s="183"/>
      <c r="Z2" s="183" t="s">
        <v>26</v>
      </c>
      <c r="AA2" s="223" t="s">
        <v>27</v>
      </c>
      <c r="AB2" s="223" t="s">
        <v>28</v>
      </c>
      <c r="AC2" s="183" t="s">
        <v>26</v>
      </c>
      <c r="AD2" s="223" t="s">
        <v>27</v>
      </c>
      <c r="AE2" s="223" t="s">
        <v>28</v>
      </c>
      <c r="AF2" s="183" t="s">
        <v>26</v>
      </c>
      <c r="AG2" s="223" t="s">
        <v>27</v>
      </c>
      <c r="AH2" s="223" t="s">
        <v>28</v>
      </c>
    </row>
    <row r="3" s="219" customFormat="1" ht="86" hidden="1" customHeight="1" spans="1:40">
      <c r="A3" s="224">
        <v>1</v>
      </c>
      <c r="B3" s="225" t="s">
        <v>29</v>
      </c>
      <c r="C3" s="226" t="s">
        <v>30</v>
      </c>
      <c r="D3" s="226" t="s">
        <v>31</v>
      </c>
      <c r="E3" s="226" t="s">
        <v>32</v>
      </c>
      <c r="F3" s="224" t="s">
        <v>33</v>
      </c>
      <c r="G3" s="224"/>
      <c r="H3" s="224"/>
      <c r="I3" s="224"/>
      <c r="J3" s="224"/>
      <c r="K3" s="224"/>
      <c r="L3" s="224">
        <v>3500000</v>
      </c>
      <c r="M3" s="227"/>
      <c r="N3" s="227">
        <v>46038</v>
      </c>
      <c r="O3" s="224"/>
      <c r="P3" s="226" t="s">
        <v>34</v>
      </c>
      <c r="Q3" s="226" t="s">
        <v>35</v>
      </c>
      <c r="R3" s="224"/>
      <c r="S3" s="228">
        <v>0.7</v>
      </c>
      <c r="T3" s="228">
        <v>0.3</v>
      </c>
      <c r="U3" s="224"/>
      <c r="V3" s="229">
        <f t="shared" ref="V3:V24" si="0">L3*S3</f>
        <v>2450000</v>
      </c>
      <c r="W3" s="224">
        <f>L3*T3</f>
        <v>1050000</v>
      </c>
      <c r="X3" s="224"/>
      <c r="Y3" s="224">
        <v>1050000</v>
      </c>
      <c r="Z3" s="224" t="s">
        <v>36</v>
      </c>
      <c r="AA3" s="230">
        <v>1</v>
      </c>
      <c r="AB3" s="224">
        <f t="shared" ref="AB3:AB24" si="1">Y3*AA3</f>
        <v>1050000</v>
      </c>
      <c r="AC3" s="224"/>
      <c r="AD3" s="224"/>
      <c r="AE3" s="224"/>
      <c r="AF3" s="224"/>
      <c r="AG3" s="224"/>
      <c r="AH3" s="224"/>
    </row>
    <row r="4" s="219" customFormat="1" ht="86" hidden="1" customHeight="1" spans="1:40">
      <c r="A4" s="224">
        <v>2</v>
      </c>
      <c r="B4" s="225" t="s">
        <v>37</v>
      </c>
      <c r="C4" s="226" t="s">
        <v>38</v>
      </c>
      <c r="D4" s="226" t="s">
        <v>39</v>
      </c>
      <c r="E4" s="226" t="s">
        <v>40</v>
      </c>
      <c r="F4" s="224" t="s">
        <v>33</v>
      </c>
      <c r="G4" s="224"/>
      <c r="H4" s="224"/>
      <c r="I4" s="224"/>
      <c r="J4" s="224"/>
      <c r="K4" s="224"/>
      <c r="L4" s="224">
        <v>7325000</v>
      </c>
      <c r="M4" s="227"/>
      <c r="N4" s="227">
        <v>46038</v>
      </c>
      <c r="O4" s="224"/>
      <c r="P4" s="226" t="s">
        <v>35</v>
      </c>
      <c r="Q4" s="226"/>
      <c r="R4" s="224"/>
      <c r="S4" s="228">
        <v>1</v>
      </c>
      <c r="T4" s="228"/>
      <c r="U4" s="224"/>
      <c r="V4" s="229">
        <f t="shared" si="0"/>
        <v>7325000</v>
      </c>
      <c r="W4" s="224"/>
      <c r="X4" s="224"/>
      <c r="Y4" s="224">
        <v>7325000</v>
      </c>
      <c r="Z4" s="224" t="s">
        <v>41</v>
      </c>
      <c r="AA4" s="230">
        <v>0.7</v>
      </c>
      <c r="AB4" s="224">
        <f t="shared" si="1"/>
        <v>5127500</v>
      </c>
      <c r="AC4" s="224" t="s">
        <v>42</v>
      </c>
      <c r="AD4" s="230">
        <v>0.3</v>
      </c>
      <c r="AE4" s="224">
        <f t="shared" ref="AE4:AE8" si="2">Y4*AD4</f>
        <v>2197500</v>
      </c>
      <c r="AF4" s="224"/>
      <c r="AG4" s="224"/>
      <c r="AH4" s="224"/>
      <c r="AI4" s="1"/>
      <c r="AJ4" s="1"/>
      <c r="AK4" s="1"/>
      <c r="AL4" s="1"/>
      <c r="AM4" s="1"/>
      <c r="AN4" s="1"/>
    </row>
    <row r="5" s="219" customFormat="1" ht="86" hidden="1" customHeight="1" spans="1:40">
      <c r="A5" s="224">
        <v>3</v>
      </c>
      <c r="B5" s="225" t="s">
        <v>37</v>
      </c>
      <c r="C5" s="226" t="s">
        <v>43</v>
      </c>
      <c r="D5" s="226" t="s">
        <v>44</v>
      </c>
      <c r="E5" s="226" t="s">
        <v>40</v>
      </c>
      <c r="F5" s="224" t="s">
        <v>33</v>
      </c>
      <c r="G5" s="224"/>
      <c r="H5" s="224"/>
      <c r="I5" s="224"/>
      <c r="J5" s="224"/>
      <c r="K5" s="224"/>
      <c r="L5" s="224">
        <v>6495000</v>
      </c>
      <c r="M5" s="227"/>
      <c r="N5" s="227">
        <v>46038</v>
      </c>
      <c r="O5" s="224"/>
      <c r="P5" s="226" t="s">
        <v>35</v>
      </c>
      <c r="Q5" s="226" t="s">
        <v>34</v>
      </c>
      <c r="R5" s="224"/>
      <c r="S5" s="228">
        <v>0.7</v>
      </c>
      <c r="T5" s="228">
        <v>0.3</v>
      </c>
      <c r="U5" s="224"/>
      <c r="V5" s="229">
        <f t="shared" si="0"/>
        <v>4546500</v>
      </c>
      <c r="W5" s="224">
        <f>L5*T5</f>
        <v>1948500</v>
      </c>
      <c r="X5" s="224"/>
      <c r="Y5" s="224">
        <v>4546500</v>
      </c>
      <c r="Z5" s="224" t="s">
        <v>41</v>
      </c>
      <c r="AA5" s="230">
        <v>0.7</v>
      </c>
      <c r="AB5" s="224">
        <f t="shared" si="1"/>
        <v>3182550</v>
      </c>
      <c r="AC5" s="224" t="s">
        <v>42</v>
      </c>
      <c r="AD5" s="230">
        <v>0.3</v>
      </c>
      <c r="AE5" s="224">
        <f t="shared" si="2"/>
        <v>1363950</v>
      </c>
      <c r="AF5" s="224"/>
      <c r="AG5" s="224"/>
      <c r="AH5" s="224"/>
    </row>
    <row r="6" s="220" customFormat="1" ht="86" hidden="1" customHeight="1" spans="1:40">
      <c r="A6" s="224">
        <v>4</v>
      </c>
      <c r="B6" s="225" t="s">
        <v>29</v>
      </c>
      <c r="C6" s="226" t="s">
        <v>45</v>
      </c>
      <c r="D6" s="226" t="s">
        <v>45</v>
      </c>
      <c r="E6" s="226" t="s">
        <v>46</v>
      </c>
      <c r="F6" s="225" t="s">
        <v>33</v>
      </c>
      <c r="G6" s="225"/>
      <c r="H6" s="225"/>
      <c r="I6" s="225"/>
      <c r="J6" s="225"/>
      <c r="K6" s="225"/>
      <c r="L6" s="225">
        <v>30560000</v>
      </c>
      <c r="M6" s="231"/>
      <c r="N6" s="231">
        <v>46038</v>
      </c>
      <c r="O6" s="225"/>
      <c r="P6" s="226" t="s">
        <v>34</v>
      </c>
      <c r="Q6" s="226" t="s">
        <v>35</v>
      </c>
      <c r="R6" s="225"/>
      <c r="S6" s="228">
        <v>0.7</v>
      </c>
      <c r="T6" s="228">
        <v>0.3</v>
      </c>
      <c r="U6" s="225"/>
      <c r="V6" s="232">
        <f t="shared" si="0"/>
        <v>21392000</v>
      </c>
      <c r="W6" s="225">
        <f>L6*T6</f>
        <v>9168000</v>
      </c>
      <c r="X6" s="225"/>
      <c r="Y6" s="225">
        <v>9168000</v>
      </c>
      <c r="Z6" s="225" t="s">
        <v>47</v>
      </c>
      <c r="AA6" s="233">
        <v>1</v>
      </c>
      <c r="AB6" s="225">
        <f t="shared" si="1"/>
        <v>9168000</v>
      </c>
      <c r="AC6" s="225"/>
      <c r="AD6" s="225"/>
      <c r="AE6" s="225"/>
      <c r="AF6" s="225"/>
      <c r="AG6" s="225"/>
      <c r="AH6" s="225"/>
    </row>
    <row r="7" s="220" customFormat="1" ht="86" hidden="1" customHeight="1" spans="1:40">
      <c r="A7" s="224">
        <v>5</v>
      </c>
      <c r="B7" s="225" t="s">
        <v>37</v>
      </c>
      <c r="C7" s="226" t="s">
        <v>48</v>
      </c>
      <c r="D7" s="234">
        <v>25082075</v>
      </c>
      <c r="E7" s="226" t="s">
        <v>49</v>
      </c>
      <c r="F7" s="225" t="s">
        <v>50</v>
      </c>
      <c r="G7" s="225"/>
      <c r="H7" s="225"/>
      <c r="I7" s="225"/>
      <c r="J7" s="225"/>
      <c r="K7" s="225"/>
      <c r="L7" s="225">
        <v>61600000</v>
      </c>
      <c r="M7" s="231"/>
      <c r="N7" s="231">
        <v>46038</v>
      </c>
      <c r="O7" s="225"/>
      <c r="P7" s="226" t="s">
        <v>35</v>
      </c>
      <c r="Q7" s="226"/>
      <c r="R7" s="225"/>
      <c r="S7" s="228">
        <v>1</v>
      </c>
      <c r="T7" s="228">
        <v>0</v>
      </c>
      <c r="U7" s="225"/>
      <c r="V7" s="232">
        <f t="shared" si="0"/>
        <v>61600000</v>
      </c>
      <c r="W7" s="225"/>
      <c r="X7" s="225"/>
      <c r="Y7" s="225">
        <v>61600000</v>
      </c>
      <c r="Z7" s="225" t="s">
        <v>41</v>
      </c>
      <c r="AA7" s="233">
        <v>0.7</v>
      </c>
      <c r="AB7" s="225">
        <f t="shared" si="1"/>
        <v>43120000</v>
      </c>
      <c r="AC7" s="225" t="s">
        <v>42</v>
      </c>
      <c r="AD7" s="233">
        <v>0.3</v>
      </c>
      <c r="AE7" s="225">
        <f t="shared" si="2"/>
        <v>18480000</v>
      </c>
      <c r="AF7" s="225"/>
      <c r="AG7" s="225"/>
      <c r="AH7" s="225"/>
    </row>
    <row r="8" s="220" customFormat="1" ht="86" hidden="1" customHeight="1" spans="1:40">
      <c r="A8" s="224">
        <v>6</v>
      </c>
      <c r="B8" s="225" t="s">
        <v>29</v>
      </c>
      <c r="C8" s="226" t="s">
        <v>51</v>
      </c>
      <c r="D8" s="226" t="s">
        <v>52</v>
      </c>
      <c r="E8" s="226" t="s">
        <v>53</v>
      </c>
      <c r="F8" s="225" t="s">
        <v>33</v>
      </c>
      <c r="G8" s="225"/>
      <c r="H8" s="225"/>
      <c r="I8" s="225"/>
      <c r="J8" s="225"/>
      <c r="K8" s="225"/>
      <c r="L8" s="225">
        <v>44260000</v>
      </c>
      <c r="M8" s="231"/>
      <c r="N8" s="231">
        <v>46038</v>
      </c>
      <c r="O8" s="225"/>
      <c r="P8" s="226" t="s">
        <v>35</v>
      </c>
      <c r="Q8" s="226"/>
      <c r="R8" s="225"/>
      <c r="S8" s="228">
        <v>1</v>
      </c>
      <c r="T8" s="228">
        <v>0</v>
      </c>
      <c r="U8" s="225"/>
      <c r="V8" s="232">
        <f t="shared" si="0"/>
        <v>44260000</v>
      </c>
      <c r="W8" s="225"/>
      <c r="X8" s="225"/>
      <c r="Y8" s="225">
        <v>44260000</v>
      </c>
      <c r="Z8" s="225" t="s">
        <v>54</v>
      </c>
      <c r="AA8" s="233">
        <v>0.6</v>
      </c>
      <c r="AB8" s="225">
        <f t="shared" si="1"/>
        <v>26556000</v>
      </c>
      <c r="AC8" s="225" t="s">
        <v>55</v>
      </c>
      <c r="AD8" s="233">
        <v>0.4</v>
      </c>
      <c r="AE8" s="225">
        <f t="shared" si="2"/>
        <v>17704000</v>
      </c>
      <c r="AF8" s="225"/>
      <c r="AG8" s="225"/>
      <c r="AH8" s="225"/>
    </row>
    <row r="9" s="220" customFormat="1" ht="86" hidden="1" customHeight="1" spans="1:40">
      <c r="A9" s="224">
        <v>7</v>
      </c>
      <c r="B9" s="225" t="s">
        <v>29</v>
      </c>
      <c r="C9" s="226" t="s">
        <v>56</v>
      </c>
      <c r="D9" s="226" t="s">
        <v>56</v>
      </c>
      <c r="E9" s="226" t="s">
        <v>46</v>
      </c>
      <c r="F9" s="225" t="s">
        <v>33</v>
      </c>
      <c r="G9" s="225"/>
      <c r="H9" s="225"/>
      <c r="I9" s="225"/>
      <c r="J9" s="225"/>
      <c r="K9" s="225"/>
      <c r="L9" s="225">
        <v>6255000</v>
      </c>
      <c r="M9" s="231"/>
      <c r="N9" s="231">
        <v>46038</v>
      </c>
      <c r="O9" s="225"/>
      <c r="P9" s="226" t="s">
        <v>34</v>
      </c>
      <c r="Q9" s="226" t="s">
        <v>35</v>
      </c>
      <c r="R9" s="225"/>
      <c r="S9" s="228">
        <v>0.7</v>
      </c>
      <c r="T9" s="228">
        <v>0.3</v>
      </c>
      <c r="U9" s="225"/>
      <c r="V9" s="232">
        <f t="shared" si="0"/>
        <v>4378500</v>
      </c>
      <c r="W9" s="225">
        <f>L9*T9</f>
        <v>1876500</v>
      </c>
      <c r="X9" s="225"/>
      <c r="Y9" s="225">
        <v>1876500</v>
      </c>
      <c r="Z9" s="225" t="s">
        <v>47</v>
      </c>
      <c r="AA9" s="233">
        <v>1</v>
      </c>
      <c r="AB9" s="225">
        <f t="shared" si="1"/>
        <v>1876500</v>
      </c>
      <c r="AC9" s="225"/>
      <c r="AD9" s="225"/>
      <c r="AE9" s="225"/>
      <c r="AF9" s="225"/>
      <c r="AG9" s="225"/>
      <c r="AH9" s="225"/>
    </row>
    <row r="10" s="219" customFormat="1" ht="86" hidden="1" customHeight="1" spans="1:40">
      <c r="A10" s="224">
        <v>8</v>
      </c>
      <c r="B10" s="225" t="s">
        <v>29</v>
      </c>
      <c r="C10" s="226" t="s">
        <v>57</v>
      </c>
      <c r="D10" s="226" t="s">
        <v>58</v>
      </c>
      <c r="E10" s="226" t="s">
        <v>59</v>
      </c>
      <c r="F10" s="224" t="s">
        <v>33</v>
      </c>
      <c r="G10" s="224"/>
      <c r="H10" s="224"/>
      <c r="I10" s="224"/>
      <c r="J10" s="224"/>
      <c r="K10" s="224"/>
      <c r="L10" s="224">
        <v>3000000</v>
      </c>
      <c r="M10" s="227"/>
      <c r="N10" s="227">
        <v>46053</v>
      </c>
      <c r="O10" s="224"/>
      <c r="P10" s="226" t="s">
        <v>35</v>
      </c>
      <c r="Q10" s="226" t="s">
        <v>34</v>
      </c>
      <c r="R10" s="224"/>
      <c r="S10" s="235">
        <v>0.7</v>
      </c>
      <c r="T10" s="235">
        <v>0.3</v>
      </c>
      <c r="U10" s="224"/>
      <c r="V10" s="229">
        <f t="shared" si="0"/>
        <v>2100000</v>
      </c>
      <c r="W10" s="224">
        <f>L10*T10</f>
        <v>900000</v>
      </c>
      <c r="X10" s="224"/>
      <c r="Y10" s="224">
        <v>2100000</v>
      </c>
      <c r="Z10" s="224" t="s">
        <v>60</v>
      </c>
      <c r="AA10" s="230">
        <v>1</v>
      </c>
      <c r="AB10" s="224">
        <f t="shared" si="1"/>
        <v>2100000</v>
      </c>
      <c r="AC10" s="224"/>
      <c r="AD10" s="224"/>
      <c r="AE10" s="224"/>
      <c r="AF10" s="224"/>
      <c r="AG10" s="224"/>
      <c r="AH10" s="224"/>
    </row>
    <row r="11" s="219" customFormat="1" ht="86" hidden="1" customHeight="1" spans="1:40">
      <c r="A11" s="224">
        <v>9</v>
      </c>
      <c r="B11" s="225" t="s">
        <v>37</v>
      </c>
      <c r="C11" s="226" t="s">
        <v>61</v>
      </c>
      <c r="D11" s="226" t="s">
        <v>62</v>
      </c>
      <c r="E11" s="226" t="s">
        <v>63</v>
      </c>
      <c r="F11" s="224" t="s">
        <v>33</v>
      </c>
      <c r="G11" s="224"/>
      <c r="H11" s="224"/>
      <c r="I11" s="224"/>
      <c r="J11" s="224"/>
      <c r="K11" s="224"/>
      <c r="L11" s="224">
        <v>18725956.5</v>
      </c>
      <c r="M11" s="227"/>
      <c r="N11" s="227">
        <v>46053</v>
      </c>
      <c r="O11" s="224"/>
      <c r="P11" s="236" t="s">
        <v>64</v>
      </c>
      <c r="Q11" s="236" t="s">
        <v>35</v>
      </c>
      <c r="R11" s="224"/>
      <c r="S11" s="235">
        <v>0.7</v>
      </c>
      <c r="T11" s="235">
        <v>0.3</v>
      </c>
      <c r="U11" s="224"/>
      <c r="V11" s="229">
        <f t="shared" si="0"/>
        <v>13108169.55</v>
      </c>
      <c r="W11" s="224">
        <f>L11*T11</f>
        <v>5617786.95</v>
      </c>
      <c r="X11" s="224"/>
      <c r="Y11" s="224">
        <v>5617786.95</v>
      </c>
      <c r="Z11" s="224" t="s">
        <v>65</v>
      </c>
      <c r="AA11" s="230">
        <v>0.6</v>
      </c>
      <c r="AB11" s="224">
        <f t="shared" si="1"/>
        <v>3370672.17</v>
      </c>
      <c r="AC11" s="224" t="s">
        <v>66</v>
      </c>
      <c r="AD11" s="230">
        <v>0.4</v>
      </c>
      <c r="AE11" s="224">
        <f>Y11*AD11</f>
        <v>2247114.78</v>
      </c>
      <c r="AF11" s="224"/>
      <c r="AG11" s="224"/>
      <c r="AH11" s="224"/>
    </row>
    <row r="12" s="219" customFormat="1" ht="86" hidden="1" customHeight="1" spans="1:40">
      <c r="A12" s="224">
        <v>10</v>
      </c>
      <c r="B12" s="225" t="s">
        <v>37</v>
      </c>
      <c r="C12" s="226" t="s">
        <v>67</v>
      </c>
      <c r="D12" s="226" t="s">
        <v>68</v>
      </c>
      <c r="E12" s="226" t="s">
        <v>69</v>
      </c>
      <c r="F12" s="224" t="s">
        <v>33</v>
      </c>
      <c r="G12" s="224"/>
      <c r="H12" s="224"/>
      <c r="I12" s="224"/>
      <c r="J12" s="224"/>
      <c r="K12" s="224"/>
      <c r="L12" s="224">
        <v>3000000</v>
      </c>
      <c r="M12" s="227"/>
      <c r="N12" s="227">
        <v>46053</v>
      </c>
      <c r="O12" s="224"/>
      <c r="P12" s="236" t="s">
        <v>70</v>
      </c>
      <c r="Q12" s="236" t="s">
        <v>35</v>
      </c>
      <c r="R12" s="224"/>
      <c r="S12" s="235">
        <v>0.7</v>
      </c>
      <c r="T12" s="235">
        <v>0.3</v>
      </c>
      <c r="U12" s="224"/>
      <c r="V12" s="229">
        <f t="shared" si="0"/>
        <v>2100000</v>
      </c>
      <c r="W12" s="224">
        <f>L12*T12</f>
        <v>900000</v>
      </c>
      <c r="X12" s="224"/>
      <c r="Y12" s="224">
        <v>900000</v>
      </c>
      <c r="Z12" s="224" t="s">
        <v>66</v>
      </c>
      <c r="AA12" s="230">
        <v>0.6</v>
      </c>
      <c r="AB12" s="224">
        <f t="shared" si="1"/>
        <v>540000</v>
      </c>
      <c r="AC12" s="224" t="s">
        <v>65</v>
      </c>
      <c r="AD12" s="230">
        <v>0.4</v>
      </c>
      <c r="AE12" s="224">
        <f>Y12*AD12</f>
        <v>360000</v>
      </c>
      <c r="AF12" s="224"/>
      <c r="AG12" s="224"/>
      <c r="AH12" s="224"/>
    </row>
    <row r="13" s="219" customFormat="1" ht="86" hidden="1" customHeight="1" spans="1:40">
      <c r="A13" s="224">
        <v>11</v>
      </c>
      <c r="B13" s="225" t="s">
        <v>29</v>
      </c>
      <c r="C13" s="226" t="s">
        <v>71</v>
      </c>
      <c r="D13" s="226" t="s">
        <v>72</v>
      </c>
      <c r="E13" s="226" t="s">
        <v>73</v>
      </c>
      <c r="F13" s="224" t="s">
        <v>33</v>
      </c>
      <c r="G13" s="224"/>
      <c r="H13" s="224"/>
      <c r="I13" s="224"/>
      <c r="J13" s="224"/>
      <c r="K13" s="224"/>
      <c r="L13" s="224">
        <v>980000</v>
      </c>
      <c r="M13" s="227"/>
      <c r="N13" s="227">
        <v>46053</v>
      </c>
      <c r="O13" s="224"/>
      <c r="P13" s="236" t="s">
        <v>64</v>
      </c>
      <c r="Q13" s="236" t="s">
        <v>35</v>
      </c>
      <c r="R13" s="224"/>
      <c r="S13" s="235">
        <v>0.7</v>
      </c>
      <c r="T13" s="235">
        <v>0.3</v>
      </c>
      <c r="U13" s="224"/>
      <c r="V13" s="229">
        <f t="shared" si="0"/>
        <v>686000</v>
      </c>
      <c r="W13" s="224">
        <f>L13*T13</f>
        <v>294000</v>
      </c>
      <c r="X13" s="224"/>
      <c r="Y13" s="224">
        <v>294000</v>
      </c>
      <c r="Z13" s="224" t="s">
        <v>55</v>
      </c>
      <c r="AA13" s="230">
        <v>1</v>
      </c>
      <c r="AB13" s="224">
        <f t="shared" si="1"/>
        <v>294000</v>
      </c>
      <c r="AC13" s="224"/>
      <c r="AD13" s="224"/>
      <c r="AE13" s="224"/>
      <c r="AF13" s="224"/>
      <c r="AG13" s="224"/>
      <c r="AH13" s="224"/>
    </row>
    <row r="14" s="220" customFormat="1" ht="86" hidden="1" customHeight="1" spans="1:40">
      <c r="A14" s="224">
        <v>14</v>
      </c>
      <c r="B14" s="225" t="s">
        <v>37</v>
      </c>
      <c r="C14" s="226" t="s">
        <v>74</v>
      </c>
      <c r="D14" s="226" t="s">
        <v>74</v>
      </c>
      <c r="E14" s="226" t="s">
        <v>75</v>
      </c>
      <c r="F14" s="225" t="s">
        <v>50</v>
      </c>
      <c r="G14" s="225"/>
      <c r="H14" s="225"/>
      <c r="I14" s="225"/>
      <c r="J14" s="225"/>
      <c r="K14" s="225"/>
      <c r="L14" s="225">
        <v>1152</v>
      </c>
      <c r="M14" s="231"/>
      <c r="N14" s="231">
        <v>46053</v>
      </c>
      <c r="O14" s="225"/>
      <c r="P14" s="236" t="s">
        <v>35</v>
      </c>
      <c r="Q14" s="236"/>
      <c r="R14" s="225"/>
      <c r="S14" s="235">
        <v>1</v>
      </c>
      <c r="T14" s="235"/>
      <c r="U14" s="225"/>
      <c r="V14" s="232">
        <f t="shared" si="0"/>
        <v>1152</v>
      </c>
      <c r="W14" s="225"/>
      <c r="X14" s="225"/>
      <c r="Y14" s="225">
        <v>1152</v>
      </c>
      <c r="Z14" s="225" t="s">
        <v>41</v>
      </c>
      <c r="AA14" s="233">
        <v>1</v>
      </c>
      <c r="AB14" s="225">
        <f t="shared" si="1"/>
        <v>1152</v>
      </c>
      <c r="AC14" s="225"/>
      <c r="AD14" s="225"/>
      <c r="AE14" s="225"/>
      <c r="AF14" s="225"/>
      <c r="AG14" s="225"/>
      <c r="AH14" s="225"/>
    </row>
    <row r="15" s="219" customFormat="1" ht="86" hidden="1" customHeight="1" spans="1:40">
      <c r="A15" s="224">
        <v>19</v>
      </c>
      <c r="B15" s="225" t="s">
        <v>37</v>
      </c>
      <c r="C15" s="226" t="s">
        <v>74</v>
      </c>
      <c r="D15" s="226" t="s">
        <v>74</v>
      </c>
      <c r="E15" s="226" t="s">
        <v>75</v>
      </c>
      <c r="F15" s="224" t="s">
        <v>50</v>
      </c>
      <c r="G15" s="224"/>
      <c r="H15" s="224"/>
      <c r="I15" s="224"/>
      <c r="J15" s="224"/>
      <c r="K15" s="224"/>
      <c r="L15" s="225">
        <v>116988</v>
      </c>
      <c r="M15" s="227"/>
      <c r="N15" s="227">
        <v>46053</v>
      </c>
      <c r="O15" s="224"/>
      <c r="P15" s="236" t="s">
        <v>35</v>
      </c>
      <c r="Q15" s="236"/>
      <c r="R15" s="224"/>
      <c r="S15" s="235">
        <v>1</v>
      </c>
      <c r="T15" s="235"/>
      <c r="U15" s="224"/>
      <c r="V15" s="229">
        <f t="shared" si="0"/>
        <v>116988</v>
      </c>
      <c r="W15" s="224"/>
      <c r="X15" s="224"/>
      <c r="Y15" s="224">
        <v>116988</v>
      </c>
      <c r="Z15" s="224" t="s">
        <v>41</v>
      </c>
      <c r="AA15" s="230">
        <v>1</v>
      </c>
      <c r="AB15" s="224">
        <f t="shared" si="1"/>
        <v>116988</v>
      </c>
      <c r="AC15" s="224"/>
      <c r="AD15" s="224"/>
      <c r="AE15" s="224"/>
      <c r="AF15" s="224"/>
      <c r="AG15" s="224"/>
      <c r="AH15" s="224"/>
    </row>
    <row r="16" s="219" customFormat="1" ht="86" hidden="1" customHeight="1" spans="1:40">
      <c r="A16" s="224">
        <v>20</v>
      </c>
      <c r="B16" s="225" t="s">
        <v>37</v>
      </c>
      <c r="C16" s="226" t="s">
        <v>76</v>
      </c>
      <c r="D16" s="226" t="s">
        <v>76</v>
      </c>
      <c r="E16" s="226" t="s">
        <v>75</v>
      </c>
      <c r="F16" s="224" t="s">
        <v>33</v>
      </c>
      <c r="G16" s="224"/>
      <c r="H16" s="224"/>
      <c r="I16" s="224"/>
      <c r="J16" s="224"/>
      <c r="K16" s="224"/>
      <c r="L16" s="225">
        <v>6688</v>
      </c>
      <c r="M16" s="227"/>
      <c r="N16" s="227">
        <v>46053</v>
      </c>
      <c r="O16" s="224"/>
      <c r="P16" s="236" t="s">
        <v>35</v>
      </c>
      <c r="Q16" s="236"/>
      <c r="R16" s="224"/>
      <c r="S16" s="235">
        <v>1</v>
      </c>
      <c r="T16" s="235"/>
      <c r="U16" s="224"/>
      <c r="V16" s="229">
        <f t="shared" si="0"/>
        <v>6688</v>
      </c>
      <c r="W16" s="224"/>
      <c r="X16" s="224"/>
      <c r="Y16" s="224">
        <v>6688</v>
      </c>
      <c r="Z16" s="224" t="s">
        <v>41</v>
      </c>
      <c r="AA16" s="230">
        <v>1</v>
      </c>
      <c r="AB16" s="224">
        <f t="shared" si="1"/>
        <v>6688</v>
      </c>
      <c r="AC16" s="224"/>
      <c r="AD16" s="224"/>
      <c r="AE16" s="224"/>
      <c r="AF16" s="224"/>
      <c r="AG16" s="224"/>
      <c r="AH16" s="224"/>
    </row>
    <row r="17" s="219" customFormat="1" ht="86" hidden="1" customHeight="1" spans="1:34">
      <c r="A17" s="224">
        <v>21</v>
      </c>
      <c r="B17" s="225" t="s">
        <v>37</v>
      </c>
      <c r="C17" s="226" t="s">
        <v>77</v>
      </c>
      <c r="D17" s="226" t="s">
        <v>77</v>
      </c>
      <c r="E17" s="226" t="s">
        <v>75</v>
      </c>
      <c r="F17" s="224" t="s">
        <v>50</v>
      </c>
      <c r="G17" s="224"/>
      <c r="H17" s="224"/>
      <c r="I17" s="224"/>
      <c r="J17" s="224"/>
      <c r="K17" s="224"/>
      <c r="L17" s="225">
        <v>5547</v>
      </c>
      <c r="M17" s="227"/>
      <c r="N17" s="227">
        <v>46053</v>
      </c>
      <c r="O17" s="224"/>
      <c r="P17" s="236" t="s">
        <v>35</v>
      </c>
      <c r="Q17" s="236"/>
      <c r="R17" s="224"/>
      <c r="S17" s="235">
        <v>1</v>
      </c>
      <c r="T17" s="235"/>
      <c r="U17" s="224"/>
      <c r="V17" s="229">
        <f t="shared" si="0"/>
        <v>5547</v>
      </c>
      <c r="W17" s="224"/>
      <c r="X17" s="224"/>
      <c r="Y17" s="224">
        <v>5547</v>
      </c>
      <c r="Z17" s="224" t="s">
        <v>42</v>
      </c>
      <c r="AA17" s="230">
        <v>1</v>
      </c>
      <c r="AB17" s="224">
        <f t="shared" si="1"/>
        <v>5547</v>
      </c>
      <c r="AC17" s="224"/>
      <c r="AD17" s="224"/>
      <c r="AE17" s="224"/>
      <c r="AF17" s="224"/>
      <c r="AG17" s="224"/>
      <c r="AH17" s="224"/>
    </row>
    <row r="18" s="219" customFormat="1" ht="86" hidden="1" customHeight="1" spans="1:34">
      <c r="A18" s="224">
        <v>22</v>
      </c>
      <c r="B18" s="225" t="s">
        <v>37</v>
      </c>
      <c r="C18" s="226" t="s">
        <v>78</v>
      </c>
      <c r="D18" s="226" t="s">
        <v>78</v>
      </c>
      <c r="E18" s="226" t="s">
        <v>75</v>
      </c>
      <c r="F18" s="224" t="s">
        <v>50</v>
      </c>
      <c r="G18" s="224"/>
      <c r="H18" s="224"/>
      <c r="I18" s="224"/>
      <c r="J18" s="224"/>
      <c r="K18" s="224"/>
      <c r="L18" s="225">
        <v>20000</v>
      </c>
      <c r="M18" s="227"/>
      <c r="N18" s="227">
        <v>46053</v>
      </c>
      <c r="O18" s="224"/>
      <c r="P18" s="236" t="s">
        <v>35</v>
      </c>
      <c r="Q18" s="236"/>
      <c r="R18" s="224"/>
      <c r="S18" s="235">
        <v>1</v>
      </c>
      <c r="T18" s="235"/>
      <c r="U18" s="224"/>
      <c r="V18" s="229">
        <f t="shared" si="0"/>
        <v>20000</v>
      </c>
      <c r="W18" s="224"/>
      <c r="X18" s="224"/>
      <c r="Y18" s="224">
        <v>20000</v>
      </c>
      <c r="Z18" s="224" t="s">
        <v>41</v>
      </c>
      <c r="AA18" s="230">
        <v>1</v>
      </c>
      <c r="AB18" s="224">
        <f t="shared" si="1"/>
        <v>20000</v>
      </c>
      <c r="AC18" s="224"/>
      <c r="AD18" s="224"/>
      <c r="AE18" s="224"/>
      <c r="AF18" s="224"/>
      <c r="AG18" s="224"/>
      <c r="AH18" s="224"/>
    </row>
    <row r="19" s="219" customFormat="1" ht="86" hidden="1" customHeight="1" spans="1:34">
      <c r="A19" s="224">
        <v>23</v>
      </c>
      <c r="B19" s="225" t="s">
        <v>37</v>
      </c>
      <c r="C19" s="226" t="s">
        <v>78</v>
      </c>
      <c r="D19" s="226" t="s">
        <v>78</v>
      </c>
      <c r="E19" s="226" t="s">
        <v>75</v>
      </c>
      <c r="F19" s="224" t="s">
        <v>50</v>
      </c>
      <c r="G19" s="224"/>
      <c r="H19" s="224"/>
      <c r="I19" s="224"/>
      <c r="J19" s="224"/>
      <c r="K19" s="224"/>
      <c r="L19" s="225">
        <v>5000</v>
      </c>
      <c r="M19" s="227"/>
      <c r="N19" s="227">
        <v>46053</v>
      </c>
      <c r="O19" s="224"/>
      <c r="P19" s="236" t="s">
        <v>35</v>
      </c>
      <c r="Q19" s="236"/>
      <c r="R19" s="224"/>
      <c r="S19" s="235">
        <v>1</v>
      </c>
      <c r="T19" s="235"/>
      <c r="U19" s="224"/>
      <c r="V19" s="229">
        <f t="shared" si="0"/>
        <v>5000</v>
      </c>
      <c r="W19" s="224"/>
      <c r="X19" s="224"/>
      <c r="Y19" s="224">
        <v>5000</v>
      </c>
      <c r="Z19" s="224" t="s">
        <v>41</v>
      </c>
      <c r="AA19" s="230">
        <v>1</v>
      </c>
      <c r="AB19" s="224">
        <f t="shared" si="1"/>
        <v>5000</v>
      </c>
      <c r="AC19" s="224"/>
      <c r="AD19" s="224"/>
      <c r="AE19" s="224"/>
      <c r="AF19" s="224"/>
      <c r="AG19" s="224"/>
      <c r="AH19" s="224"/>
    </row>
    <row r="20" s="219" customFormat="1" ht="86" hidden="1" customHeight="1" spans="1:34">
      <c r="A20" s="224">
        <v>24</v>
      </c>
      <c r="B20" s="225" t="s">
        <v>37</v>
      </c>
      <c r="C20" s="226" t="s">
        <v>79</v>
      </c>
      <c r="D20" s="226" t="s">
        <v>80</v>
      </c>
      <c r="E20" s="226" t="s">
        <v>75</v>
      </c>
      <c r="F20" s="224" t="s">
        <v>33</v>
      </c>
      <c r="G20" s="224"/>
      <c r="H20" s="224"/>
      <c r="I20" s="224"/>
      <c r="J20" s="224"/>
      <c r="K20" s="224"/>
      <c r="L20" s="225">
        <v>40000</v>
      </c>
      <c r="M20" s="227"/>
      <c r="N20" s="227">
        <v>46053</v>
      </c>
      <c r="O20" s="224"/>
      <c r="P20" s="236" t="s">
        <v>35</v>
      </c>
      <c r="Q20" s="236"/>
      <c r="R20" s="224"/>
      <c r="S20" s="235">
        <v>1</v>
      </c>
      <c r="T20" s="235"/>
      <c r="U20" s="224"/>
      <c r="V20" s="229">
        <f t="shared" si="0"/>
        <v>40000</v>
      </c>
      <c r="W20" s="224"/>
      <c r="X20" s="224"/>
      <c r="Y20" s="224">
        <v>40000</v>
      </c>
      <c r="Z20" s="224" t="s">
        <v>60</v>
      </c>
      <c r="AA20" s="230">
        <v>1</v>
      </c>
      <c r="AB20" s="224">
        <f t="shared" si="1"/>
        <v>40000</v>
      </c>
      <c r="AC20" s="224"/>
      <c r="AD20" s="224"/>
      <c r="AE20" s="224"/>
      <c r="AF20" s="224"/>
      <c r="AG20" s="224"/>
      <c r="AH20" s="224"/>
    </row>
    <row r="21" s="219" customFormat="1" ht="86" hidden="1" customHeight="1" spans="1:34">
      <c r="A21" s="224">
        <v>25</v>
      </c>
      <c r="B21" s="225" t="s">
        <v>37</v>
      </c>
      <c r="C21" s="226" t="s">
        <v>81</v>
      </c>
      <c r="D21" s="226" t="s">
        <v>82</v>
      </c>
      <c r="E21" s="226" t="s">
        <v>75</v>
      </c>
      <c r="F21" s="224" t="s">
        <v>50</v>
      </c>
      <c r="G21" s="224"/>
      <c r="H21" s="224"/>
      <c r="I21" s="224"/>
      <c r="J21" s="224"/>
      <c r="K21" s="224"/>
      <c r="L21" s="224">
        <v>920</v>
      </c>
      <c r="M21" s="227"/>
      <c r="N21" s="227">
        <v>46081</v>
      </c>
      <c r="O21" s="224"/>
      <c r="P21" s="236" t="s">
        <v>35</v>
      </c>
      <c r="Q21" s="236"/>
      <c r="R21" s="224"/>
      <c r="S21" s="235">
        <v>1</v>
      </c>
      <c r="T21" s="235"/>
      <c r="U21" s="224"/>
      <c r="V21" s="229">
        <f t="shared" si="0"/>
        <v>920</v>
      </c>
      <c r="W21" s="224"/>
      <c r="X21" s="224"/>
      <c r="Y21" s="224">
        <v>920</v>
      </c>
      <c r="Z21" s="224" t="s">
        <v>41</v>
      </c>
      <c r="AA21" s="230">
        <v>1</v>
      </c>
      <c r="AB21" s="224">
        <f t="shared" si="1"/>
        <v>920</v>
      </c>
      <c r="AC21" s="224"/>
      <c r="AD21" s="224"/>
      <c r="AE21" s="224"/>
      <c r="AF21" s="224"/>
      <c r="AG21" s="224"/>
      <c r="AH21" s="224"/>
    </row>
    <row r="22" s="219" customFormat="1" ht="86" hidden="1" customHeight="1" spans="1:34">
      <c r="A22" s="224">
        <v>26</v>
      </c>
      <c r="B22" s="225" t="s">
        <v>37</v>
      </c>
      <c r="C22" s="226" t="s">
        <v>83</v>
      </c>
      <c r="D22" s="226"/>
      <c r="E22" s="226" t="s">
        <v>75</v>
      </c>
      <c r="F22" s="224" t="s">
        <v>33</v>
      </c>
      <c r="G22" s="224"/>
      <c r="H22" s="224"/>
      <c r="I22" s="224"/>
      <c r="J22" s="224"/>
      <c r="K22" s="224"/>
      <c r="L22" s="224">
        <v>18712</v>
      </c>
      <c r="M22" s="227"/>
      <c r="N22" s="227">
        <v>46081</v>
      </c>
      <c r="O22" s="224"/>
      <c r="P22" s="236" t="s">
        <v>35</v>
      </c>
      <c r="Q22" s="236"/>
      <c r="R22" s="224"/>
      <c r="S22" s="235">
        <v>1</v>
      </c>
      <c r="T22" s="235"/>
      <c r="U22" s="224"/>
      <c r="V22" s="229">
        <f t="shared" si="0"/>
        <v>18712</v>
      </c>
      <c r="W22" s="224"/>
      <c r="X22" s="224"/>
      <c r="Y22" s="224">
        <v>18712</v>
      </c>
      <c r="Z22" s="224" t="s">
        <v>60</v>
      </c>
      <c r="AA22" s="230">
        <v>1</v>
      </c>
      <c r="AB22" s="224">
        <f t="shared" si="1"/>
        <v>18712</v>
      </c>
      <c r="AC22" s="224"/>
      <c r="AD22" s="224"/>
      <c r="AE22" s="224"/>
      <c r="AF22" s="224"/>
      <c r="AG22" s="224"/>
      <c r="AH22" s="224"/>
    </row>
    <row r="23" s="219" customFormat="1" ht="86" hidden="1" customHeight="1" spans="1:34">
      <c r="A23" s="224">
        <v>27</v>
      </c>
      <c r="B23" s="225" t="s">
        <v>37</v>
      </c>
      <c r="C23" s="226" t="s">
        <v>84</v>
      </c>
      <c r="D23" s="226"/>
      <c r="E23" s="226" t="s">
        <v>75</v>
      </c>
      <c r="F23" s="224" t="s">
        <v>33</v>
      </c>
      <c r="G23" s="224"/>
      <c r="H23" s="224"/>
      <c r="I23" s="224"/>
      <c r="J23" s="224"/>
      <c r="K23" s="224"/>
      <c r="L23" s="224">
        <v>852</v>
      </c>
      <c r="M23" s="227"/>
      <c r="N23" s="227">
        <v>46081</v>
      </c>
      <c r="O23" s="224"/>
      <c r="P23" s="236" t="s">
        <v>35</v>
      </c>
      <c r="Q23" s="236"/>
      <c r="R23" s="224"/>
      <c r="S23" s="235">
        <v>1</v>
      </c>
      <c r="T23" s="235"/>
      <c r="U23" s="224"/>
      <c r="V23" s="229">
        <f t="shared" si="0"/>
        <v>852</v>
      </c>
      <c r="W23" s="224"/>
      <c r="X23" s="224"/>
      <c r="Y23" s="224">
        <v>852</v>
      </c>
      <c r="Z23" s="224" t="s">
        <v>66</v>
      </c>
      <c r="AA23" s="230">
        <v>1</v>
      </c>
      <c r="AB23" s="224">
        <f t="shared" si="1"/>
        <v>852</v>
      </c>
      <c r="AC23" s="224"/>
      <c r="AD23" s="224"/>
      <c r="AE23" s="224"/>
      <c r="AF23" s="224"/>
      <c r="AG23" s="224"/>
      <c r="AH23" s="224"/>
    </row>
    <row r="24" s="219" customFormat="1" ht="86" hidden="1" customHeight="1" spans="1:34">
      <c r="A24" s="224">
        <v>28</v>
      </c>
      <c r="B24" s="225" t="s">
        <v>37</v>
      </c>
      <c r="C24" s="226" t="s">
        <v>74</v>
      </c>
      <c r="D24" s="226" t="s">
        <v>74</v>
      </c>
      <c r="E24" s="226" t="s">
        <v>75</v>
      </c>
      <c r="F24" s="224" t="s">
        <v>50</v>
      </c>
      <c r="G24" s="224"/>
      <c r="H24" s="224"/>
      <c r="I24" s="224"/>
      <c r="J24" s="224"/>
      <c r="K24" s="224"/>
      <c r="L24" s="224">
        <v>3804</v>
      </c>
      <c r="M24" s="227"/>
      <c r="N24" s="227">
        <v>46081</v>
      </c>
      <c r="O24" s="224"/>
      <c r="P24" s="236" t="s">
        <v>35</v>
      </c>
      <c r="Q24" s="236"/>
      <c r="R24" s="224"/>
      <c r="S24" s="235">
        <v>1</v>
      </c>
      <c r="T24" s="235"/>
      <c r="U24" s="224"/>
      <c r="V24" s="229">
        <f t="shared" si="0"/>
        <v>3804</v>
      </c>
      <c r="W24" s="224"/>
      <c r="X24" s="224"/>
      <c r="Y24" s="224">
        <v>3804</v>
      </c>
      <c r="Z24" s="224" t="s">
        <v>41</v>
      </c>
      <c r="AA24" s="230">
        <v>1</v>
      </c>
      <c r="AB24" s="224">
        <f t="shared" si="1"/>
        <v>3804</v>
      </c>
      <c r="AC24" s="224"/>
      <c r="AD24" s="224"/>
      <c r="AE24" s="224"/>
      <c r="AF24" s="224"/>
      <c r="AG24" s="224"/>
      <c r="AH24" s="224"/>
    </row>
    <row r="25" s="219" customFormat="1" ht="86" hidden="1" customHeight="1" spans="1:34">
      <c r="A25" s="224">
        <v>30</v>
      </c>
      <c r="B25" s="225" t="s">
        <v>37</v>
      </c>
      <c r="C25" s="226" t="s">
        <v>85</v>
      </c>
      <c r="D25" s="226" t="s">
        <v>85</v>
      </c>
      <c r="E25" s="226" t="s">
        <v>75</v>
      </c>
      <c r="F25" s="224" t="s">
        <v>50</v>
      </c>
      <c r="G25" s="224"/>
      <c r="H25" s="224"/>
      <c r="I25" s="224"/>
      <c r="J25" s="224"/>
      <c r="K25" s="224"/>
      <c r="L25" s="224">
        <v>7785</v>
      </c>
      <c r="M25" s="227"/>
      <c r="N25" s="227">
        <v>46081</v>
      </c>
      <c r="O25" s="224"/>
      <c r="P25" s="236" t="s">
        <v>35</v>
      </c>
      <c r="Q25" s="236"/>
      <c r="R25" s="224"/>
      <c r="S25" s="235">
        <v>1</v>
      </c>
      <c r="T25" s="235"/>
      <c r="U25" s="224"/>
      <c r="V25" s="229">
        <f t="shared" ref="V25:V41" si="3">L25*S25</f>
        <v>7785</v>
      </c>
      <c r="W25" s="224"/>
      <c r="X25" s="224"/>
      <c r="Y25" s="224">
        <v>7785</v>
      </c>
      <c r="Z25" s="224" t="s">
        <v>41</v>
      </c>
      <c r="AA25" s="230">
        <v>1</v>
      </c>
      <c r="AB25" s="224">
        <f t="shared" ref="AB25:AB41" si="4">Y25*AA25</f>
        <v>7785</v>
      </c>
      <c r="AC25" s="224"/>
      <c r="AD25" s="224"/>
      <c r="AE25" s="224"/>
      <c r="AF25" s="224"/>
      <c r="AG25" s="224"/>
      <c r="AH25" s="224"/>
    </row>
    <row r="26" s="219" customFormat="1" ht="86" hidden="1" customHeight="1" spans="1:34">
      <c r="A26" s="224">
        <v>31</v>
      </c>
      <c r="B26" s="225" t="s">
        <v>37</v>
      </c>
      <c r="C26" s="226" t="s">
        <v>86</v>
      </c>
      <c r="D26" s="226" t="s">
        <v>87</v>
      </c>
      <c r="E26" s="226" t="s">
        <v>75</v>
      </c>
      <c r="F26" s="224" t="s">
        <v>33</v>
      </c>
      <c r="G26" s="224"/>
      <c r="H26" s="224"/>
      <c r="I26" s="224"/>
      <c r="J26" s="224"/>
      <c r="K26" s="224"/>
      <c r="L26" s="224">
        <v>92400</v>
      </c>
      <c r="M26" s="227"/>
      <c r="N26" s="227">
        <v>46081</v>
      </c>
      <c r="O26" s="224"/>
      <c r="P26" s="236" t="s">
        <v>35</v>
      </c>
      <c r="Q26" s="236"/>
      <c r="R26" s="224"/>
      <c r="S26" s="235">
        <v>1</v>
      </c>
      <c r="T26" s="235"/>
      <c r="U26" s="224"/>
      <c r="V26" s="229">
        <f t="shared" si="3"/>
        <v>92400</v>
      </c>
      <c r="W26" s="224"/>
      <c r="X26" s="224"/>
      <c r="Y26" s="224">
        <v>92400</v>
      </c>
      <c r="Z26" s="224" t="s">
        <v>66</v>
      </c>
      <c r="AA26" s="230">
        <v>1</v>
      </c>
      <c r="AB26" s="224">
        <f t="shared" si="4"/>
        <v>92400</v>
      </c>
      <c r="AC26" s="224"/>
      <c r="AD26" s="224"/>
      <c r="AE26" s="224"/>
      <c r="AF26" s="224"/>
      <c r="AG26" s="224"/>
      <c r="AH26" s="224"/>
    </row>
    <row r="27" s="219" customFormat="1" ht="86" hidden="1" customHeight="1" spans="1:34">
      <c r="A27" s="224">
        <v>32</v>
      </c>
      <c r="B27" s="225" t="s">
        <v>37</v>
      </c>
      <c r="C27" s="226" t="s">
        <v>74</v>
      </c>
      <c r="D27" s="226" t="s">
        <v>74</v>
      </c>
      <c r="E27" s="226" t="s">
        <v>75</v>
      </c>
      <c r="F27" s="224" t="s">
        <v>50</v>
      </c>
      <c r="G27" s="224"/>
      <c r="H27" s="224"/>
      <c r="I27" s="224"/>
      <c r="J27" s="224"/>
      <c r="K27" s="224"/>
      <c r="L27" s="224">
        <v>4860</v>
      </c>
      <c r="M27" s="227"/>
      <c r="N27" s="227">
        <v>46081</v>
      </c>
      <c r="O27" s="224"/>
      <c r="P27" s="236" t="s">
        <v>35</v>
      </c>
      <c r="Q27" s="236"/>
      <c r="R27" s="224"/>
      <c r="S27" s="235">
        <v>1</v>
      </c>
      <c r="T27" s="235"/>
      <c r="U27" s="224"/>
      <c r="V27" s="229">
        <f t="shared" si="3"/>
        <v>4860</v>
      </c>
      <c r="W27" s="224"/>
      <c r="X27" s="224"/>
      <c r="Y27" s="224">
        <v>4860</v>
      </c>
      <c r="Z27" s="224" t="s">
        <v>41</v>
      </c>
      <c r="AA27" s="230">
        <v>1</v>
      </c>
      <c r="AB27" s="224">
        <f t="shared" si="4"/>
        <v>4860</v>
      </c>
      <c r="AC27" s="224"/>
      <c r="AD27" s="224"/>
      <c r="AE27" s="224"/>
      <c r="AF27" s="224"/>
      <c r="AG27" s="224"/>
      <c r="AH27" s="224"/>
    </row>
    <row r="28" s="219" customFormat="1" ht="86" hidden="1" customHeight="1" spans="1:34">
      <c r="A28" s="224">
        <v>33</v>
      </c>
      <c r="B28" s="225" t="s">
        <v>37</v>
      </c>
      <c r="C28" s="226" t="s">
        <v>88</v>
      </c>
      <c r="D28" s="226" t="s">
        <v>89</v>
      </c>
      <c r="E28" s="226" t="s">
        <v>75</v>
      </c>
      <c r="F28" s="224" t="s">
        <v>50</v>
      </c>
      <c r="G28" s="224"/>
      <c r="H28" s="224"/>
      <c r="I28" s="224"/>
      <c r="J28" s="224"/>
      <c r="K28" s="224"/>
      <c r="L28" s="224">
        <v>115331</v>
      </c>
      <c r="M28" s="227"/>
      <c r="N28" s="227">
        <v>46081</v>
      </c>
      <c r="O28" s="224"/>
      <c r="P28" s="236" t="s">
        <v>35</v>
      </c>
      <c r="Q28" s="236"/>
      <c r="R28" s="224"/>
      <c r="S28" s="235">
        <v>1</v>
      </c>
      <c r="T28" s="235"/>
      <c r="U28" s="224"/>
      <c r="V28" s="229">
        <f t="shared" si="3"/>
        <v>115331</v>
      </c>
      <c r="W28" s="224"/>
      <c r="X28" s="224"/>
      <c r="Y28" s="224">
        <v>115331</v>
      </c>
      <c r="Z28" s="224" t="s">
        <v>41</v>
      </c>
      <c r="AA28" s="230">
        <v>1</v>
      </c>
      <c r="AB28" s="224">
        <f t="shared" si="4"/>
        <v>115331</v>
      </c>
      <c r="AC28" s="224"/>
      <c r="AD28" s="224"/>
      <c r="AE28" s="224"/>
      <c r="AF28" s="224"/>
      <c r="AG28" s="224"/>
      <c r="AH28" s="224"/>
    </row>
    <row r="29" s="219" customFormat="1" ht="86" customHeight="1" spans="1:34">
      <c r="A29" s="224">
        <v>34</v>
      </c>
      <c r="B29" s="225" t="s">
        <v>29</v>
      </c>
      <c r="C29" s="226" t="s">
        <v>90</v>
      </c>
      <c r="D29" s="226" t="s">
        <v>91</v>
      </c>
      <c r="E29" s="226" t="s">
        <v>92</v>
      </c>
      <c r="F29" s="224" t="s">
        <v>33</v>
      </c>
      <c r="G29" s="224"/>
      <c r="H29" s="224"/>
      <c r="I29" s="224"/>
      <c r="J29" s="224"/>
      <c r="K29" s="224"/>
      <c r="L29" s="224">
        <v>7851000</v>
      </c>
      <c r="M29" s="227" t="s">
        <v>93</v>
      </c>
      <c r="N29" s="227">
        <v>46109</v>
      </c>
      <c r="O29" s="224"/>
      <c r="P29" s="236" t="s">
        <v>35</v>
      </c>
      <c r="Q29" s="236"/>
      <c r="R29" s="224"/>
      <c r="S29" s="235">
        <v>1</v>
      </c>
      <c r="T29" s="235"/>
      <c r="U29" s="224"/>
      <c r="V29" s="229">
        <f t="shared" si="3"/>
        <v>7851000</v>
      </c>
      <c r="W29" s="224"/>
      <c r="X29" s="224"/>
      <c r="Y29" s="224">
        <v>7851000</v>
      </c>
      <c r="Z29" s="224" t="s">
        <v>36</v>
      </c>
      <c r="AA29" s="230">
        <v>1</v>
      </c>
      <c r="AB29" s="224">
        <f t="shared" si="4"/>
        <v>7851000</v>
      </c>
      <c r="AC29" s="224"/>
      <c r="AD29" s="224"/>
      <c r="AE29" s="224"/>
      <c r="AF29" s="224"/>
      <c r="AG29" s="224"/>
      <c r="AH29" s="224"/>
    </row>
    <row r="30" s="219" customFormat="1" ht="86" customHeight="1" spans="1:34">
      <c r="A30" s="224">
        <v>35</v>
      </c>
      <c r="B30" s="225" t="s">
        <v>29</v>
      </c>
      <c r="C30" s="226" t="s">
        <v>94</v>
      </c>
      <c r="D30" s="226" t="s">
        <v>95</v>
      </c>
      <c r="E30" s="226" t="s">
        <v>96</v>
      </c>
      <c r="F30" s="224" t="s">
        <v>33</v>
      </c>
      <c r="G30" s="224"/>
      <c r="H30" s="224"/>
      <c r="I30" s="224"/>
      <c r="J30" s="224"/>
      <c r="K30" s="224"/>
      <c r="L30" s="224">
        <v>3000000</v>
      </c>
      <c r="M30" s="227" t="s">
        <v>97</v>
      </c>
      <c r="N30" s="227">
        <v>46109</v>
      </c>
      <c r="O30" s="224"/>
      <c r="P30" s="236" t="s">
        <v>64</v>
      </c>
      <c r="Q30" s="236" t="s">
        <v>35</v>
      </c>
      <c r="R30" s="230" t="s">
        <v>70</v>
      </c>
      <c r="S30" s="235">
        <v>0.5</v>
      </c>
      <c r="T30" s="235">
        <v>0.3</v>
      </c>
      <c r="U30" s="224">
        <v>0.2</v>
      </c>
      <c r="V30" s="229">
        <f t="shared" si="3"/>
        <v>1500000</v>
      </c>
      <c r="W30" s="224">
        <f t="shared" ref="W29:W34" si="5">L30*T30</f>
        <v>900000</v>
      </c>
      <c r="X30" s="224">
        <f>L30*U30</f>
        <v>600000</v>
      </c>
      <c r="Y30" s="224">
        <v>900000</v>
      </c>
      <c r="Z30" s="224" t="s">
        <v>47</v>
      </c>
      <c r="AA30" s="230">
        <v>1</v>
      </c>
      <c r="AB30" s="224">
        <f t="shared" si="4"/>
        <v>900000</v>
      </c>
      <c r="AC30" s="224"/>
      <c r="AD30" s="224"/>
      <c r="AE30" s="224"/>
      <c r="AF30" s="224"/>
      <c r="AG30" s="224"/>
      <c r="AH30" s="224"/>
    </row>
    <row r="31" s="219" customFormat="1" ht="86" customHeight="1" spans="1:34">
      <c r="A31" s="224">
        <v>36</v>
      </c>
      <c r="B31" s="225" t="s">
        <v>29</v>
      </c>
      <c r="C31" s="226" t="s">
        <v>98</v>
      </c>
      <c r="D31" s="226" t="s">
        <v>99</v>
      </c>
      <c r="E31" s="226" t="s">
        <v>100</v>
      </c>
      <c r="F31" s="224" t="s">
        <v>33</v>
      </c>
      <c r="G31" s="224"/>
      <c r="H31" s="224"/>
      <c r="I31" s="224"/>
      <c r="J31" s="224"/>
      <c r="K31" s="224"/>
      <c r="L31" s="224">
        <v>11180000</v>
      </c>
      <c r="M31" s="227" t="s">
        <v>101</v>
      </c>
      <c r="N31" s="227">
        <v>46109</v>
      </c>
      <c r="O31" s="224"/>
      <c r="P31" s="236" t="s">
        <v>102</v>
      </c>
      <c r="Q31" s="236" t="s">
        <v>35</v>
      </c>
      <c r="R31" s="224"/>
      <c r="S31" s="235">
        <v>0.6</v>
      </c>
      <c r="T31" s="235">
        <v>0.4</v>
      </c>
      <c r="U31" s="224"/>
      <c r="V31" s="229">
        <f t="shared" si="3"/>
        <v>6708000</v>
      </c>
      <c r="W31" s="224">
        <f t="shared" si="5"/>
        <v>4472000</v>
      </c>
      <c r="X31" s="224"/>
      <c r="Y31" s="224">
        <v>4472000</v>
      </c>
      <c r="Z31" s="224" t="s">
        <v>54</v>
      </c>
      <c r="AA31" s="230">
        <v>1</v>
      </c>
      <c r="AB31" s="224">
        <f t="shared" si="4"/>
        <v>4472000</v>
      </c>
      <c r="AC31" s="224"/>
      <c r="AD31" s="224"/>
      <c r="AE31" s="224"/>
      <c r="AF31" s="224"/>
      <c r="AG31" s="224"/>
      <c r="AH31" s="224"/>
    </row>
    <row r="32" s="219" customFormat="1" ht="86" customHeight="1" spans="1:34">
      <c r="A32" s="224">
        <v>37</v>
      </c>
      <c r="B32" s="225" t="s">
        <v>37</v>
      </c>
      <c r="C32" s="226" t="s">
        <v>103</v>
      </c>
      <c r="D32" s="226" t="s">
        <v>104</v>
      </c>
      <c r="E32" s="226" t="s">
        <v>105</v>
      </c>
      <c r="F32" s="224" t="s">
        <v>50</v>
      </c>
      <c r="G32" s="224"/>
      <c r="H32" s="224"/>
      <c r="I32" s="224"/>
      <c r="J32" s="224"/>
      <c r="K32" s="224"/>
      <c r="L32" s="224">
        <v>19280000</v>
      </c>
      <c r="M32" s="227" t="s">
        <v>106</v>
      </c>
      <c r="N32" s="227">
        <v>46109</v>
      </c>
      <c r="O32" s="224"/>
      <c r="P32" s="236" t="s">
        <v>35</v>
      </c>
      <c r="Q32" s="236" t="s">
        <v>34</v>
      </c>
      <c r="R32" s="224"/>
      <c r="S32" s="235">
        <v>0.7</v>
      </c>
      <c r="T32" s="235">
        <v>0.3</v>
      </c>
      <c r="U32" s="224"/>
      <c r="V32" s="229">
        <f t="shared" si="3"/>
        <v>13496000</v>
      </c>
      <c r="W32" s="224">
        <f t="shared" si="5"/>
        <v>5784000</v>
      </c>
      <c r="X32" s="224"/>
      <c r="Y32" s="224">
        <v>13496000</v>
      </c>
      <c r="Z32" s="224" t="s">
        <v>41</v>
      </c>
      <c r="AA32" s="230">
        <v>0.7</v>
      </c>
      <c r="AB32" s="224">
        <f t="shared" si="4"/>
        <v>9447200</v>
      </c>
      <c r="AC32" s="224" t="s">
        <v>42</v>
      </c>
      <c r="AD32" s="230">
        <v>0.3</v>
      </c>
      <c r="AE32" s="224">
        <f>Y32*AD32</f>
        <v>4048800</v>
      </c>
      <c r="AF32" s="224"/>
      <c r="AG32" s="224"/>
      <c r="AH32" s="224"/>
    </row>
    <row r="33" s="219" customFormat="1" ht="86" customHeight="1" spans="1:34">
      <c r="A33" s="224">
        <v>38</v>
      </c>
      <c r="B33" s="225" t="s">
        <v>37</v>
      </c>
      <c r="C33" s="226" t="s">
        <v>107</v>
      </c>
      <c r="D33" s="226" t="s">
        <v>108</v>
      </c>
      <c r="E33" s="226" t="s">
        <v>105</v>
      </c>
      <c r="F33" s="224" t="s">
        <v>50</v>
      </c>
      <c r="G33" s="224"/>
      <c r="H33" s="224"/>
      <c r="I33" s="224"/>
      <c r="J33" s="224"/>
      <c r="K33" s="224"/>
      <c r="L33" s="224">
        <v>1300000</v>
      </c>
      <c r="M33" s="227" t="s">
        <v>106</v>
      </c>
      <c r="N33" s="227">
        <v>46109</v>
      </c>
      <c r="O33" s="224"/>
      <c r="P33" s="236" t="s">
        <v>35</v>
      </c>
      <c r="Q33" s="236"/>
      <c r="R33" s="224"/>
      <c r="S33" s="235">
        <v>1</v>
      </c>
      <c r="T33" s="235"/>
      <c r="U33" s="224"/>
      <c r="V33" s="229">
        <f t="shared" si="3"/>
        <v>1300000</v>
      </c>
      <c r="W33" s="224"/>
      <c r="X33" s="224"/>
      <c r="Y33" s="224">
        <v>1300000</v>
      </c>
      <c r="Z33" s="224" t="s">
        <v>41</v>
      </c>
      <c r="AA33" s="230">
        <v>0.7</v>
      </c>
      <c r="AB33" s="224">
        <f t="shared" si="4"/>
        <v>910000</v>
      </c>
      <c r="AC33" s="224" t="s">
        <v>42</v>
      </c>
      <c r="AD33" s="230">
        <v>0.3</v>
      </c>
      <c r="AE33" s="224">
        <f>Y33*AD33</f>
        <v>390000</v>
      </c>
      <c r="AF33" s="224"/>
      <c r="AG33" s="224"/>
      <c r="AH33" s="224"/>
    </row>
    <row r="34" s="219" customFormat="1" ht="86" customHeight="1" spans="1:34">
      <c r="A34" s="224">
        <v>39</v>
      </c>
      <c r="B34" s="225" t="s">
        <v>29</v>
      </c>
      <c r="C34" s="226" t="s">
        <v>109</v>
      </c>
      <c r="D34" s="226" t="s">
        <v>110</v>
      </c>
      <c r="E34" s="226" t="s">
        <v>59</v>
      </c>
      <c r="F34" s="224" t="s">
        <v>33</v>
      </c>
      <c r="G34" s="224"/>
      <c r="H34" s="224"/>
      <c r="I34" s="224"/>
      <c r="J34" s="224"/>
      <c r="K34" s="224"/>
      <c r="L34" s="224">
        <v>9800000</v>
      </c>
      <c r="M34" s="227" t="s">
        <v>101</v>
      </c>
      <c r="N34" s="227">
        <v>46109</v>
      </c>
      <c r="O34" s="224"/>
      <c r="P34" s="236" t="s">
        <v>35</v>
      </c>
      <c r="Q34" s="236" t="s">
        <v>34</v>
      </c>
      <c r="R34" s="224"/>
      <c r="S34" s="235">
        <v>0.7</v>
      </c>
      <c r="T34" s="235">
        <v>0.3</v>
      </c>
      <c r="U34" s="224"/>
      <c r="V34" s="229">
        <f t="shared" si="3"/>
        <v>6860000</v>
      </c>
      <c r="W34" s="224">
        <f t="shared" si="5"/>
        <v>2940000</v>
      </c>
      <c r="X34" s="224"/>
      <c r="Y34" s="224">
        <v>6860000</v>
      </c>
      <c r="Z34" s="224" t="s">
        <v>60</v>
      </c>
      <c r="AA34" s="230">
        <v>1</v>
      </c>
      <c r="AB34" s="224">
        <f t="shared" si="4"/>
        <v>6860000</v>
      </c>
      <c r="AC34" s="224"/>
      <c r="AD34" s="224"/>
      <c r="AE34" s="224"/>
      <c r="AF34" s="224"/>
      <c r="AG34" s="224"/>
      <c r="AH34" s="224"/>
    </row>
    <row r="35" s="219" customFormat="1" ht="86" hidden="1" customHeight="1" spans="1:34">
      <c r="A35" s="224">
        <v>40</v>
      </c>
      <c r="B35" s="225" t="s">
        <v>37</v>
      </c>
      <c r="C35" s="226" t="s">
        <v>111</v>
      </c>
      <c r="D35" s="226" t="s">
        <v>112</v>
      </c>
      <c r="E35" s="226" t="s">
        <v>75</v>
      </c>
      <c r="F35" s="224" t="s">
        <v>33</v>
      </c>
      <c r="G35" s="224"/>
      <c r="H35" s="224"/>
      <c r="I35" s="224"/>
      <c r="J35" s="224"/>
      <c r="K35" s="224"/>
      <c r="L35" s="224">
        <v>54597.4</v>
      </c>
      <c r="M35" s="227" t="s">
        <v>75</v>
      </c>
      <c r="N35" s="227">
        <v>46109</v>
      </c>
      <c r="O35" s="224"/>
      <c r="P35" s="236" t="s">
        <v>35</v>
      </c>
      <c r="Q35" s="236"/>
      <c r="R35" s="224"/>
      <c r="S35" s="235">
        <v>1</v>
      </c>
      <c r="T35" s="235"/>
      <c r="U35" s="224"/>
      <c r="V35" s="229">
        <f t="shared" si="3"/>
        <v>54597.4</v>
      </c>
      <c r="W35" s="224"/>
      <c r="X35" s="224"/>
      <c r="Y35" s="224">
        <v>54597.4</v>
      </c>
      <c r="Z35" s="224" t="s">
        <v>41</v>
      </c>
      <c r="AA35" s="230">
        <v>1</v>
      </c>
      <c r="AB35" s="224">
        <f t="shared" si="4"/>
        <v>54597.4</v>
      </c>
      <c r="AC35" s="224"/>
      <c r="AD35" s="224"/>
      <c r="AE35" s="224"/>
      <c r="AF35" s="224"/>
      <c r="AG35" s="224"/>
      <c r="AH35" s="224"/>
    </row>
    <row r="36" s="219" customFormat="1" ht="86" hidden="1" customHeight="1" spans="1:34">
      <c r="A36" s="224">
        <v>41</v>
      </c>
      <c r="B36" s="225" t="s">
        <v>37</v>
      </c>
      <c r="C36" s="226" t="s">
        <v>85</v>
      </c>
      <c r="D36" s="226" t="s">
        <v>85</v>
      </c>
      <c r="E36" s="226" t="s">
        <v>75</v>
      </c>
      <c r="F36" s="224" t="s">
        <v>50</v>
      </c>
      <c r="G36" s="224"/>
      <c r="H36" s="224"/>
      <c r="I36" s="224"/>
      <c r="J36" s="224"/>
      <c r="K36" s="224"/>
      <c r="L36" s="224">
        <v>25398</v>
      </c>
      <c r="M36" s="227" t="s">
        <v>75</v>
      </c>
      <c r="N36" s="227">
        <v>46109</v>
      </c>
      <c r="O36" s="224"/>
      <c r="P36" s="236" t="s">
        <v>35</v>
      </c>
      <c r="Q36" s="236"/>
      <c r="R36" s="224"/>
      <c r="S36" s="235">
        <v>1</v>
      </c>
      <c r="T36" s="235"/>
      <c r="U36" s="224"/>
      <c r="V36" s="229">
        <f t="shared" si="3"/>
        <v>25398</v>
      </c>
      <c r="W36" s="224"/>
      <c r="X36" s="224"/>
      <c r="Y36" s="224">
        <v>25398</v>
      </c>
      <c r="Z36" s="224" t="s">
        <v>41</v>
      </c>
      <c r="AA36" s="230">
        <v>1</v>
      </c>
      <c r="AB36" s="224">
        <f t="shared" si="4"/>
        <v>25398</v>
      </c>
      <c r="AC36" s="224"/>
      <c r="AD36" s="224"/>
      <c r="AE36" s="224"/>
      <c r="AF36" s="224"/>
      <c r="AG36" s="224"/>
      <c r="AH36" s="224"/>
    </row>
    <row r="37" s="219" customFormat="1" ht="86" hidden="1" customHeight="1" spans="1:34">
      <c r="A37" s="224">
        <v>42</v>
      </c>
      <c r="B37" s="225" t="s">
        <v>29</v>
      </c>
      <c r="C37" s="226" t="s">
        <v>113</v>
      </c>
      <c r="D37" s="226" t="s">
        <v>114</v>
      </c>
      <c r="E37" s="226" t="s">
        <v>75</v>
      </c>
      <c r="F37" s="224" t="s">
        <v>50</v>
      </c>
      <c r="G37" s="224"/>
      <c r="H37" s="224"/>
      <c r="I37" s="224"/>
      <c r="J37" s="224"/>
      <c r="K37" s="224"/>
      <c r="L37" s="224">
        <v>430.2</v>
      </c>
      <c r="M37" s="227" t="s">
        <v>75</v>
      </c>
      <c r="N37" s="227">
        <v>46109</v>
      </c>
      <c r="O37" s="224"/>
      <c r="P37" s="236" t="s">
        <v>35</v>
      </c>
      <c r="Q37" s="236"/>
      <c r="R37" s="224"/>
      <c r="S37" s="235">
        <v>1</v>
      </c>
      <c r="T37" s="235"/>
      <c r="U37" s="224"/>
      <c r="V37" s="229">
        <f t="shared" si="3"/>
        <v>430.2</v>
      </c>
      <c r="W37" s="224"/>
      <c r="X37" s="224"/>
      <c r="Y37" s="224">
        <v>430.2</v>
      </c>
      <c r="Z37" s="224" t="s">
        <v>41</v>
      </c>
      <c r="AA37" s="230">
        <v>1</v>
      </c>
      <c r="AB37" s="224">
        <f t="shared" si="4"/>
        <v>430.2</v>
      </c>
      <c r="AC37" s="224"/>
      <c r="AD37" s="224"/>
      <c r="AE37" s="224"/>
      <c r="AF37" s="224"/>
      <c r="AG37" s="224"/>
      <c r="AH37" s="224"/>
    </row>
    <row r="38" s="219" customFormat="1" ht="86" customHeight="1" spans="1:34">
      <c r="A38" s="224">
        <v>43</v>
      </c>
      <c r="B38" s="225" t="s">
        <v>29</v>
      </c>
      <c r="C38" s="226" t="s">
        <v>115</v>
      </c>
      <c r="D38" s="226" t="s">
        <v>116</v>
      </c>
      <c r="E38" s="226" t="s">
        <v>46</v>
      </c>
      <c r="F38" s="224" t="s">
        <v>33</v>
      </c>
      <c r="G38" s="224"/>
      <c r="H38" s="224"/>
      <c r="I38" s="224"/>
      <c r="J38" s="224"/>
      <c r="K38" s="224"/>
      <c r="L38" s="237">
        <v>-2100000</v>
      </c>
      <c r="M38" s="227" t="s">
        <v>101</v>
      </c>
      <c r="N38" s="227">
        <v>46109</v>
      </c>
      <c r="O38" s="224"/>
      <c r="P38" s="236" t="s">
        <v>34</v>
      </c>
      <c r="Q38" s="236" t="s">
        <v>35</v>
      </c>
      <c r="R38" s="224"/>
      <c r="S38" s="235">
        <v>0.7</v>
      </c>
      <c r="T38" s="235">
        <v>0.3</v>
      </c>
      <c r="U38" s="224"/>
      <c r="V38" s="229">
        <f t="shared" si="3"/>
        <v>-1470000</v>
      </c>
      <c r="W38" s="224">
        <f>L38*T38</f>
        <v>-630000</v>
      </c>
      <c r="X38" s="224"/>
      <c r="Y38" s="224">
        <v>-630000</v>
      </c>
      <c r="Z38" s="224" t="s">
        <v>47</v>
      </c>
      <c r="AA38" s="230">
        <v>1</v>
      </c>
      <c r="AB38" s="224">
        <f t="shared" si="4"/>
        <v>-630000</v>
      </c>
      <c r="AC38" s="224"/>
      <c r="AD38" s="224"/>
      <c r="AE38" s="224"/>
      <c r="AF38" s="224"/>
      <c r="AG38" s="224"/>
      <c r="AH38" s="224"/>
    </row>
    <row r="39" s="219" customFormat="1" ht="86" customHeight="1" spans="1:34">
      <c r="A39" s="224">
        <v>44</v>
      </c>
      <c r="B39" s="225" t="s">
        <v>37</v>
      </c>
      <c r="C39" s="226" t="s">
        <v>117</v>
      </c>
      <c r="D39" s="226" t="s">
        <v>118</v>
      </c>
      <c r="E39" s="226" t="s">
        <v>119</v>
      </c>
      <c r="F39" s="224" t="s">
        <v>33</v>
      </c>
      <c r="G39" s="224"/>
      <c r="H39" s="224"/>
      <c r="I39" s="224"/>
      <c r="J39" s="224"/>
      <c r="K39" s="224"/>
      <c r="L39" s="237">
        <v>125500000</v>
      </c>
      <c r="M39" s="227" t="s">
        <v>106</v>
      </c>
      <c r="N39" s="227">
        <v>46109</v>
      </c>
      <c r="O39" s="224"/>
      <c r="P39" s="236" t="s">
        <v>34</v>
      </c>
      <c r="Q39" s="236" t="s">
        <v>35</v>
      </c>
      <c r="R39" s="224"/>
      <c r="S39" s="235">
        <v>0.7</v>
      </c>
      <c r="T39" s="235">
        <v>0.3</v>
      </c>
      <c r="U39" s="224"/>
      <c r="V39" s="229">
        <f t="shared" si="3"/>
        <v>87850000</v>
      </c>
      <c r="W39" s="224">
        <f>L39*T39</f>
        <v>37650000</v>
      </c>
      <c r="X39" s="224"/>
      <c r="Y39" s="224">
        <v>37650000</v>
      </c>
      <c r="Z39" s="224" t="s">
        <v>120</v>
      </c>
      <c r="AA39" s="230">
        <v>1</v>
      </c>
      <c r="AB39" s="224">
        <f t="shared" si="4"/>
        <v>37650000</v>
      </c>
      <c r="AC39" s="224"/>
      <c r="AD39" s="224"/>
      <c r="AE39" s="224"/>
      <c r="AF39" s="224"/>
      <c r="AG39" s="224"/>
      <c r="AH39" s="224"/>
    </row>
    <row r="40" s="219" customFormat="1" ht="86" customHeight="1" spans="1:34">
      <c r="A40" s="224">
        <v>45</v>
      </c>
      <c r="B40" s="225" t="s">
        <v>29</v>
      </c>
      <c r="C40" s="226" t="s">
        <v>121</v>
      </c>
      <c r="D40" s="226" t="s">
        <v>122</v>
      </c>
      <c r="E40" s="226" t="s">
        <v>46</v>
      </c>
      <c r="F40" s="224" t="s">
        <v>33</v>
      </c>
      <c r="G40" s="224"/>
      <c r="H40" s="224"/>
      <c r="I40" s="224"/>
      <c r="J40" s="224"/>
      <c r="K40" s="224"/>
      <c r="L40" s="237">
        <v>20640000</v>
      </c>
      <c r="M40" s="227" t="s">
        <v>123</v>
      </c>
      <c r="N40" s="227">
        <v>46112</v>
      </c>
      <c r="O40" s="224"/>
      <c r="P40" s="236" t="s">
        <v>34</v>
      </c>
      <c r="Q40" s="236" t="s">
        <v>35</v>
      </c>
      <c r="R40" s="224"/>
      <c r="S40" s="235">
        <v>0.7</v>
      </c>
      <c r="T40" s="235">
        <v>0.3</v>
      </c>
      <c r="U40" s="224"/>
      <c r="V40" s="229">
        <f t="shared" si="3"/>
        <v>14448000</v>
      </c>
      <c r="W40" s="224">
        <f>L40*T40</f>
        <v>6192000</v>
      </c>
      <c r="X40" s="224"/>
      <c r="Y40" s="224">
        <v>6192000</v>
      </c>
      <c r="Z40" s="224" t="s">
        <v>47</v>
      </c>
      <c r="AA40" s="230">
        <v>1</v>
      </c>
      <c r="AB40" s="224">
        <f t="shared" si="4"/>
        <v>6192000</v>
      </c>
      <c r="AC40" s="224"/>
      <c r="AD40" s="224"/>
      <c r="AE40" s="224"/>
      <c r="AF40" s="224"/>
      <c r="AG40" s="224"/>
      <c r="AH40" s="224"/>
    </row>
    <row r="41" s="219" customFormat="1" ht="86" hidden="1" customHeight="1" spans="1:34">
      <c r="A41" s="224">
        <v>46</v>
      </c>
      <c r="B41" s="225" t="s">
        <v>37</v>
      </c>
      <c r="C41" s="226" t="s">
        <v>124</v>
      </c>
      <c r="D41" s="226" t="s">
        <v>125</v>
      </c>
      <c r="E41" s="226" t="s">
        <v>75</v>
      </c>
      <c r="F41" s="224" t="s">
        <v>50</v>
      </c>
      <c r="G41" s="224"/>
      <c r="H41" s="224"/>
      <c r="I41" s="224"/>
      <c r="J41" s="224"/>
      <c r="K41" s="224"/>
      <c r="L41" s="224">
        <v>3048</v>
      </c>
      <c r="M41" s="227"/>
      <c r="N41" s="227">
        <v>46113</v>
      </c>
      <c r="O41" s="224"/>
      <c r="P41" s="236" t="s">
        <v>35</v>
      </c>
      <c r="Q41" s="236"/>
      <c r="R41" s="224"/>
      <c r="S41" s="235">
        <v>1</v>
      </c>
      <c r="T41" s="235"/>
      <c r="U41" s="224"/>
      <c r="V41" s="229">
        <f t="shared" si="3"/>
        <v>3048</v>
      </c>
      <c r="W41" s="224"/>
      <c r="X41" s="224"/>
      <c r="Y41" s="224">
        <v>3048</v>
      </c>
      <c r="Z41" s="224" t="s">
        <v>41</v>
      </c>
      <c r="AA41" s="230">
        <v>1</v>
      </c>
      <c r="AB41" s="224">
        <f t="shared" si="4"/>
        <v>3048</v>
      </c>
      <c r="AC41" s="224"/>
      <c r="AD41" s="224"/>
      <c r="AE41" s="224"/>
      <c r="AF41" s="224"/>
      <c r="AG41" s="224"/>
      <c r="AH41" s="224"/>
    </row>
    <row r="43" spans="1:34">
      <c r="AB43">
        <f>SUBTOTAL(9,AB4:AB41)</f>
        <v>73652200</v>
      </c>
    </row>
  </sheetData>
  <autoFilter xmlns:etc="http://www.wps.cn/officeDocument/2017/etCustomData" ref="A2:AN41" etc:filterBottomFollowUsedRange="0">
    <filterColumn colId="4">
      <filters>
        <filter val="上海市基础工程集团有限公司"/>
        <filter val="中铁十四局集团隧道工程有限公司"/>
        <filter val="中铁十九局集团华东工程有限公司"/>
        <filter val="中铁十一局集团第一工程有限公司"/>
        <filter val="中国铁建港航局集团有限公司"/>
        <filter val="中铁建大桥局五公司"/>
        <filter val="中铁十四局集团装备有限公司"/>
      </filters>
    </filterColumn>
    <filterColumn colId="13">
      <filters>
        <dateGroupItem year="2026" month="3" dateTimeGrouping="month"/>
      </filters>
    </filterColumn>
    <extLst/>
  </autoFilter>
  <mergeCells count="26">
    <mergeCell ref="Z1:AH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92"/>
  <sheetViews>
    <sheetView tabSelected="1" zoomScale="70" zoomScaleNormal="70" workbookViewId="0">
      <pane xSplit="1" ySplit="3" topLeftCell="B73" activePane="bottomRight" state="frozen"/>
      <selection/>
      <selection pane="topRight"/>
      <selection pane="bottomLeft"/>
      <selection pane="bottomRight" activeCell="D73" sqref="D73"/>
    </sheetView>
  </sheetViews>
  <sheetFormatPr defaultColWidth="9" defaultRowHeight="14"/>
  <cols>
    <col min="1" max="1" width="8.18181818181818" style="86" customWidth="1"/>
    <col min="2" max="2" width="19.3181818181818" style="86" customWidth="1"/>
    <col min="3" max="3" width="25.2818181818182" style="214" customWidth="1"/>
    <col min="4" max="4" width="30.5727272727273" style="214" customWidth="1"/>
    <col min="5" max="5" width="41.4818181818182" style="214" customWidth="1"/>
    <col min="6" max="6" width="27.0454545454545" style="214" customWidth="1"/>
    <col min="7" max="8" width="13.1181818181818" style="214" customWidth="1"/>
    <col min="9" max="9" width="21.8090909090909" style="214" customWidth="1"/>
    <col min="10" max="10" width="13.1181818181818" style="86" customWidth="1"/>
    <col min="11" max="13" width="10.7727272727273" style="86" customWidth="1"/>
    <col min="14" max="17" width="13.6272727272727" style="86" customWidth="1"/>
    <col min="18" max="18" width="14" style="86"/>
    <col min="19" max="19" width="10.5181818181818" style="86" customWidth="1"/>
    <col min="20" max="20" width="13.0545454545455" style="86" customWidth="1"/>
    <col min="21" max="23" width="10.5181818181818" style="86" customWidth="1"/>
    <col min="24" max="24" width="12.8181818181818" style="86"/>
    <col min="25" max="26" width="16.3636363636364" style="86"/>
    <col min="27" max="27" width="12.8181818181818" style="86"/>
    <col min="28" max="28" width="16.3636363636364" style="86"/>
    <col min="29" max="30" width="9" style="86"/>
    <col min="31" max="31" width="16.3636363636364" style="86"/>
    <col min="32" max="16384" width="9" style="86"/>
  </cols>
  <sheetData>
    <row r="1" customFormat="1" ht="55" customHeight="1" spans="1:23">
      <c r="A1" s="174" t="s">
        <v>126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</row>
    <row r="2" s="212" customFormat="1" ht="45" customHeight="1" spans="1:23">
      <c r="A2" s="177" t="s">
        <v>0</v>
      </c>
      <c r="B2" s="177" t="s">
        <v>127</v>
      </c>
      <c r="C2" s="177" t="s">
        <v>4</v>
      </c>
      <c r="D2" s="177" t="s">
        <v>2</v>
      </c>
      <c r="E2" s="177" t="s">
        <v>3</v>
      </c>
      <c r="F2" s="177" t="s">
        <v>128</v>
      </c>
      <c r="G2" s="178" t="s">
        <v>12</v>
      </c>
      <c r="H2" s="177" t="s">
        <v>129</v>
      </c>
      <c r="I2" s="179" t="s">
        <v>130</v>
      </c>
      <c r="J2" s="179" t="s">
        <v>17</v>
      </c>
      <c r="K2" s="180" t="s">
        <v>18</v>
      </c>
      <c r="L2" s="180" t="s">
        <v>19</v>
      </c>
      <c r="M2" s="180" t="s">
        <v>20</v>
      </c>
      <c r="N2" s="181" t="s">
        <v>21</v>
      </c>
      <c r="O2" s="181" t="s">
        <v>22</v>
      </c>
      <c r="P2" s="181" t="s">
        <v>23</v>
      </c>
      <c r="Q2" s="181" t="s">
        <v>24</v>
      </c>
      <c r="R2" s="177" t="s">
        <v>25</v>
      </c>
      <c r="S2" s="177"/>
      <c r="T2" s="177"/>
      <c r="U2" s="177"/>
      <c r="V2" s="177"/>
      <c r="W2" s="177"/>
    </row>
    <row r="3" s="212" customFormat="1" ht="44" customHeight="1" spans="1:23">
      <c r="A3" s="177"/>
      <c r="B3" s="177"/>
      <c r="C3" s="177"/>
      <c r="D3" s="177"/>
      <c r="E3" s="177"/>
      <c r="F3" s="177"/>
      <c r="G3" s="184"/>
      <c r="H3" s="177"/>
      <c r="I3" s="179"/>
      <c r="J3" s="179"/>
      <c r="K3" s="180"/>
      <c r="L3" s="180"/>
      <c r="M3" s="180"/>
      <c r="N3" s="181"/>
      <c r="O3" s="181"/>
      <c r="P3" s="181"/>
      <c r="Q3" s="181"/>
      <c r="R3" s="177" t="s">
        <v>26</v>
      </c>
      <c r="S3" s="215" t="s">
        <v>27</v>
      </c>
      <c r="T3" s="215" t="s">
        <v>28</v>
      </c>
      <c r="U3" s="177" t="s">
        <v>26</v>
      </c>
      <c r="V3" s="215" t="s">
        <v>27</v>
      </c>
      <c r="W3" s="215" t="s">
        <v>28</v>
      </c>
    </row>
    <row r="4" s="213" customFormat="1" ht="58" hidden="1" customHeight="1" spans="1:23">
      <c r="A4" s="186">
        <v>1</v>
      </c>
      <c r="B4" s="187">
        <v>46038</v>
      </c>
      <c r="C4" s="188" t="s">
        <v>131</v>
      </c>
      <c r="D4" s="188" t="s">
        <v>132</v>
      </c>
      <c r="E4" s="188" t="s">
        <v>133</v>
      </c>
      <c r="F4" s="216">
        <v>1142808.85</v>
      </c>
      <c r="G4" s="188"/>
      <c r="H4" s="188" t="s">
        <v>35</v>
      </c>
      <c r="I4" s="188"/>
      <c r="J4" s="186"/>
      <c r="K4" s="191">
        <v>1</v>
      </c>
      <c r="L4" s="188"/>
      <c r="M4" s="186"/>
      <c r="N4" s="186">
        <f t="shared" ref="N4:N62" si="0">F4*K4</f>
        <v>1142808.85</v>
      </c>
      <c r="O4" s="186"/>
      <c r="P4" s="186"/>
      <c r="Q4" s="186">
        <v>1142808.85</v>
      </c>
      <c r="R4" s="186" t="s">
        <v>41</v>
      </c>
      <c r="S4" s="209">
        <v>1</v>
      </c>
      <c r="T4" s="186">
        <f t="shared" ref="T4:T43" si="1">Q4*S4</f>
        <v>1142808.85</v>
      </c>
      <c r="U4" s="186"/>
      <c r="V4" s="186"/>
      <c r="W4" s="186"/>
    </row>
    <row r="5" s="213" customFormat="1" ht="58" hidden="1" customHeight="1" spans="1:23">
      <c r="A5" s="186">
        <v>2</v>
      </c>
      <c r="B5" s="187">
        <v>46038</v>
      </c>
      <c r="C5" s="188" t="s">
        <v>131</v>
      </c>
      <c r="D5" s="188" t="s">
        <v>132</v>
      </c>
      <c r="E5" s="188" t="s">
        <v>133</v>
      </c>
      <c r="F5" s="216">
        <v>1258634.07</v>
      </c>
      <c r="G5" s="188"/>
      <c r="H5" s="188" t="s">
        <v>35</v>
      </c>
      <c r="I5" s="188"/>
      <c r="J5" s="186"/>
      <c r="K5" s="191">
        <v>1</v>
      </c>
      <c r="L5" s="188"/>
      <c r="M5" s="186"/>
      <c r="N5" s="186">
        <f t="shared" si="0"/>
        <v>1258634.07</v>
      </c>
      <c r="O5" s="186"/>
      <c r="P5" s="186"/>
      <c r="Q5" s="186">
        <v>1258634.07</v>
      </c>
      <c r="R5" s="186" t="s">
        <v>41</v>
      </c>
      <c r="S5" s="209">
        <v>1</v>
      </c>
      <c r="T5" s="186">
        <f t="shared" si="1"/>
        <v>1258634.07</v>
      </c>
      <c r="U5" s="186"/>
      <c r="V5" s="186"/>
      <c r="W5" s="186"/>
    </row>
    <row r="6" s="213" customFormat="1" ht="58" hidden="1" customHeight="1" spans="1:23">
      <c r="A6" s="186">
        <v>3</v>
      </c>
      <c r="B6" s="187">
        <v>46038</v>
      </c>
      <c r="C6" s="188" t="s">
        <v>40</v>
      </c>
      <c r="D6" s="188" t="s">
        <v>134</v>
      </c>
      <c r="E6" s="188" t="s">
        <v>135</v>
      </c>
      <c r="F6" s="216">
        <v>1183070.13</v>
      </c>
      <c r="G6" s="188"/>
      <c r="H6" s="188" t="s">
        <v>35</v>
      </c>
      <c r="I6" s="188"/>
      <c r="J6" s="186"/>
      <c r="K6" s="191">
        <v>1</v>
      </c>
      <c r="L6" s="188"/>
      <c r="M6" s="186"/>
      <c r="N6" s="186">
        <f t="shared" si="0"/>
        <v>1183070.13</v>
      </c>
      <c r="O6" s="186"/>
      <c r="P6" s="186"/>
      <c r="Q6" s="186">
        <v>1183070.13</v>
      </c>
      <c r="R6" s="186" t="s">
        <v>41</v>
      </c>
      <c r="S6" s="209">
        <v>1</v>
      </c>
      <c r="T6" s="186">
        <f t="shared" si="1"/>
        <v>1183070.13</v>
      </c>
      <c r="U6" s="186"/>
      <c r="V6" s="186"/>
      <c r="W6" s="186"/>
    </row>
    <row r="7" s="213" customFormat="1" ht="58" hidden="1" customHeight="1" spans="1:23">
      <c r="A7" s="186">
        <v>4</v>
      </c>
      <c r="B7" s="187">
        <v>46038</v>
      </c>
      <c r="C7" s="188" t="s">
        <v>40</v>
      </c>
      <c r="D7" s="188" t="s">
        <v>134</v>
      </c>
      <c r="E7" s="188" t="s">
        <v>135</v>
      </c>
      <c r="F7" s="216">
        <v>793871.9</v>
      </c>
      <c r="G7" s="188"/>
      <c r="H7" s="188" t="s">
        <v>35</v>
      </c>
      <c r="I7" s="188"/>
      <c r="J7" s="186"/>
      <c r="K7" s="191">
        <v>1</v>
      </c>
      <c r="L7" s="188"/>
      <c r="M7" s="186"/>
      <c r="N7" s="186">
        <f t="shared" si="0"/>
        <v>793871.9</v>
      </c>
      <c r="O7" s="186"/>
      <c r="P7" s="186"/>
      <c r="Q7" s="186">
        <v>793871.9</v>
      </c>
      <c r="R7" s="186" t="s">
        <v>41</v>
      </c>
      <c r="S7" s="209">
        <v>1</v>
      </c>
      <c r="T7" s="186">
        <f t="shared" si="1"/>
        <v>793871.9</v>
      </c>
      <c r="U7" s="186"/>
      <c r="V7" s="186"/>
      <c r="W7" s="186"/>
    </row>
    <row r="8" s="213" customFormat="1" ht="58" hidden="1" customHeight="1" spans="1:23">
      <c r="A8" s="186">
        <v>5</v>
      </c>
      <c r="B8" s="187">
        <v>46038</v>
      </c>
      <c r="C8" s="188" t="s">
        <v>131</v>
      </c>
      <c r="D8" s="188" t="s">
        <v>81</v>
      </c>
      <c r="E8" s="188" t="s">
        <v>81</v>
      </c>
      <c r="F8" s="216">
        <v>61065.5</v>
      </c>
      <c r="G8" s="188"/>
      <c r="H8" s="188" t="s">
        <v>35</v>
      </c>
      <c r="I8" s="188"/>
      <c r="J8" s="186"/>
      <c r="K8" s="191">
        <v>1</v>
      </c>
      <c r="L8" s="188"/>
      <c r="M8" s="186"/>
      <c r="N8" s="186">
        <f t="shared" si="0"/>
        <v>61065.5</v>
      </c>
      <c r="O8" s="186"/>
      <c r="P8" s="186"/>
      <c r="Q8" s="186">
        <v>61065.5</v>
      </c>
      <c r="R8" s="186" t="s">
        <v>41</v>
      </c>
      <c r="S8" s="209">
        <v>1</v>
      </c>
      <c r="T8" s="186">
        <f t="shared" si="1"/>
        <v>61065.5</v>
      </c>
      <c r="U8" s="186"/>
      <c r="V8" s="186"/>
      <c r="W8" s="186"/>
    </row>
    <row r="9" s="213" customFormat="1" ht="58" hidden="1" customHeight="1" spans="1:23">
      <c r="A9" s="186">
        <v>6</v>
      </c>
      <c r="B9" s="187">
        <v>46038</v>
      </c>
      <c r="C9" s="188" t="s">
        <v>136</v>
      </c>
      <c r="D9" s="188" t="s">
        <v>137</v>
      </c>
      <c r="E9" s="188" t="s">
        <v>138</v>
      </c>
      <c r="F9" s="216">
        <v>867256.64</v>
      </c>
      <c r="G9" s="188"/>
      <c r="H9" s="188" t="s">
        <v>35</v>
      </c>
      <c r="I9" s="188" t="s">
        <v>64</v>
      </c>
      <c r="J9" s="186"/>
      <c r="K9" s="191">
        <v>0.7</v>
      </c>
      <c r="L9" s="191">
        <v>0.3</v>
      </c>
      <c r="M9" s="186"/>
      <c r="N9" s="186">
        <f t="shared" si="0"/>
        <v>607079.648</v>
      </c>
      <c r="O9" s="186">
        <f t="shared" ref="O9:O11" si="2">F9*L9</f>
        <v>260176.992</v>
      </c>
      <c r="P9" s="186"/>
      <c r="Q9" s="186">
        <v>607079.648</v>
      </c>
      <c r="R9" s="186" t="s">
        <v>55</v>
      </c>
      <c r="S9" s="209">
        <v>1</v>
      </c>
      <c r="T9" s="186">
        <f t="shared" si="1"/>
        <v>607079.648</v>
      </c>
      <c r="U9" s="186"/>
      <c r="V9" s="186"/>
      <c r="W9" s="186"/>
    </row>
    <row r="10" s="213" customFormat="1" ht="58" hidden="1" customHeight="1" spans="1:23">
      <c r="A10" s="186">
        <v>7</v>
      </c>
      <c r="B10" s="187">
        <v>46038</v>
      </c>
      <c r="C10" s="188" t="s">
        <v>136</v>
      </c>
      <c r="D10" s="188" t="s">
        <v>137</v>
      </c>
      <c r="E10" s="188" t="s">
        <v>138</v>
      </c>
      <c r="F10" s="216">
        <v>867256.64</v>
      </c>
      <c r="G10" s="188"/>
      <c r="H10" s="188" t="s">
        <v>35</v>
      </c>
      <c r="I10" s="188" t="s">
        <v>64</v>
      </c>
      <c r="J10" s="186"/>
      <c r="K10" s="191">
        <v>0.7</v>
      </c>
      <c r="L10" s="191">
        <v>0.3</v>
      </c>
      <c r="M10" s="186"/>
      <c r="N10" s="186">
        <f t="shared" si="0"/>
        <v>607079.648</v>
      </c>
      <c r="O10" s="186">
        <f t="shared" si="2"/>
        <v>260176.992</v>
      </c>
      <c r="P10" s="186"/>
      <c r="Q10" s="186">
        <v>607079.648</v>
      </c>
      <c r="R10" s="186" t="s">
        <v>55</v>
      </c>
      <c r="S10" s="209">
        <v>1</v>
      </c>
      <c r="T10" s="186">
        <f t="shared" si="1"/>
        <v>607079.648</v>
      </c>
      <c r="U10" s="186"/>
      <c r="V10" s="186"/>
      <c r="W10" s="186"/>
    </row>
    <row r="11" s="213" customFormat="1" ht="58" hidden="1" customHeight="1" spans="1:23">
      <c r="A11" s="186">
        <v>8</v>
      </c>
      <c r="B11" s="187">
        <v>46038</v>
      </c>
      <c r="C11" s="188" t="s">
        <v>139</v>
      </c>
      <c r="D11" s="188" t="s">
        <v>140</v>
      </c>
      <c r="E11" s="188" t="s">
        <v>141</v>
      </c>
      <c r="F11" s="216">
        <v>2211504.42</v>
      </c>
      <c r="G11" s="188"/>
      <c r="H11" s="188" t="s">
        <v>35</v>
      </c>
      <c r="I11" s="188" t="s">
        <v>142</v>
      </c>
      <c r="J11" s="186"/>
      <c r="K11" s="191">
        <v>0.7</v>
      </c>
      <c r="L11" s="191">
        <v>0.3</v>
      </c>
      <c r="M11" s="186"/>
      <c r="N11" s="186">
        <f t="shared" si="0"/>
        <v>1548053.094</v>
      </c>
      <c r="O11" s="186">
        <f t="shared" si="2"/>
        <v>663451.326</v>
      </c>
      <c r="P11" s="186"/>
      <c r="Q11" s="186">
        <v>1548053.094</v>
      </c>
      <c r="R11" s="186" t="s">
        <v>66</v>
      </c>
      <c r="S11" s="209">
        <v>0.6</v>
      </c>
      <c r="T11" s="186">
        <f t="shared" si="1"/>
        <v>928831.8564</v>
      </c>
      <c r="U11" s="186" t="s">
        <v>65</v>
      </c>
      <c r="V11" s="209">
        <v>0.4</v>
      </c>
      <c r="W11" s="186">
        <f>Q11*V11</f>
        <v>619221.2376</v>
      </c>
    </row>
    <row r="12" s="213" customFormat="1" ht="58" hidden="1" customHeight="1" spans="1:23">
      <c r="A12" s="186">
        <v>9</v>
      </c>
      <c r="B12" s="187">
        <v>46038</v>
      </c>
      <c r="C12" s="188" t="s">
        <v>143</v>
      </c>
      <c r="D12" s="188" t="s">
        <v>144</v>
      </c>
      <c r="E12" s="188" t="s">
        <v>145</v>
      </c>
      <c r="F12" s="216">
        <v>481853.54</v>
      </c>
      <c r="G12" s="188"/>
      <c r="H12" s="188" t="s">
        <v>35</v>
      </c>
      <c r="I12" s="188"/>
      <c r="J12" s="186"/>
      <c r="K12" s="191">
        <v>1</v>
      </c>
      <c r="L12" s="191"/>
      <c r="M12" s="186"/>
      <c r="N12" s="186">
        <f t="shared" si="0"/>
        <v>481853.54</v>
      </c>
      <c r="O12" s="186"/>
      <c r="P12" s="186"/>
      <c r="Q12" s="186">
        <v>481853.54</v>
      </c>
      <c r="R12" s="186" t="s">
        <v>41</v>
      </c>
      <c r="S12" s="209">
        <v>1</v>
      </c>
      <c r="T12" s="186">
        <f t="shared" si="1"/>
        <v>481853.54</v>
      </c>
      <c r="U12" s="186"/>
      <c r="V12" s="186"/>
      <c r="W12" s="186"/>
    </row>
    <row r="13" s="213" customFormat="1" ht="58" hidden="1" customHeight="1" spans="1:23">
      <c r="A13" s="186">
        <v>10</v>
      </c>
      <c r="B13" s="187">
        <v>46038</v>
      </c>
      <c r="C13" s="188" t="s">
        <v>146</v>
      </c>
      <c r="D13" s="188" t="s">
        <v>79</v>
      </c>
      <c r="E13" s="188" t="s">
        <v>80</v>
      </c>
      <c r="F13" s="216">
        <v>37735.85</v>
      </c>
      <c r="G13" s="188"/>
      <c r="H13" s="188" t="s">
        <v>35</v>
      </c>
      <c r="I13" s="188"/>
      <c r="J13" s="186"/>
      <c r="K13" s="191">
        <v>1</v>
      </c>
      <c r="L13" s="191"/>
      <c r="M13" s="186"/>
      <c r="N13" s="186">
        <f t="shared" si="0"/>
        <v>37735.85</v>
      </c>
      <c r="O13" s="186"/>
      <c r="P13" s="186"/>
      <c r="Q13" s="186">
        <v>37735.85</v>
      </c>
      <c r="R13" s="186" t="s">
        <v>60</v>
      </c>
      <c r="S13" s="209">
        <v>1</v>
      </c>
      <c r="T13" s="186">
        <f t="shared" si="1"/>
        <v>37735.85</v>
      </c>
      <c r="U13" s="186"/>
      <c r="V13" s="186"/>
      <c r="W13" s="186"/>
    </row>
    <row r="14" s="213" customFormat="1" ht="58" hidden="1" customHeight="1" spans="1:23">
      <c r="A14" s="186">
        <v>11</v>
      </c>
      <c r="B14" s="187">
        <v>46038</v>
      </c>
      <c r="C14" s="188" t="s">
        <v>139</v>
      </c>
      <c r="D14" s="188" t="s">
        <v>147</v>
      </c>
      <c r="E14" s="188" t="s">
        <v>148</v>
      </c>
      <c r="F14" s="216">
        <v>469115.04</v>
      </c>
      <c r="G14" s="188"/>
      <c r="H14" s="188" t="s">
        <v>149</v>
      </c>
      <c r="I14" s="188" t="s">
        <v>35</v>
      </c>
      <c r="J14" s="186"/>
      <c r="K14" s="191">
        <v>0.7</v>
      </c>
      <c r="L14" s="191">
        <v>0.3</v>
      </c>
      <c r="M14" s="186"/>
      <c r="N14" s="186">
        <f t="shared" si="0"/>
        <v>328380.528</v>
      </c>
      <c r="O14" s="186">
        <f t="shared" ref="O14:O26" si="3">F14*L14</f>
        <v>140734.512</v>
      </c>
      <c r="P14" s="186"/>
      <c r="Q14" s="186">
        <v>140734.512</v>
      </c>
      <c r="R14" s="186" t="s">
        <v>66</v>
      </c>
      <c r="S14" s="209">
        <v>0.6</v>
      </c>
      <c r="T14" s="186">
        <f t="shared" si="1"/>
        <v>84440.7072</v>
      </c>
      <c r="U14" s="186" t="s">
        <v>65</v>
      </c>
      <c r="V14" s="209">
        <v>0.4</v>
      </c>
      <c r="W14" s="186">
        <f>Q14*V14</f>
        <v>56293.8048</v>
      </c>
    </row>
    <row r="15" s="213" customFormat="1" ht="58" hidden="1" customHeight="1" spans="1:23">
      <c r="A15" s="186">
        <v>12</v>
      </c>
      <c r="B15" s="187">
        <v>46038</v>
      </c>
      <c r="C15" s="188" t="s">
        <v>143</v>
      </c>
      <c r="D15" s="188" t="s">
        <v>144</v>
      </c>
      <c r="E15" s="188" t="s">
        <v>145</v>
      </c>
      <c r="F15" s="216">
        <v>481853.54</v>
      </c>
      <c r="G15" s="188"/>
      <c r="H15" s="188" t="s">
        <v>35</v>
      </c>
      <c r="I15" s="188"/>
      <c r="J15" s="186"/>
      <c r="K15" s="191">
        <v>1</v>
      </c>
      <c r="L15" s="191"/>
      <c r="M15" s="186"/>
      <c r="N15" s="186">
        <f t="shared" si="0"/>
        <v>481853.54</v>
      </c>
      <c r="O15" s="186"/>
      <c r="P15" s="186"/>
      <c r="Q15" s="186">
        <v>481853.54</v>
      </c>
      <c r="R15" s="186" t="s">
        <v>41</v>
      </c>
      <c r="S15" s="209">
        <v>1</v>
      </c>
      <c r="T15" s="186">
        <f t="shared" si="1"/>
        <v>481853.54</v>
      </c>
      <c r="U15" s="186"/>
      <c r="V15" s="186"/>
      <c r="W15" s="186"/>
    </row>
    <row r="16" s="213" customFormat="1" ht="58" hidden="1" customHeight="1" spans="1:23">
      <c r="A16" s="186">
        <v>13</v>
      </c>
      <c r="B16" s="187">
        <v>46038</v>
      </c>
      <c r="C16" s="188" t="s">
        <v>69</v>
      </c>
      <c r="D16" s="188" t="s">
        <v>150</v>
      </c>
      <c r="E16" s="188" t="s">
        <v>151</v>
      </c>
      <c r="F16" s="216">
        <v>2581486.73</v>
      </c>
      <c r="G16" s="188"/>
      <c r="H16" s="188" t="s">
        <v>35</v>
      </c>
      <c r="I16" s="188" t="s">
        <v>70</v>
      </c>
      <c r="J16" s="186"/>
      <c r="K16" s="191">
        <v>0.7</v>
      </c>
      <c r="L16" s="191">
        <v>0.3</v>
      </c>
      <c r="M16" s="186"/>
      <c r="N16" s="186">
        <f t="shared" si="0"/>
        <v>1807040.711</v>
      </c>
      <c r="O16" s="186">
        <f t="shared" si="3"/>
        <v>774446.019</v>
      </c>
      <c r="P16" s="186"/>
      <c r="Q16" s="186">
        <v>1807040.711</v>
      </c>
      <c r="R16" s="186" t="s">
        <v>41</v>
      </c>
      <c r="S16" s="209">
        <v>1</v>
      </c>
      <c r="T16" s="186">
        <f t="shared" si="1"/>
        <v>1807040.711</v>
      </c>
      <c r="U16" s="186"/>
      <c r="V16" s="186"/>
      <c r="W16" s="186"/>
    </row>
    <row r="17" s="213" customFormat="1" ht="58" hidden="1" customHeight="1" spans="1:26">
      <c r="A17" s="186">
        <v>14</v>
      </c>
      <c r="B17" s="187">
        <v>46038</v>
      </c>
      <c r="C17" s="188" t="s">
        <v>69</v>
      </c>
      <c r="D17" s="188" t="s">
        <v>150</v>
      </c>
      <c r="E17" s="188" t="s">
        <v>151</v>
      </c>
      <c r="F17" s="216">
        <v>2404672.57</v>
      </c>
      <c r="G17" s="188"/>
      <c r="H17" s="188" t="s">
        <v>35</v>
      </c>
      <c r="I17" s="188" t="s">
        <v>70</v>
      </c>
      <c r="J17" s="186"/>
      <c r="K17" s="191">
        <v>0.7</v>
      </c>
      <c r="L17" s="191">
        <v>0.3</v>
      </c>
      <c r="M17" s="186"/>
      <c r="N17" s="186">
        <f t="shared" si="0"/>
        <v>1683270.799</v>
      </c>
      <c r="O17" s="186">
        <f t="shared" si="3"/>
        <v>721401.771</v>
      </c>
      <c r="P17" s="186"/>
      <c r="Q17" s="186">
        <v>1683270.799</v>
      </c>
      <c r="R17" s="186" t="s">
        <v>41</v>
      </c>
      <c r="S17" s="209">
        <v>1</v>
      </c>
      <c r="T17" s="186">
        <f t="shared" si="1"/>
        <v>1683270.799</v>
      </c>
      <c r="U17" s="186"/>
      <c r="V17" s="186"/>
      <c r="W17" s="186"/>
    </row>
    <row r="18" s="213" customFormat="1" ht="58" hidden="1" customHeight="1" spans="1:26">
      <c r="A18" s="186">
        <v>15</v>
      </c>
      <c r="B18" s="187">
        <v>46038</v>
      </c>
      <c r="C18" s="188" t="s">
        <v>146</v>
      </c>
      <c r="D18" s="188" t="s">
        <v>152</v>
      </c>
      <c r="E18" s="188" t="s">
        <v>153</v>
      </c>
      <c r="F18" s="216">
        <v>950001.74</v>
      </c>
      <c r="G18" s="188"/>
      <c r="H18" s="188" t="s">
        <v>35</v>
      </c>
      <c r="I18" s="188"/>
      <c r="J18" s="186"/>
      <c r="K18" s="191">
        <v>1</v>
      </c>
      <c r="L18" s="191"/>
      <c r="M18" s="186"/>
      <c r="N18" s="186">
        <f t="shared" si="0"/>
        <v>950001.74</v>
      </c>
      <c r="O18" s="186"/>
      <c r="P18" s="186"/>
      <c r="Q18" s="186">
        <v>950001.74</v>
      </c>
      <c r="R18" s="186" t="s">
        <v>60</v>
      </c>
      <c r="S18" s="209">
        <v>1</v>
      </c>
      <c r="T18" s="186">
        <f t="shared" si="1"/>
        <v>950001.74</v>
      </c>
      <c r="U18" s="186"/>
      <c r="V18" s="186"/>
      <c r="W18" s="186"/>
    </row>
    <row r="19" s="213" customFormat="1" ht="58" hidden="1" customHeight="1" spans="1:26">
      <c r="A19" s="186">
        <v>16</v>
      </c>
      <c r="B19" s="187">
        <v>46053</v>
      </c>
      <c r="C19" s="188" t="s">
        <v>69</v>
      </c>
      <c r="D19" s="188" t="s">
        <v>150</v>
      </c>
      <c r="E19" s="188" t="s">
        <v>151</v>
      </c>
      <c r="F19" s="216">
        <v>2457716.81</v>
      </c>
      <c r="G19" s="188"/>
      <c r="H19" s="188" t="s">
        <v>35</v>
      </c>
      <c r="I19" s="188" t="s">
        <v>70</v>
      </c>
      <c r="J19" s="186"/>
      <c r="K19" s="191">
        <v>0.7</v>
      </c>
      <c r="L19" s="191">
        <v>0.3</v>
      </c>
      <c r="M19" s="186"/>
      <c r="N19" s="186">
        <f t="shared" si="0"/>
        <v>1720401.767</v>
      </c>
      <c r="O19" s="186">
        <f t="shared" si="3"/>
        <v>737315.043</v>
      </c>
      <c r="P19" s="186"/>
      <c r="Q19" s="186">
        <v>1720401.767</v>
      </c>
      <c r="R19" s="186" t="s">
        <v>41</v>
      </c>
      <c r="S19" s="209">
        <v>1</v>
      </c>
      <c r="T19" s="186">
        <f t="shared" si="1"/>
        <v>1720401.767</v>
      </c>
      <c r="U19" s="186"/>
      <c r="V19" s="186"/>
      <c r="W19" s="186"/>
      <c r="Y19" s="213">
        <f>SUM(T19:T20,T24:T27)</f>
        <v>5023936.08</v>
      </c>
    </row>
    <row r="20" s="213" customFormat="1" ht="58" hidden="1" customHeight="1" spans="1:26">
      <c r="A20" s="186">
        <v>17</v>
      </c>
      <c r="B20" s="187">
        <v>46053</v>
      </c>
      <c r="C20" s="188" t="s">
        <v>69</v>
      </c>
      <c r="D20" s="188" t="s">
        <v>150</v>
      </c>
      <c r="E20" s="188" t="s">
        <v>151</v>
      </c>
      <c r="F20" s="216">
        <v>990159.29</v>
      </c>
      <c r="G20" s="188"/>
      <c r="H20" s="188" t="s">
        <v>35</v>
      </c>
      <c r="I20" s="188" t="s">
        <v>70</v>
      </c>
      <c r="J20" s="186"/>
      <c r="K20" s="191">
        <v>0.7</v>
      </c>
      <c r="L20" s="191">
        <v>0.3</v>
      </c>
      <c r="M20" s="186"/>
      <c r="N20" s="186">
        <f t="shared" si="0"/>
        <v>693111.503</v>
      </c>
      <c r="O20" s="186">
        <f t="shared" si="3"/>
        <v>297047.787</v>
      </c>
      <c r="P20" s="186"/>
      <c r="Q20" s="186">
        <v>693111.503</v>
      </c>
      <c r="R20" s="186" t="s">
        <v>41</v>
      </c>
      <c r="S20" s="209">
        <v>1</v>
      </c>
      <c r="T20" s="186">
        <f t="shared" si="1"/>
        <v>693111.503</v>
      </c>
      <c r="U20" s="186"/>
      <c r="V20" s="186"/>
      <c r="W20" s="186"/>
    </row>
    <row r="21" s="213" customFormat="1" ht="58" hidden="1" customHeight="1" spans="1:26">
      <c r="A21" s="186">
        <v>18</v>
      </c>
      <c r="B21" s="187">
        <v>46053</v>
      </c>
      <c r="C21" s="188" t="s">
        <v>154</v>
      </c>
      <c r="D21" s="188" t="s">
        <v>155</v>
      </c>
      <c r="E21" s="188" t="s">
        <v>156</v>
      </c>
      <c r="F21" s="216">
        <v>1153008.85</v>
      </c>
      <c r="G21" s="188"/>
      <c r="H21" s="188" t="s">
        <v>35</v>
      </c>
      <c r="I21" s="188" t="s">
        <v>34</v>
      </c>
      <c r="J21" s="186"/>
      <c r="K21" s="191">
        <v>0.7</v>
      </c>
      <c r="L21" s="191">
        <v>0.3</v>
      </c>
      <c r="M21" s="186"/>
      <c r="N21" s="186">
        <f t="shared" si="0"/>
        <v>807106.195</v>
      </c>
      <c r="O21" s="186">
        <f t="shared" si="3"/>
        <v>345902.655</v>
      </c>
      <c r="P21" s="186"/>
      <c r="Q21" s="186">
        <v>807106.195</v>
      </c>
      <c r="R21" s="186" t="s">
        <v>66</v>
      </c>
      <c r="S21" s="209">
        <v>0.6</v>
      </c>
      <c r="T21" s="186">
        <f t="shared" si="1"/>
        <v>484263.717</v>
      </c>
      <c r="U21" s="186" t="s">
        <v>65</v>
      </c>
      <c r="V21" s="209">
        <v>0.4</v>
      </c>
      <c r="W21" s="186">
        <f t="shared" ref="W21:W23" si="4">Q21*V21</f>
        <v>322842.478</v>
      </c>
    </row>
    <row r="22" s="213" customFormat="1" ht="58" hidden="1" customHeight="1" spans="1:26">
      <c r="A22" s="186">
        <v>19</v>
      </c>
      <c r="B22" s="187">
        <v>46053</v>
      </c>
      <c r="C22" s="188" t="s">
        <v>154</v>
      </c>
      <c r="D22" s="188" t="s">
        <v>155</v>
      </c>
      <c r="E22" s="188" t="s">
        <v>156</v>
      </c>
      <c r="F22" s="216">
        <v>1944026.55</v>
      </c>
      <c r="G22" s="188"/>
      <c r="H22" s="188" t="s">
        <v>35</v>
      </c>
      <c r="I22" s="188" t="s">
        <v>34</v>
      </c>
      <c r="J22" s="186"/>
      <c r="K22" s="191">
        <v>0.7</v>
      </c>
      <c r="L22" s="191">
        <v>0.3</v>
      </c>
      <c r="M22" s="186"/>
      <c r="N22" s="186">
        <f t="shared" si="0"/>
        <v>1360818.585</v>
      </c>
      <c r="O22" s="186">
        <f t="shared" si="3"/>
        <v>583207.965</v>
      </c>
      <c r="P22" s="186"/>
      <c r="Q22" s="186">
        <v>1360818.585</v>
      </c>
      <c r="R22" s="186" t="s">
        <v>66</v>
      </c>
      <c r="S22" s="209">
        <v>0.6</v>
      </c>
      <c r="T22" s="186">
        <f t="shared" si="1"/>
        <v>816491.151</v>
      </c>
      <c r="U22" s="186" t="s">
        <v>65</v>
      </c>
      <c r="V22" s="209">
        <v>0.4</v>
      </c>
      <c r="W22" s="186">
        <f t="shared" si="4"/>
        <v>544327.434</v>
      </c>
      <c r="Y22" s="213">
        <f>SUM(T21:T23,T28)</f>
        <v>1930375.1194</v>
      </c>
      <c r="Z22" s="213">
        <f>SUM(W21:W22,W28)</f>
        <v>1228803.5396</v>
      </c>
    </row>
    <row r="23" s="213" customFormat="1" ht="58" hidden="1" customHeight="1" spans="1:26">
      <c r="A23" s="186">
        <v>20</v>
      </c>
      <c r="B23" s="187">
        <v>46053</v>
      </c>
      <c r="C23" s="188" t="s">
        <v>157</v>
      </c>
      <c r="D23" s="188" t="s">
        <v>86</v>
      </c>
      <c r="E23" s="188" t="s">
        <v>87</v>
      </c>
      <c r="F23" s="216">
        <v>87169.81</v>
      </c>
      <c r="G23" s="188"/>
      <c r="H23" s="188" t="s">
        <v>35</v>
      </c>
      <c r="I23" s="188"/>
      <c r="J23" s="186"/>
      <c r="K23" s="191">
        <v>1</v>
      </c>
      <c r="L23" s="191"/>
      <c r="M23" s="186"/>
      <c r="N23" s="186">
        <f t="shared" si="0"/>
        <v>87169.81</v>
      </c>
      <c r="O23" s="186"/>
      <c r="P23" s="186"/>
      <c r="Q23" s="186">
        <v>87169.81</v>
      </c>
      <c r="R23" s="186" t="s">
        <v>66</v>
      </c>
      <c r="S23" s="209">
        <v>1</v>
      </c>
      <c r="T23" s="186">
        <f t="shared" si="1"/>
        <v>87169.81</v>
      </c>
      <c r="U23" s="186"/>
      <c r="V23" s="209"/>
      <c r="W23" s="186"/>
    </row>
    <row r="24" s="213" customFormat="1" ht="58" hidden="1" customHeight="1" spans="1:26">
      <c r="A24" s="186">
        <v>21</v>
      </c>
      <c r="B24" s="187">
        <v>46053</v>
      </c>
      <c r="C24" s="188" t="s">
        <v>40</v>
      </c>
      <c r="D24" s="188" t="s">
        <v>134</v>
      </c>
      <c r="E24" s="188" t="s">
        <v>135</v>
      </c>
      <c r="F24" s="216">
        <v>1409925.66</v>
      </c>
      <c r="G24" s="188"/>
      <c r="H24" s="188" t="s">
        <v>35</v>
      </c>
      <c r="I24" s="188"/>
      <c r="J24" s="186"/>
      <c r="K24" s="191">
        <v>1</v>
      </c>
      <c r="L24" s="191"/>
      <c r="M24" s="186"/>
      <c r="N24" s="186">
        <f t="shared" si="0"/>
        <v>1409925.66</v>
      </c>
      <c r="O24" s="186"/>
      <c r="P24" s="186"/>
      <c r="Q24" s="186">
        <v>1409925.66</v>
      </c>
      <c r="R24" s="186" t="s">
        <v>41</v>
      </c>
      <c r="S24" s="209">
        <v>1</v>
      </c>
      <c r="T24" s="186">
        <f t="shared" si="1"/>
        <v>1409925.66</v>
      </c>
      <c r="U24" s="186"/>
      <c r="V24" s="186"/>
      <c r="W24" s="186"/>
    </row>
    <row r="25" s="213" customFormat="1" ht="58" hidden="1" customHeight="1" spans="1:26">
      <c r="A25" s="186">
        <v>22</v>
      </c>
      <c r="B25" s="187">
        <v>46053</v>
      </c>
      <c r="C25" s="188" t="s">
        <v>40</v>
      </c>
      <c r="D25" s="188" t="s">
        <v>134</v>
      </c>
      <c r="E25" s="188" t="s">
        <v>135</v>
      </c>
      <c r="F25" s="216">
        <v>879275.91</v>
      </c>
      <c r="G25" s="188"/>
      <c r="H25" s="188" t="s">
        <v>35</v>
      </c>
      <c r="I25" s="188"/>
      <c r="J25" s="186"/>
      <c r="K25" s="191">
        <v>1</v>
      </c>
      <c r="L25" s="191"/>
      <c r="M25" s="186"/>
      <c r="N25" s="186">
        <f t="shared" si="0"/>
        <v>879275.91</v>
      </c>
      <c r="O25" s="186"/>
      <c r="P25" s="186"/>
      <c r="Q25" s="186">
        <v>879275.91</v>
      </c>
      <c r="R25" s="186" t="s">
        <v>41</v>
      </c>
      <c r="S25" s="209">
        <v>1</v>
      </c>
      <c r="T25" s="186">
        <f t="shared" si="1"/>
        <v>879275.91</v>
      </c>
      <c r="U25" s="186"/>
      <c r="V25" s="186"/>
      <c r="W25" s="186"/>
    </row>
    <row r="26" s="213" customFormat="1" ht="58" hidden="1" customHeight="1" spans="1:26">
      <c r="A26" s="186">
        <v>23</v>
      </c>
      <c r="B26" s="187">
        <v>46053</v>
      </c>
      <c r="C26" s="188" t="s">
        <v>143</v>
      </c>
      <c r="D26" s="188" t="s">
        <v>158</v>
      </c>
      <c r="E26" s="188" t="s">
        <v>159</v>
      </c>
      <c r="F26" s="216">
        <v>316312.39</v>
      </c>
      <c r="G26" s="188"/>
      <c r="H26" s="188" t="s">
        <v>35</v>
      </c>
      <c r="I26" s="188"/>
      <c r="J26" s="186"/>
      <c r="K26" s="191">
        <v>1</v>
      </c>
      <c r="L26" s="191"/>
      <c r="M26" s="186"/>
      <c r="N26" s="186">
        <f t="shared" si="0"/>
        <v>316312.39</v>
      </c>
      <c r="O26" s="186"/>
      <c r="P26" s="186"/>
      <c r="Q26" s="186">
        <v>316312.39</v>
      </c>
      <c r="R26" s="186" t="s">
        <v>41</v>
      </c>
      <c r="S26" s="209">
        <v>1</v>
      </c>
      <c r="T26" s="186">
        <f t="shared" si="1"/>
        <v>316312.39</v>
      </c>
      <c r="U26" s="186"/>
      <c r="V26" s="186"/>
      <c r="W26" s="186"/>
    </row>
    <row r="27" s="213" customFormat="1" ht="58" hidden="1" customHeight="1" spans="1:26">
      <c r="A27" s="186">
        <v>24</v>
      </c>
      <c r="B27" s="187">
        <v>46053</v>
      </c>
      <c r="C27" s="188" t="s">
        <v>160</v>
      </c>
      <c r="D27" s="188" t="s">
        <v>77</v>
      </c>
      <c r="E27" s="188" t="s">
        <v>77</v>
      </c>
      <c r="F27" s="216">
        <v>4908.85</v>
      </c>
      <c r="G27" s="188"/>
      <c r="H27" s="188" t="s">
        <v>35</v>
      </c>
      <c r="I27" s="188"/>
      <c r="J27" s="186"/>
      <c r="K27" s="191">
        <v>1</v>
      </c>
      <c r="L27" s="191"/>
      <c r="M27" s="186"/>
      <c r="N27" s="186">
        <f t="shared" si="0"/>
        <v>4908.85</v>
      </c>
      <c r="O27" s="186"/>
      <c r="P27" s="186"/>
      <c r="Q27" s="186">
        <v>4908.85</v>
      </c>
      <c r="R27" s="186" t="s">
        <v>41</v>
      </c>
      <c r="S27" s="209">
        <v>1</v>
      </c>
      <c r="T27" s="186">
        <f t="shared" si="1"/>
        <v>4908.85</v>
      </c>
      <c r="U27" s="186"/>
      <c r="V27" s="186"/>
      <c r="W27" s="186"/>
    </row>
    <row r="28" s="213" customFormat="1" ht="58" hidden="1" customHeight="1" spans="1:26">
      <c r="A28" s="186">
        <v>25</v>
      </c>
      <c r="B28" s="187">
        <v>46053</v>
      </c>
      <c r="C28" s="188" t="s">
        <v>161</v>
      </c>
      <c r="D28" s="188" t="s">
        <v>162</v>
      </c>
      <c r="E28" s="188" t="s">
        <v>163</v>
      </c>
      <c r="F28" s="216">
        <v>1291548.67</v>
      </c>
      <c r="G28" s="188"/>
      <c r="H28" s="188" t="s">
        <v>35</v>
      </c>
      <c r="I28" s="188" t="s">
        <v>34</v>
      </c>
      <c r="J28" s="186"/>
      <c r="K28" s="191">
        <v>0.7</v>
      </c>
      <c r="L28" s="191">
        <v>0.3</v>
      </c>
      <c r="M28" s="186"/>
      <c r="N28" s="186">
        <f t="shared" si="0"/>
        <v>904084.069</v>
      </c>
      <c r="O28" s="186">
        <f>F28*L28</f>
        <v>387464.601</v>
      </c>
      <c r="P28" s="186"/>
      <c r="Q28" s="186">
        <v>904084.069</v>
      </c>
      <c r="R28" s="186" t="s">
        <v>66</v>
      </c>
      <c r="S28" s="209">
        <v>0.6</v>
      </c>
      <c r="T28" s="186">
        <f t="shared" si="1"/>
        <v>542450.4414</v>
      </c>
      <c r="U28" s="186" t="s">
        <v>65</v>
      </c>
      <c r="V28" s="209">
        <v>0.4</v>
      </c>
      <c r="W28" s="186">
        <f>Q28*V28</f>
        <v>361633.6276</v>
      </c>
    </row>
    <row r="29" s="213" customFormat="1" ht="58" hidden="1" customHeight="1" spans="1:26">
      <c r="A29" s="186">
        <v>26</v>
      </c>
      <c r="B29" s="187">
        <v>46053</v>
      </c>
      <c r="C29" s="188" t="s">
        <v>164</v>
      </c>
      <c r="D29" s="188" t="s">
        <v>164</v>
      </c>
      <c r="E29" s="188" t="s">
        <v>165</v>
      </c>
      <c r="F29" s="216">
        <v>707.96</v>
      </c>
      <c r="G29" s="188"/>
      <c r="H29" s="188" t="s">
        <v>35</v>
      </c>
      <c r="I29" s="188"/>
      <c r="J29" s="186"/>
      <c r="K29" s="191">
        <v>1</v>
      </c>
      <c r="L29" s="191"/>
      <c r="M29" s="186"/>
      <c r="N29" s="186">
        <f t="shared" si="0"/>
        <v>707.96</v>
      </c>
      <c r="O29" s="186"/>
      <c r="P29" s="186"/>
      <c r="Q29" s="186">
        <v>707.96</v>
      </c>
      <c r="R29" s="186" t="s">
        <v>41</v>
      </c>
      <c r="S29" s="209">
        <v>1</v>
      </c>
      <c r="T29" s="186">
        <f t="shared" si="1"/>
        <v>707.96</v>
      </c>
      <c r="U29" s="186"/>
      <c r="V29" s="209"/>
      <c r="W29" s="186"/>
    </row>
    <row r="30" s="213" customFormat="1" ht="58" hidden="1" customHeight="1" spans="1:26">
      <c r="A30" s="186">
        <v>27</v>
      </c>
      <c r="B30" s="187">
        <v>46053</v>
      </c>
      <c r="C30" s="188" t="s">
        <v>166</v>
      </c>
      <c r="D30" s="188" t="s">
        <v>166</v>
      </c>
      <c r="E30" s="188"/>
      <c r="F30" s="216">
        <v>190265.49</v>
      </c>
      <c r="G30" s="188"/>
      <c r="H30" s="188" t="s">
        <v>35</v>
      </c>
      <c r="I30" s="188"/>
      <c r="J30" s="186"/>
      <c r="K30" s="191">
        <v>1</v>
      </c>
      <c r="L30" s="191"/>
      <c r="M30" s="186"/>
      <c r="N30" s="186">
        <f t="shared" si="0"/>
        <v>190265.49</v>
      </c>
      <c r="O30" s="186"/>
      <c r="P30" s="186"/>
      <c r="Q30" s="186">
        <v>190265.49</v>
      </c>
      <c r="R30" s="186" t="s">
        <v>66</v>
      </c>
      <c r="S30" s="209">
        <v>1</v>
      </c>
      <c r="T30" s="186">
        <f t="shared" si="1"/>
        <v>190265.49</v>
      </c>
      <c r="U30" s="186"/>
      <c r="V30" s="209"/>
      <c r="W30" s="186"/>
    </row>
    <row r="31" s="213" customFormat="1" ht="58" hidden="1" customHeight="1" spans="1:26">
      <c r="A31" s="186">
        <v>28</v>
      </c>
      <c r="B31" s="187">
        <v>46053</v>
      </c>
      <c r="C31" s="188" t="s">
        <v>78</v>
      </c>
      <c r="D31" s="188" t="s">
        <v>78</v>
      </c>
      <c r="E31" s="188" t="s">
        <v>78</v>
      </c>
      <c r="F31" s="216">
        <v>25896.23</v>
      </c>
      <c r="G31" s="188"/>
      <c r="H31" s="188" t="s">
        <v>35</v>
      </c>
      <c r="I31" s="188"/>
      <c r="J31" s="186"/>
      <c r="K31" s="191">
        <v>1</v>
      </c>
      <c r="L31" s="191"/>
      <c r="M31" s="186"/>
      <c r="N31" s="186">
        <f t="shared" si="0"/>
        <v>25896.23</v>
      </c>
      <c r="O31" s="186"/>
      <c r="P31" s="186"/>
      <c r="Q31" s="186">
        <v>25896.23</v>
      </c>
      <c r="R31" s="186" t="s">
        <v>41</v>
      </c>
      <c r="S31" s="209">
        <v>1</v>
      </c>
      <c r="T31" s="186">
        <f t="shared" si="1"/>
        <v>25896.23</v>
      </c>
      <c r="U31" s="186"/>
      <c r="V31" s="209"/>
      <c r="W31" s="186"/>
    </row>
    <row r="32" s="213" customFormat="1" ht="58" hidden="1" customHeight="1" spans="1:26">
      <c r="A32" s="186">
        <v>29</v>
      </c>
      <c r="B32" s="187">
        <v>46053</v>
      </c>
      <c r="C32" s="188" t="s">
        <v>167</v>
      </c>
      <c r="D32" s="188" t="s">
        <v>167</v>
      </c>
      <c r="E32" s="188" t="s">
        <v>168</v>
      </c>
      <c r="F32" s="216">
        <v>7079.65</v>
      </c>
      <c r="G32" s="188"/>
      <c r="H32" s="188" t="s">
        <v>35</v>
      </c>
      <c r="I32" s="188"/>
      <c r="J32" s="186"/>
      <c r="K32" s="191">
        <v>1</v>
      </c>
      <c r="L32" s="191"/>
      <c r="M32" s="186"/>
      <c r="N32" s="186">
        <f t="shared" si="0"/>
        <v>7079.65</v>
      </c>
      <c r="O32" s="186"/>
      <c r="P32" s="186"/>
      <c r="Q32" s="186">
        <v>7079.65</v>
      </c>
      <c r="R32" s="186" t="s">
        <v>41</v>
      </c>
      <c r="S32" s="209">
        <v>1</v>
      </c>
      <c r="T32" s="186">
        <f t="shared" si="1"/>
        <v>7079.65</v>
      </c>
      <c r="U32" s="186"/>
      <c r="V32" s="209"/>
      <c r="W32" s="186"/>
    </row>
    <row r="33" s="213" customFormat="1" ht="58" hidden="1" customHeight="1" spans="1:23">
      <c r="A33" s="186">
        <v>30</v>
      </c>
      <c r="B33" s="187">
        <v>46053</v>
      </c>
      <c r="C33" s="188" t="s">
        <v>85</v>
      </c>
      <c r="D33" s="188" t="s">
        <v>85</v>
      </c>
      <c r="E33" s="188" t="s">
        <v>85</v>
      </c>
      <c r="F33" s="216">
        <v>4130.97</v>
      </c>
      <c r="G33" s="188"/>
      <c r="H33" s="188" t="s">
        <v>35</v>
      </c>
      <c r="I33" s="188"/>
      <c r="J33" s="186"/>
      <c r="K33" s="191">
        <v>1</v>
      </c>
      <c r="L33" s="191"/>
      <c r="M33" s="186"/>
      <c r="N33" s="186">
        <f t="shared" si="0"/>
        <v>4130.97</v>
      </c>
      <c r="O33" s="186"/>
      <c r="P33" s="186"/>
      <c r="Q33" s="186">
        <v>4130.97</v>
      </c>
      <c r="R33" s="186" t="s">
        <v>41</v>
      </c>
      <c r="S33" s="209">
        <v>1</v>
      </c>
      <c r="T33" s="186">
        <f t="shared" si="1"/>
        <v>4130.97</v>
      </c>
      <c r="U33" s="186"/>
      <c r="V33" s="209"/>
      <c r="W33" s="186"/>
    </row>
    <row r="34" s="213" customFormat="1" ht="58" hidden="1" customHeight="1" spans="1:23">
      <c r="A34" s="186">
        <v>31</v>
      </c>
      <c r="B34" s="187">
        <v>46053</v>
      </c>
      <c r="C34" s="188" t="s">
        <v>85</v>
      </c>
      <c r="D34" s="188" t="s">
        <v>85</v>
      </c>
      <c r="E34" s="188" t="s">
        <v>85</v>
      </c>
      <c r="F34" s="216">
        <v>6889.38</v>
      </c>
      <c r="G34" s="188"/>
      <c r="H34" s="188" t="s">
        <v>35</v>
      </c>
      <c r="I34" s="188"/>
      <c r="J34" s="186"/>
      <c r="K34" s="191">
        <v>1</v>
      </c>
      <c r="L34" s="191"/>
      <c r="M34" s="186"/>
      <c r="N34" s="186">
        <f t="shared" si="0"/>
        <v>6889.38</v>
      </c>
      <c r="O34" s="186"/>
      <c r="P34" s="186"/>
      <c r="Q34" s="186">
        <v>6889.38</v>
      </c>
      <c r="R34" s="186" t="s">
        <v>41</v>
      </c>
      <c r="S34" s="209">
        <v>1</v>
      </c>
      <c r="T34" s="186">
        <f t="shared" si="1"/>
        <v>6889.38</v>
      </c>
      <c r="U34" s="186"/>
      <c r="V34" s="209"/>
      <c r="W34" s="186"/>
    </row>
    <row r="35" s="213" customFormat="1" ht="58" hidden="1" customHeight="1" spans="1:23">
      <c r="A35" s="186">
        <v>32</v>
      </c>
      <c r="B35" s="187">
        <v>46053</v>
      </c>
      <c r="C35" s="188" t="s">
        <v>76</v>
      </c>
      <c r="D35" s="188" t="s">
        <v>76</v>
      </c>
      <c r="E35" s="188" t="s">
        <v>76</v>
      </c>
      <c r="F35" s="216">
        <v>6309.43</v>
      </c>
      <c r="G35" s="188"/>
      <c r="H35" s="188" t="s">
        <v>35</v>
      </c>
      <c r="I35" s="188"/>
      <c r="J35" s="186"/>
      <c r="K35" s="191">
        <v>1</v>
      </c>
      <c r="L35" s="191"/>
      <c r="M35" s="186"/>
      <c r="N35" s="186">
        <f t="shared" si="0"/>
        <v>6309.43</v>
      </c>
      <c r="O35" s="186"/>
      <c r="P35" s="186"/>
      <c r="Q35" s="186">
        <v>6309.43</v>
      </c>
      <c r="R35" s="186" t="s">
        <v>41</v>
      </c>
      <c r="S35" s="209">
        <v>1</v>
      </c>
      <c r="T35" s="186">
        <f t="shared" si="1"/>
        <v>6309.43</v>
      </c>
      <c r="U35" s="186"/>
      <c r="V35" s="209"/>
      <c r="W35" s="186"/>
    </row>
    <row r="36" s="213" customFormat="1" ht="58" hidden="1" customHeight="1" spans="1:23">
      <c r="A36" s="186">
        <v>33</v>
      </c>
      <c r="B36" s="187">
        <v>46053</v>
      </c>
      <c r="C36" s="188" t="s">
        <v>164</v>
      </c>
      <c r="D36" s="188" t="s">
        <v>164</v>
      </c>
      <c r="E36" s="188" t="s">
        <v>165</v>
      </c>
      <c r="F36" s="216">
        <v>2727.43</v>
      </c>
      <c r="G36" s="188"/>
      <c r="H36" s="188" t="s">
        <v>35</v>
      </c>
      <c r="I36" s="188"/>
      <c r="J36" s="186"/>
      <c r="K36" s="191">
        <v>1</v>
      </c>
      <c r="L36" s="191"/>
      <c r="M36" s="186"/>
      <c r="N36" s="186">
        <f t="shared" si="0"/>
        <v>2727.43</v>
      </c>
      <c r="O36" s="186"/>
      <c r="P36" s="186"/>
      <c r="Q36" s="186">
        <v>2727.43</v>
      </c>
      <c r="R36" s="186" t="s">
        <v>41</v>
      </c>
      <c r="S36" s="209">
        <v>1</v>
      </c>
      <c r="T36" s="186">
        <f t="shared" si="1"/>
        <v>2727.43</v>
      </c>
      <c r="U36" s="186"/>
      <c r="V36" s="209"/>
      <c r="W36" s="186"/>
    </row>
    <row r="37" s="213" customFormat="1" ht="58" hidden="1" customHeight="1" spans="1:23">
      <c r="A37" s="186">
        <v>34</v>
      </c>
      <c r="B37" s="187">
        <v>46053</v>
      </c>
      <c r="C37" s="188" t="s">
        <v>164</v>
      </c>
      <c r="D37" s="188" t="s">
        <v>164</v>
      </c>
      <c r="E37" s="188" t="s">
        <v>165</v>
      </c>
      <c r="F37" s="216">
        <v>4424.78</v>
      </c>
      <c r="G37" s="188"/>
      <c r="H37" s="188" t="s">
        <v>35</v>
      </c>
      <c r="I37" s="188"/>
      <c r="J37" s="186"/>
      <c r="K37" s="191">
        <v>1</v>
      </c>
      <c r="L37" s="191"/>
      <c r="M37" s="186"/>
      <c r="N37" s="186">
        <f t="shared" si="0"/>
        <v>4424.78</v>
      </c>
      <c r="O37" s="186"/>
      <c r="P37" s="186"/>
      <c r="Q37" s="186">
        <v>4424.78</v>
      </c>
      <c r="R37" s="186" t="s">
        <v>41</v>
      </c>
      <c r="S37" s="209">
        <v>1</v>
      </c>
      <c r="T37" s="186">
        <f t="shared" si="1"/>
        <v>4424.78</v>
      </c>
      <c r="U37" s="186"/>
      <c r="V37" s="209"/>
      <c r="W37" s="186"/>
    </row>
    <row r="38" s="213" customFormat="1" ht="58" hidden="1" customHeight="1" spans="1:23">
      <c r="A38" s="186">
        <v>35</v>
      </c>
      <c r="B38" s="187">
        <v>46053</v>
      </c>
      <c r="C38" s="188" t="s">
        <v>166</v>
      </c>
      <c r="D38" s="188" t="s">
        <v>166</v>
      </c>
      <c r="E38" s="188"/>
      <c r="F38" s="216">
        <v>154867.26</v>
      </c>
      <c r="G38" s="188"/>
      <c r="H38" s="188" t="s">
        <v>35</v>
      </c>
      <c r="I38" s="188"/>
      <c r="J38" s="186"/>
      <c r="K38" s="191">
        <v>1</v>
      </c>
      <c r="L38" s="191"/>
      <c r="M38" s="186"/>
      <c r="N38" s="186">
        <f t="shared" si="0"/>
        <v>154867.26</v>
      </c>
      <c r="O38" s="186"/>
      <c r="P38" s="186"/>
      <c r="Q38" s="186">
        <v>154867.26</v>
      </c>
      <c r="R38" s="186" t="s">
        <v>66</v>
      </c>
      <c r="S38" s="209">
        <v>1</v>
      </c>
      <c r="T38" s="186">
        <f t="shared" si="1"/>
        <v>154867.26</v>
      </c>
      <c r="U38" s="186"/>
      <c r="V38" s="209"/>
      <c r="W38" s="186"/>
    </row>
    <row r="39" s="213" customFormat="1" ht="58" hidden="1" customHeight="1" spans="1:23">
      <c r="A39" s="186">
        <v>36</v>
      </c>
      <c r="B39" s="187">
        <v>46053</v>
      </c>
      <c r="C39" s="188" t="s">
        <v>78</v>
      </c>
      <c r="D39" s="188" t="s">
        <v>78</v>
      </c>
      <c r="E39" s="188" t="s">
        <v>78</v>
      </c>
      <c r="F39" s="216">
        <v>16132.08</v>
      </c>
      <c r="G39" s="188"/>
      <c r="H39" s="188" t="s">
        <v>35</v>
      </c>
      <c r="I39" s="188"/>
      <c r="J39" s="186"/>
      <c r="K39" s="191">
        <v>1</v>
      </c>
      <c r="L39" s="191"/>
      <c r="M39" s="186"/>
      <c r="N39" s="186">
        <f t="shared" si="0"/>
        <v>16132.08</v>
      </c>
      <c r="O39" s="186"/>
      <c r="P39" s="186"/>
      <c r="Q39" s="186">
        <v>16132.08</v>
      </c>
      <c r="R39" s="186" t="s">
        <v>41</v>
      </c>
      <c r="S39" s="209">
        <v>1</v>
      </c>
      <c r="T39" s="186">
        <f t="shared" si="1"/>
        <v>16132.08</v>
      </c>
      <c r="U39" s="186"/>
      <c r="V39" s="209"/>
      <c r="W39" s="186"/>
    </row>
    <row r="40" s="213" customFormat="1" ht="58" hidden="1" customHeight="1" spans="1:23">
      <c r="A40" s="186">
        <v>37</v>
      </c>
      <c r="B40" s="205">
        <v>46081</v>
      </c>
      <c r="C40" s="188" t="s">
        <v>169</v>
      </c>
      <c r="D40" s="188" t="s">
        <v>169</v>
      </c>
      <c r="E40" s="188"/>
      <c r="F40" s="216">
        <v>345.13</v>
      </c>
      <c r="G40" s="188"/>
      <c r="H40" s="188" t="s">
        <v>35</v>
      </c>
      <c r="I40" s="188"/>
      <c r="J40" s="186"/>
      <c r="K40" s="191">
        <v>1</v>
      </c>
      <c r="L40" s="191"/>
      <c r="M40" s="186"/>
      <c r="N40" s="186">
        <f t="shared" si="0"/>
        <v>345.13</v>
      </c>
      <c r="O40" s="186"/>
      <c r="P40" s="186"/>
      <c r="Q40" s="186">
        <v>345.13</v>
      </c>
      <c r="R40" s="186" t="s">
        <v>120</v>
      </c>
      <c r="S40" s="209">
        <v>1</v>
      </c>
      <c r="T40" s="186">
        <f t="shared" si="1"/>
        <v>345.13</v>
      </c>
      <c r="U40" s="186"/>
      <c r="V40" s="209"/>
      <c r="W40" s="186"/>
    </row>
    <row r="41" s="213" customFormat="1" ht="58" hidden="1" customHeight="1" spans="1:23">
      <c r="A41" s="186">
        <v>38</v>
      </c>
      <c r="B41" s="205">
        <v>46081</v>
      </c>
      <c r="C41" s="188" t="s">
        <v>170</v>
      </c>
      <c r="D41" s="188" t="s">
        <v>171</v>
      </c>
      <c r="E41" s="188" t="s">
        <v>172</v>
      </c>
      <c r="F41" s="216">
        <v>6991150.44</v>
      </c>
      <c r="G41" s="188"/>
      <c r="H41" s="188" t="s">
        <v>35</v>
      </c>
      <c r="I41" s="188" t="s">
        <v>149</v>
      </c>
      <c r="J41" s="186" t="s">
        <v>70</v>
      </c>
      <c r="K41" s="191">
        <v>0.5</v>
      </c>
      <c r="L41" s="191">
        <v>0.3</v>
      </c>
      <c r="M41" s="186">
        <v>0.2</v>
      </c>
      <c r="N41" s="186">
        <f t="shared" si="0"/>
        <v>3495575.22</v>
      </c>
      <c r="O41" s="186">
        <f t="shared" ref="O41:O48" si="5">F41*L41</f>
        <v>2097345.132</v>
      </c>
      <c r="P41" s="186"/>
      <c r="Q41" s="186">
        <v>3495575.22</v>
      </c>
      <c r="R41" s="186" t="s">
        <v>54</v>
      </c>
      <c r="S41" s="209">
        <v>1</v>
      </c>
      <c r="T41" s="186">
        <f t="shared" si="1"/>
        <v>3495575.22</v>
      </c>
      <c r="U41" s="186"/>
      <c r="V41" s="209"/>
      <c r="W41" s="186"/>
    </row>
    <row r="42" s="213" customFormat="1" ht="58" hidden="1" customHeight="1" spans="1:23">
      <c r="A42" s="186">
        <v>39</v>
      </c>
      <c r="B42" s="205">
        <v>46081</v>
      </c>
      <c r="C42" s="188" t="s">
        <v>170</v>
      </c>
      <c r="D42" s="188" t="s">
        <v>171</v>
      </c>
      <c r="E42" s="188" t="s">
        <v>172</v>
      </c>
      <c r="F42" s="216">
        <v>6991150.44</v>
      </c>
      <c r="G42" s="188"/>
      <c r="H42" s="188" t="s">
        <v>35</v>
      </c>
      <c r="I42" s="188" t="s">
        <v>149</v>
      </c>
      <c r="J42" s="186" t="s">
        <v>70</v>
      </c>
      <c r="K42" s="191">
        <v>0.5</v>
      </c>
      <c r="L42" s="191">
        <v>0.3</v>
      </c>
      <c r="M42" s="186">
        <v>0.2</v>
      </c>
      <c r="N42" s="186">
        <f t="shared" si="0"/>
        <v>3495575.22</v>
      </c>
      <c r="O42" s="186">
        <f t="shared" si="5"/>
        <v>2097345.132</v>
      </c>
      <c r="P42" s="186"/>
      <c r="Q42" s="186">
        <v>3495575.22</v>
      </c>
      <c r="R42" s="186" t="s">
        <v>54</v>
      </c>
      <c r="S42" s="209">
        <v>1</v>
      </c>
      <c r="T42" s="186">
        <f t="shared" si="1"/>
        <v>3495575.22</v>
      </c>
      <c r="U42" s="186"/>
      <c r="V42" s="209"/>
      <c r="W42" s="186"/>
    </row>
    <row r="43" s="213" customFormat="1" ht="58" hidden="1" customHeight="1" spans="1:23">
      <c r="A43" s="186">
        <v>40</v>
      </c>
      <c r="B43" s="205">
        <v>46081</v>
      </c>
      <c r="C43" s="188" t="s">
        <v>173</v>
      </c>
      <c r="D43" s="188" t="s">
        <v>174</v>
      </c>
      <c r="E43" s="188" t="s">
        <v>175</v>
      </c>
      <c r="F43" s="216">
        <v>2902654.87</v>
      </c>
      <c r="G43" s="188"/>
      <c r="H43" s="188" t="s">
        <v>35</v>
      </c>
      <c r="I43" s="188" t="s">
        <v>102</v>
      </c>
      <c r="J43" s="186"/>
      <c r="K43" s="191">
        <v>0.7</v>
      </c>
      <c r="L43" s="191">
        <v>0.3</v>
      </c>
      <c r="M43" s="186"/>
      <c r="N43" s="186">
        <f t="shared" si="0"/>
        <v>2031858.409</v>
      </c>
      <c r="O43" s="186">
        <f t="shared" si="5"/>
        <v>870796.461</v>
      </c>
      <c r="P43" s="186"/>
      <c r="Q43" s="186">
        <v>2031858.409</v>
      </c>
      <c r="R43" s="186" t="s">
        <v>54</v>
      </c>
      <c r="S43" s="209">
        <v>1</v>
      </c>
      <c r="T43" s="186">
        <f t="shared" si="1"/>
        <v>2031858.409</v>
      </c>
      <c r="U43" s="186"/>
      <c r="V43" s="209"/>
      <c r="W43" s="186"/>
    </row>
    <row r="44" s="213" customFormat="1" ht="58" hidden="1" customHeight="1" spans="1:23">
      <c r="A44" s="186">
        <v>41</v>
      </c>
      <c r="B44" s="205">
        <v>46081</v>
      </c>
      <c r="C44" s="188" t="s">
        <v>100</v>
      </c>
      <c r="D44" s="188" t="s">
        <v>176</v>
      </c>
      <c r="E44" s="188" t="s">
        <v>177</v>
      </c>
      <c r="F44" s="216">
        <v>2300884.96</v>
      </c>
      <c r="G44" s="188"/>
      <c r="H44" s="188" t="s">
        <v>35</v>
      </c>
      <c r="I44" s="188" t="s">
        <v>102</v>
      </c>
      <c r="J44" s="186"/>
      <c r="K44" s="191">
        <v>0.7</v>
      </c>
      <c r="L44" s="191">
        <v>0.3</v>
      </c>
      <c r="M44" s="186"/>
      <c r="N44" s="186">
        <f t="shared" si="0"/>
        <v>1610619.472</v>
      </c>
      <c r="O44" s="186">
        <f t="shared" si="5"/>
        <v>690265.488</v>
      </c>
      <c r="P44" s="186"/>
      <c r="Q44" s="186">
        <v>1610619.472</v>
      </c>
      <c r="R44" s="186" t="s">
        <v>54</v>
      </c>
      <c r="S44" s="209">
        <v>1</v>
      </c>
      <c r="T44" s="186">
        <f t="shared" ref="T44:T47" si="6">Q44*S44</f>
        <v>1610619.472</v>
      </c>
      <c r="U44" s="186"/>
      <c r="V44" s="209"/>
      <c r="W44" s="186"/>
    </row>
    <row r="45" s="213" customFormat="1" ht="58" hidden="1" customHeight="1" spans="1:23">
      <c r="A45" s="186">
        <v>42</v>
      </c>
      <c r="B45" s="205">
        <v>46081</v>
      </c>
      <c r="C45" s="188" t="s">
        <v>100</v>
      </c>
      <c r="D45" s="188" t="s">
        <v>176</v>
      </c>
      <c r="E45" s="188" t="s">
        <v>177</v>
      </c>
      <c r="F45" s="216">
        <v>2902654.87</v>
      </c>
      <c r="G45" s="188"/>
      <c r="H45" s="188" t="s">
        <v>35</v>
      </c>
      <c r="I45" s="188" t="s">
        <v>102</v>
      </c>
      <c r="J45" s="186"/>
      <c r="K45" s="191">
        <v>0.7</v>
      </c>
      <c r="L45" s="191">
        <v>0.3</v>
      </c>
      <c r="M45" s="186"/>
      <c r="N45" s="186">
        <f t="shared" si="0"/>
        <v>2031858.409</v>
      </c>
      <c r="O45" s="186">
        <f t="shared" si="5"/>
        <v>870796.461</v>
      </c>
      <c r="P45" s="186"/>
      <c r="Q45" s="186">
        <v>2031858.409</v>
      </c>
      <c r="R45" s="186" t="s">
        <v>54</v>
      </c>
      <c r="S45" s="209">
        <v>1</v>
      </c>
      <c r="T45" s="186">
        <f t="shared" si="6"/>
        <v>2031858.409</v>
      </c>
      <c r="U45" s="186"/>
      <c r="V45" s="209"/>
      <c r="W45" s="186"/>
    </row>
    <row r="46" s="213" customFormat="1" ht="58" hidden="1" customHeight="1" spans="1:23">
      <c r="A46" s="186">
        <v>43</v>
      </c>
      <c r="B46" s="205">
        <v>46081</v>
      </c>
      <c r="C46" s="188" t="s">
        <v>100</v>
      </c>
      <c r="D46" s="188" t="s">
        <v>176</v>
      </c>
      <c r="E46" s="188" t="s">
        <v>177</v>
      </c>
      <c r="F46" s="216">
        <v>5132743.36</v>
      </c>
      <c r="G46" s="188"/>
      <c r="H46" s="188" t="s">
        <v>35</v>
      </c>
      <c r="I46" s="188" t="s">
        <v>102</v>
      </c>
      <c r="J46" s="186"/>
      <c r="K46" s="191">
        <v>0.7</v>
      </c>
      <c r="L46" s="191">
        <v>0.3</v>
      </c>
      <c r="M46" s="186"/>
      <c r="N46" s="186">
        <f t="shared" si="0"/>
        <v>3592920.352</v>
      </c>
      <c r="O46" s="186">
        <f t="shared" si="5"/>
        <v>1539823.008</v>
      </c>
      <c r="P46" s="186"/>
      <c r="Q46" s="186">
        <v>3592920.352</v>
      </c>
      <c r="R46" s="186" t="s">
        <v>54</v>
      </c>
      <c r="S46" s="209">
        <v>1</v>
      </c>
      <c r="T46" s="186">
        <f t="shared" si="6"/>
        <v>3592920.352</v>
      </c>
      <c r="U46" s="186"/>
      <c r="V46" s="209"/>
      <c r="W46" s="186"/>
    </row>
    <row r="47" s="213" customFormat="1" ht="58" hidden="1" customHeight="1" spans="1:23">
      <c r="A47" s="186">
        <v>44</v>
      </c>
      <c r="B47" s="205">
        <v>46081</v>
      </c>
      <c r="C47" s="188" t="s">
        <v>173</v>
      </c>
      <c r="D47" s="188" t="s">
        <v>174</v>
      </c>
      <c r="E47" s="188" t="s">
        <v>175</v>
      </c>
      <c r="F47" s="216">
        <v>2300884.96</v>
      </c>
      <c r="G47" s="188"/>
      <c r="H47" s="188" t="s">
        <v>35</v>
      </c>
      <c r="I47" s="188" t="s">
        <v>102</v>
      </c>
      <c r="J47" s="186"/>
      <c r="K47" s="191">
        <v>0.7</v>
      </c>
      <c r="L47" s="191">
        <v>0.3</v>
      </c>
      <c r="M47" s="186"/>
      <c r="N47" s="186">
        <f t="shared" si="0"/>
        <v>1610619.472</v>
      </c>
      <c r="O47" s="186">
        <f t="shared" si="5"/>
        <v>690265.488</v>
      </c>
      <c r="P47" s="186"/>
      <c r="Q47" s="186">
        <v>1610619.472</v>
      </c>
      <c r="R47" s="186" t="s">
        <v>54</v>
      </c>
      <c r="S47" s="209">
        <v>1</v>
      </c>
      <c r="T47" s="186">
        <f t="shared" si="6"/>
        <v>1610619.472</v>
      </c>
      <c r="U47" s="186"/>
      <c r="V47" s="209"/>
      <c r="W47" s="186"/>
    </row>
    <row r="48" s="213" customFormat="1" ht="58" hidden="1" customHeight="1" spans="1:23">
      <c r="A48" s="186">
        <v>45</v>
      </c>
      <c r="B48" s="205">
        <v>46081</v>
      </c>
      <c r="C48" s="188" t="s">
        <v>100</v>
      </c>
      <c r="D48" s="188" t="s">
        <v>176</v>
      </c>
      <c r="E48" s="188" t="s">
        <v>177</v>
      </c>
      <c r="F48" s="216">
        <v>5132743.36</v>
      </c>
      <c r="G48" s="188"/>
      <c r="H48" s="188" t="s">
        <v>35</v>
      </c>
      <c r="I48" s="188" t="s">
        <v>102</v>
      </c>
      <c r="J48" s="186"/>
      <c r="K48" s="191">
        <v>0.7</v>
      </c>
      <c r="L48" s="191">
        <v>0.3</v>
      </c>
      <c r="M48" s="186"/>
      <c r="N48" s="186">
        <f t="shared" si="0"/>
        <v>3592920.352</v>
      </c>
      <c r="O48" s="186">
        <f t="shared" si="5"/>
        <v>1539823.008</v>
      </c>
      <c r="P48" s="186"/>
      <c r="Q48" s="186">
        <v>3592920.352</v>
      </c>
      <c r="R48" s="186" t="s">
        <v>54</v>
      </c>
      <c r="S48" s="209">
        <v>1</v>
      </c>
      <c r="T48" s="186">
        <f t="shared" ref="T48:T51" si="7">Q48*S48</f>
        <v>3592920.352</v>
      </c>
      <c r="U48" s="186"/>
      <c r="V48" s="209"/>
      <c r="W48" s="186"/>
    </row>
    <row r="49" s="213" customFormat="1" ht="58" hidden="1" customHeight="1" spans="1:23">
      <c r="A49" s="186">
        <v>46</v>
      </c>
      <c r="B49" s="205">
        <v>46081</v>
      </c>
      <c r="C49" s="188" t="s">
        <v>100</v>
      </c>
      <c r="D49" s="188" t="s">
        <v>176</v>
      </c>
      <c r="E49" s="188" t="s">
        <v>177</v>
      </c>
      <c r="F49" s="216">
        <v>6991150.44</v>
      </c>
      <c r="G49" s="188"/>
      <c r="H49" s="188" t="s">
        <v>35</v>
      </c>
      <c r="I49" s="188" t="s">
        <v>102</v>
      </c>
      <c r="J49" s="186"/>
      <c r="K49" s="191">
        <v>0.7</v>
      </c>
      <c r="L49" s="191">
        <v>0.3</v>
      </c>
      <c r="M49" s="186"/>
      <c r="N49" s="186">
        <f t="shared" si="0"/>
        <v>4893805.308</v>
      </c>
      <c r="O49" s="186">
        <f t="shared" ref="O49:O86" si="8">F49*L49</f>
        <v>2097345.132</v>
      </c>
      <c r="P49" s="186"/>
      <c r="Q49" s="186">
        <v>4893805.308</v>
      </c>
      <c r="R49" s="186" t="s">
        <v>54</v>
      </c>
      <c r="S49" s="209">
        <v>1</v>
      </c>
      <c r="T49" s="186">
        <f t="shared" si="7"/>
        <v>4893805.308</v>
      </c>
      <c r="U49" s="186"/>
      <c r="V49" s="209"/>
      <c r="W49" s="186"/>
    </row>
    <row r="50" s="213" customFormat="1" ht="58" hidden="1" customHeight="1" spans="1:23">
      <c r="A50" s="186">
        <v>47</v>
      </c>
      <c r="B50" s="205">
        <v>46081</v>
      </c>
      <c r="C50" s="188" t="s">
        <v>173</v>
      </c>
      <c r="D50" s="188" t="s">
        <v>174</v>
      </c>
      <c r="E50" s="188" t="s">
        <v>175</v>
      </c>
      <c r="F50" s="216">
        <v>2902654.87</v>
      </c>
      <c r="G50" s="188"/>
      <c r="H50" s="188" t="s">
        <v>35</v>
      </c>
      <c r="I50" s="188" t="s">
        <v>102</v>
      </c>
      <c r="J50" s="186"/>
      <c r="K50" s="191">
        <v>0.7</v>
      </c>
      <c r="L50" s="191">
        <v>0.3</v>
      </c>
      <c r="M50" s="186"/>
      <c r="N50" s="186">
        <f t="shared" si="0"/>
        <v>2031858.409</v>
      </c>
      <c r="O50" s="186">
        <f t="shared" si="8"/>
        <v>870796.461</v>
      </c>
      <c r="P50" s="186"/>
      <c r="Q50" s="186">
        <v>2031858.409</v>
      </c>
      <c r="R50" s="186" t="s">
        <v>54</v>
      </c>
      <c r="S50" s="209">
        <v>1</v>
      </c>
      <c r="T50" s="186">
        <f t="shared" si="7"/>
        <v>2031858.409</v>
      </c>
      <c r="U50" s="186"/>
      <c r="V50" s="209"/>
      <c r="W50" s="186"/>
    </row>
    <row r="51" s="213" customFormat="1" ht="58" hidden="1" customHeight="1" spans="1:23">
      <c r="A51" s="186">
        <v>48</v>
      </c>
      <c r="B51" s="205">
        <v>46081</v>
      </c>
      <c r="C51" s="188" t="s">
        <v>178</v>
      </c>
      <c r="D51" s="188" t="s">
        <v>179</v>
      </c>
      <c r="E51" s="188" t="s">
        <v>180</v>
      </c>
      <c r="F51" s="216">
        <v>1663716.81</v>
      </c>
      <c r="G51" s="188"/>
      <c r="H51" s="188" t="s">
        <v>35</v>
      </c>
      <c r="I51" s="188" t="s">
        <v>102</v>
      </c>
      <c r="J51" s="186"/>
      <c r="K51" s="191">
        <v>0.7</v>
      </c>
      <c r="L51" s="191">
        <v>0.3</v>
      </c>
      <c r="M51" s="186"/>
      <c r="N51" s="186">
        <f t="shared" si="0"/>
        <v>1164601.767</v>
      </c>
      <c r="O51" s="186">
        <f t="shared" si="8"/>
        <v>499115.043</v>
      </c>
      <c r="P51" s="186"/>
      <c r="Q51" s="186">
        <v>1164601.767</v>
      </c>
      <c r="R51" s="186" t="s">
        <v>47</v>
      </c>
      <c r="S51" s="209">
        <v>1</v>
      </c>
      <c r="T51" s="186">
        <f t="shared" si="7"/>
        <v>1164601.767</v>
      </c>
      <c r="U51" s="186"/>
      <c r="V51" s="209"/>
      <c r="W51" s="186"/>
    </row>
    <row r="52" s="213" customFormat="1" ht="58" hidden="1" customHeight="1" spans="1:23">
      <c r="A52" s="186">
        <v>49</v>
      </c>
      <c r="B52" s="205">
        <v>46081</v>
      </c>
      <c r="C52" s="188" t="s">
        <v>173</v>
      </c>
      <c r="D52" s="188" t="s">
        <v>174</v>
      </c>
      <c r="E52" s="188" t="s">
        <v>175</v>
      </c>
      <c r="F52" s="216">
        <v>2902654.87</v>
      </c>
      <c r="G52" s="188"/>
      <c r="H52" s="188" t="s">
        <v>35</v>
      </c>
      <c r="I52" s="188" t="s">
        <v>102</v>
      </c>
      <c r="J52" s="186"/>
      <c r="K52" s="191">
        <v>0.7</v>
      </c>
      <c r="L52" s="191">
        <v>0.3</v>
      </c>
      <c r="M52" s="186"/>
      <c r="N52" s="186">
        <f t="shared" si="0"/>
        <v>2031858.409</v>
      </c>
      <c r="O52" s="186">
        <f t="shared" si="8"/>
        <v>870796.461</v>
      </c>
      <c r="P52" s="186"/>
      <c r="Q52" s="186">
        <v>2031858.409</v>
      </c>
      <c r="R52" s="186" t="s">
        <v>54</v>
      </c>
      <c r="S52" s="209">
        <v>1</v>
      </c>
      <c r="T52" s="186">
        <f t="shared" ref="T52:T58" si="9">Q52*S52</f>
        <v>2031858.409</v>
      </c>
      <c r="U52" s="186"/>
      <c r="V52" s="209"/>
      <c r="W52" s="186"/>
    </row>
    <row r="53" s="213" customFormat="1" ht="58" hidden="1" customHeight="1" spans="1:23">
      <c r="A53" s="186">
        <v>50</v>
      </c>
      <c r="B53" s="205">
        <v>46081</v>
      </c>
      <c r="C53" s="188" t="s">
        <v>178</v>
      </c>
      <c r="D53" s="188" t="s">
        <v>179</v>
      </c>
      <c r="E53" s="188" t="s">
        <v>180</v>
      </c>
      <c r="F53" s="216">
        <v>2716814.16</v>
      </c>
      <c r="G53" s="188"/>
      <c r="H53" s="188" t="s">
        <v>35</v>
      </c>
      <c r="I53" s="188" t="s">
        <v>102</v>
      </c>
      <c r="J53" s="186"/>
      <c r="K53" s="191">
        <v>0.7</v>
      </c>
      <c r="L53" s="191">
        <v>0.3</v>
      </c>
      <c r="M53" s="186"/>
      <c r="N53" s="186">
        <f t="shared" si="0"/>
        <v>1901769.912</v>
      </c>
      <c r="O53" s="186">
        <f t="shared" si="8"/>
        <v>815044.248</v>
      </c>
      <c r="P53" s="186"/>
      <c r="Q53" s="186">
        <v>1901769.912</v>
      </c>
      <c r="R53" s="186" t="s">
        <v>47</v>
      </c>
      <c r="S53" s="209">
        <v>1</v>
      </c>
      <c r="T53" s="186">
        <f t="shared" si="9"/>
        <v>1901769.912</v>
      </c>
      <c r="U53" s="186"/>
      <c r="V53" s="209"/>
      <c r="W53" s="186"/>
    </row>
    <row r="54" s="213" customFormat="1" ht="58" hidden="1" customHeight="1" spans="1:23">
      <c r="A54" s="186">
        <v>51</v>
      </c>
      <c r="B54" s="205">
        <v>46081</v>
      </c>
      <c r="C54" s="188" t="s">
        <v>173</v>
      </c>
      <c r="D54" s="188" t="s">
        <v>174</v>
      </c>
      <c r="E54" s="188" t="s">
        <v>175</v>
      </c>
      <c r="F54" s="216">
        <v>2902654.87</v>
      </c>
      <c r="G54" s="188"/>
      <c r="H54" s="188" t="s">
        <v>35</v>
      </c>
      <c r="I54" s="188" t="s">
        <v>102</v>
      </c>
      <c r="J54" s="186"/>
      <c r="K54" s="191">
        <v>0.7</v>
      </c>
      <c r="L54" s="191">
        <v>0.3</v>
      </c>
      <c r="M54" s="186"/>
      <c r="N54" s="186">
        <f t="shared" si="0"/>
        <v>2031858.409</v>
      </c>
      <c r="O54" s="186">
        <f t="shared" si="8"/>
        <v>870796.461</v>
      </c>
      <c r="P54" s="186"/>
      <c r="Q54" s="186">
        <v>2031858.409</v>
      </c>
      <c r="R54" s="186" t="s">
        <v>54</v>
      </c>
      <c r="S54" s="209">
        <v>1</v>
      </c>
      <c r="T54" s="186">
        <f t="shared" si="9"/>
        <v>2031858.409</v>
      </c>
      <c r="U54" s="186"/>
      <c r="V54" s="209"/>
      <c r="W54" s="186"/>
    </row>
    <row r="55" s="213" customFormat="1" ht="58" hidden="1" customHeight="1" spans="1:23">
      <c r="A55" s="186">
        <v>52</v>
      </c>
      <c r="B55" s="205">
        <v>46081</v>
      </c>
      <c r="C55" s="188" t="s">
        <v>173</v>
      </c>
      <c r="D55" s="188" t="s">
        <v>174</v>
      </c>
      <c r="E55" s="188" t="s">
        <v>175</v>
      </c>
      <c r="F55" s="216">
        <v>6991150.44</v>
      </c>
      <c r="G55" s="188"/>
      <c r="H55" s="188" t="s">
        <v>35</v>
      </c>
      <c r="I55" s="188" t="s">
        <v>102</v>
      </c>
      <c r="J55" s="186"/>
      <c r="K55" s="191">
        <v>0.7</v>
      </c>
      <c r="L55" s="191">
        <v>0.3</v>
      </c>
      <c r="M55" s="186"/>
      <c r="N55" s="186">
        <f t="shared" si="0"/>
        <v>4893805.308</v>
      </c>
      <c r="O55" s="186">
        <f t="shared" si="8"/>
        <v>2097345.132</v>
      </c>
      <c r="P55" s="186"/>
      <c r="Q55" s="186">
        <v>4893805.308</v>
      </c>
      <c r="R55" s="186" t="s">
        <v>54</v>
      </c>
      <c r="S55" s="209">
        <v>1</v>
      </c>
      <c r="T55" s="186">
        <f t="shared" si="9"/>
        <v>4893805.308</v>
      </c>
      <c r="U55" s="186"/>
      <c r="V55" s="209"/>
      <c r="W55" s="186"/>
    </row>
    <row r="56" s="213" customFormat="1" ht="58" hidden="1" customHeight="1" spans="1:23">
      <c r="A56" s="186">
        <v>53</v>
      </c>
      <c r="B56" s="205">
        <v>46081</v>
      </c>
      <c r="C56" s="188" t="s">
        <v>178</v>
      </c>
      <c r="D56" s="188" t="s">
        <v>179</v>
      </c>
      <c r="E56" s="188" t="s">
        <v>180</v>
      </c>
      <c r="F56" s="216">
        <v>2716814.16</v>
      </c>
      <c r="G56" s="188"/>
      <c r="H56" s="188" t="s">
        <v>35</v>
      </c>
      <c r="I56" s="188" t="s">
        <v>102</v>
      </c>
      <c r="J56" s="186"/>
      <c r="K56" s="191">
        <v>0.7</v>
      </c>
      <c r="L56" s="191">
        <v>0.3</v>
      </c>
      <c r="M56" s="186"/>
      <c r="N56" s="186">
        <f t="shared" si="0"/>
        <v>1901769.912</v>
      </c>
      <c r="O56" s="186">
        <f t="shared" si="8"/>
        <v>815044.248</v>
      </c>
      <c r="P56" s="186"/>
      <c r="Q56" s="186">
        <v>1901769.912</v>
      </c>
      <c r="R56" s="186" t="s">
        <v>47</v>
      </c>
      <c r="S56" s="209">
        <v>1</v>
      </c>
      <c r="T56" s="186">
        <f t="shared" ref="T56:T60" si="10">Q56*S56</f>
        <v>1901769.912</v>
      </c>
      <c r="U56" s="186"/>
      <c r="V56" s="209"/>
      <c r="W56" s="186"/>
    </row>
    <row r="57" s="213" customFormat="1" ht="58" hidden="1" customHeight="1" spans="1:23">
      <c r="A57" s="186">
        <v>54</v>
      </c>
      <c r="B57" s="205">
        <v>46081</v>
      </c>
      <c r="C57" s="188" t="s">
        <v>173</v>
      </c>
      <c r="D57" s="188" t="s">
        <v>174</v>
      </c>
      <c r="E57" s="188" t="s">
        <v>175</v>
      </c>
      <c r="F57" s="216">
        <v>6991150.44</v>
      </c>
      <c r="G57" s="188"/>
      <c r="H57" s="188" t="s">
        <v>35</v>
      </c>
      <c r="I57" s="188" t="s">
        <v>102</v>
      </c>
      <c r="J57" s="186"/>
      <c r="K57" s="191">
        <v>0.7</v>
      </c>
      <c r="L57" s="191">
        <v>0.3</v>
      </c>
      <c r="M57" s="186"/>
      <c r="N57" s="186">
        <f t="shared" si="0"/>
        <v>4893805.308</v>
      </c>
      <c r="O57" s="186">
        <f t="shared" si="8"/>
        <v>2097345.132</v>
      </c>
      <c r="P57" s="186"/>
      <c r="Q57" s="186">
        <v>4893805.308</v>
      </c>
      <c r="R57" s="186" t="s">
        <v>54</v>
      </c>
      <c r="S57" s="209">
        <v>1</v>
      </c>
      <c r="T57" s="186">
        <f t="shared" si="9"/>
        <v>4893805.308</v>
      </c>
      <c r="U57" s="186"/>
      <c r="V57" s="209"/>
      <c r="W57" s="186"/>
    </row>
    <row r="58" s="213" customFormat="1" ht="58" hidden="1" customHeight="1" spans="1:23">
      <c r="A58" s="186">
        <v>55</v>
      </c>
      <c r="B58" s="205">
        <v>46081</v>
      </c>
      <c r="C58" s="188" t="s">
        <v>181</v>
      </c>
      <c r="D58" s="188" t="s">
        <v>182</v>
      </c>
      <c r="E58" s="188" t="s">
        <v>183</v>
      </c>
      <c r="F58" s="216">
        <v>2132743.36</v>
      </c>
      <c r="G58" s="188"/>
      <c r="H58" s="188" t="s">
        <v>35</v>
      </c>
      <c r="I58" s="188" t="s">
        <v>184</v>
      </c>
      <c r="J58" s="186" t="s">
        <v>102</v>
      </c>
      <c r="K58" s="191">
        <v>0.5</v>
      </c>
      <c r="L58" s="191">
        <v>0.3</v>
      </c>
      <c r="M58" s="186">
        <v>0.2</v>
      </c>
      <c r="N58" s="186">
        <f t="shared" si="0"/>
        <v>1066371.68</v>
      </c>
      <c r="O58" s="186">
        <f t="shared" si="8"/>
        <v>639823.008</v>
      </c>
      <c r="P58" s="186"/>
      <c r="Q58" s="186">
        <v>1066371.68</v>
      </c>
      <c r="R58" s="186" t="s">
        <v>47</v>
      </c>
      <c r="S58" s="209">
        <v>1</v>
      </c>
      <c r="T58" s="186">
        <f t="shared" si="9"/>
        <v>1066371.68</v>
      </c>
      <c r="U58" s="186"/>
      <c r="V58" s="209"/>
      <c r="W58" s="186"/>
    </row>
    <row r="59" s="213" customFormat="1" ht="58" hidden="1" customHeight="1" spans="1:23">
      <c r="A59" s="186">
        <v>56</v>
      </c>
      <c r="B59" s="205">
        <v>46081</v>
      </c>
      <c r="C59" s="188" t="s">
        <v>173</v>
      </c>
      <c r="D59" s="188" t="s">
        <v>174</v>
      </c>
      <c r="E59" s="188" t="s">
        <v>175</v>
      </c>
      <c r="F59" s="216">
        <v>6991150.44</v>
      </c>
      <c r="G59" s="188"/>
      <c r="H59" s="188" t="s">
        <v>35</v>
      </c>
      <c r="I59" s="188" t="s">
        <v>102</v>
      </c>
      <c r="J59" s="186"/>
      <c r="K59" s="191">
        <v>0.7</v>
      </c>
      <c r="L59" s="191">
        <v>0.3</v>
      </c>
      <c r="M59" s="186"/>
      <c r="N59" s="186">
        <f t="shared" si="0"/>
        <v>4893805.308</v>
      </c>
      <c r="O59" s="186">
        <f t="shared" si="8"/>
        <v>2097345.132</v>
      </c>
      <c r="P59" s="186"/>
      <c r="Q59" s="186">
        <v>4893805.308</v>
      </c>
      <c r="R59" s="186" t="s">
        <v>54</v>
      </c>
      <c r="S59" s="209">
        <v>1</v>
      </c>
      <c r="T59" s="186">
        <f t="shared" si="10"/>
        <v>4893805.308</v>
      </c>
      <c r="U59" s="186"/>
      <c r="V59" s="209"/>
      <c r="W59" s="186"/>
    </row>
    <row r="60" s="213" customFormat="1" ht="58" hidden="1" customHeight="1" spans="1:23">
      <c r="A60" s="186">
        <v>57</v>
      </c>
      <c r="B60" s="205">
        <v>46081</v>
      </c>
      <c r="C60" s="188" t="s">
        <v>181</v>
      </c>
      <c r="D60" s="188" t="s">
        <v>182</v>
      </c>
      <c r="E60" s="188" t="s">
        <v>185</v>
      </c>
      <c r="F60" s="216">
        <v>6991150.44</v>
      </c>
      <c r="G60" s="188"/>
      <c r="H60" s="188" t="s">
        <v>35</v>
      </c>
      <c r="I60" s="188" t="s">
        <v>184</v>
      </c>
      <c r="J60" s="186" t="s">
        <v>102</v>
      </c>
      <c r="K60" s="191">
        <v>0.5</v>
      </c>
      <c r="L60" s="191">
        <v>0.3</v>
      </c>
      <c r="M60" s="186">
        <v>0.2</v>
      </c>
      <c r="N60" s="186">
        <f t="shared" si="0"/>
        <v>3495575.22</v>
      </c>
      <c r="O60" s="186">
        <f t="shared" si="8"/>
        <v>2097345.132</v>
      </c>
      <c r="P60" s="186"/>
      <c r="Q60" s="186">
        <v>3495575.22</v>
      </c>
      <c r="R60" s="186" t="s">
        <v>47</v>
      </c>
      <c r="S60" s="209">
        <v>1</v>
      </c>
      <c r="T60" s="186">
        <f t="shared" si="10"/>
        <v>3495575.22</v>
      </c>
      <c r="U60" s="186"/>
      <c r="V60" s="209"/>
      <c r="W60" s="186"/>
    </row>
    <row r="61" s="213" customFormat="1" ht="58" hidden="1" customHeight="1" spans="1:23">
      <c r="A61" s="186">
        <v>58</v>
      </c>
      <c r="B61" s="205">
        <v>46081</v>
      </c>
      <c r="C61" s="188" t="s">
        <v>100</v>
      </c>
      <c r="D61" s="188" t="s">
        <v>176</v>
      </c>
      <c r="E61" s="188" t="s">
        <v>177</v>
      </c>
      <c r="F61" s="216">
        <v>2902654.87</v>
      </c>
      <c r="G61" s="188"/>
      <c r="H61" s="188" t="s">
        <v>35</v>
      </c>
      <c r="I61" s="188" t="s">
        <v>102</v>
      </c>
      <c r="J61" s="186"/>
      <c r="K61" s="191">
        <v>0.7</v>
      </c>
      <c r="L61" s="191">
        <v>0.3</v>
      </c>
      <c r="M61" s="186"/>
      <c r="N61" s="186">
        <f t="shared" si="0"/>
        <v>2031858.409</v>
      </c>
      <c r="O61" s="186">
        <f t="shared" si="8"/>
        <v>870796.461</v>
      </c>
      <c r="P61" s="186"/>
      <c r="Q61" s="186">
        <v>2031858.409</v>
      </c>
      <c r="R61" s="186" t="s">
        <v>54</v>
      </c>
      <c r="S61" s="209">
        <v>1</v>
      </c>
      <c r="T61" s="186">
        <f t="shared" ref="T61:T72" si="11">Q61*S61</f>
        <v>2031858.409</v>
      </c>
      <c r="U61" s="186"/>
      <c r="V61" s="209"/>
      <c r="W61" s="186"/>
    </row>
    <row r="62" s="213" customFormat="1" ht="58" hidden="1" customHeight="1" spans="1:23">
      <c r="A62" s="186">
        <v>59</v>
      </c>
      <c r="B62" s="205">
        <v>46081</v>
      </c>
      <c r="C62" s="188" t="s">
        <v>186</v>
      </c>
      <c r="D62" s="188" t="s">
        <v>187</v>
      </c>
      <c r="E62" s="188" t="s">
        <v>188</v>
      </c>
      <c r="F62" s="216">
        <v>1353185.84</v>
      </c>
      <c r="G62" s="188"/>
      <c r="H62" s="188" t="s">
        <v>35</v>
      </c>
      <c r="I62" s="188"/>
      <c r="J62" s="186"/>
      <c r="K62" s="191">
        <v>1</v>
      </c>
      <c r="L62" s="191"/>
      <c r="M62" s="186"/>
      <c r="N62" s="186">
        <f t="shared" si="0"/>
        <v>1353185.84</v>
      </c>
      <c r="O62" s="186"/>
      <c r="P62" s="186"/>
      <c r="Q62" s="186">
        <v>1353185.84</v>
      </c>
      <c r="R62" s="186" t="s">
        <v>36</v>
      </c>
      <c r="S62" s="209">
        <v>1</v>
      </c>
      <c r="T62" s="186">
        <f t="shared" si="11"/>
        <v>1353185.84</v>
      </c>
      <c r="U62" s="186"/>
      <c r="V62" s="209"/>
      <c r="W62" s="186"/>
    </row>
    <row r="63" s="213" customFormat="1" ht="58" hidden="1" customHeight="1" spans="1:23">
      <c r="A63" s="186">
        <v>60</v>
      </c>
      <c r="B63" s="205">
        <v>46081</v>
      </c>
      <c r="C63" s="188" t="s">
        <v>186</v>
      </c>
      <c r="D63" s="188" t="s">
        <v>187</v>
      </c>
      <c r="E63" s="188" t="s">
        <v>188</v>
      </c>
      <c r="F63" s="216">
        <v>1353185.84</v>
      </c>
      <c r="G63" s="188"/>
      <c r="H63" s="188" t="s">
        <v>35</v>
      </c>
      <c r="I63" s="188"/>
      <c r="J63" s="186"/>
      <c r="K63" s="191">
        <v>1</v>
      </c>
      <c r="L63" s="191"/>
      <c r="M63" s="186"/>
      <c r="N63" s="186">
        <f t="shared" ref="N63:N92" si="12">F63*K63</f>
        <v>1353185.84</v>
      </c>
      <c r="O63" s="186"/>
      <c r="P63" s="186"/>
      <c r="Q63" s="186">
        <v>1353185.84</v>
      </c>
      <c r="R63" s="186" t="s">
        <v>36</v>
      </c>
      <c r="S63" s="209">
        <v>1</v>
      </c>
      <c r="T63" s="186">
        <f t="shared" si="11"/>
        <v>1353185.84</v>
      </c>
      <c r="U63" s="186"/>
      <c r="V63" s="209"/>
      <c r="W63" s="186"/>
    </row>
    <row r="64" s="213" customFormat="1" ht="58" hidden="1" customHeight="1" spans="1:23">
      <c r="A64" s="186">
        <v>61</v>
      </c>
      <c r="B64" s="205">
        <v>46081</v>
      </c>
      <c r="C64" s="188" t="s">
        <v>59</v>
      </c>
      <c r="D64" s="188" t="s">
        <v>109</v>
      </c>
      <c r="E64" s="188" t="s">
        <v>110</v>
      </c>
      <c r="F64" s="216">
        <v>1946902.65</v>
      </c>
      <c r="G64" s="188"/>
      <c r="H64" s="188" t="s">
        <v>34</v>
      </c>
      <c r="I64" s="188" t="s">
        <v>35</v>
      </c>
      <c r="J64" s="186"/>
      <c r="K64" s="191">
        <v>0.7</v>
      </c>
      <c r="L64" s="191">
        <v>0.3</v>
      </c>
      <c r="M64" s="186"/>
      <c r="N64" s="186">
        <f t="shared" si="12"/>
        <v>1362831.855</v>
      </c>
      <c r="O64" s="186">
        <f t="shared" si="8"/>
        <v>584070.795</v>
      </c>
      <c r="P64" s="186"/>
      <c r="Q64" s="186">
        <v>584070.795</v>
      </c>
      <c r="R64" s="186" t="s">
        <v>60</v>
      </c>
      <c r="S64" s="209">
        <v>1</v>
      </c>
      <c r="T64" s="186">
        <f t="shared" si="11"/>
        <v>584070.795</v>
      </c>
      <c r="U64" s="186"/>
      <c r="V64" s="209"/>
      <c r="W64" s="186"/>
    </row>
    <row r="65" s="213" customFormat="1" ht="58" hidden="1" customHeight="1" spans="1:23">
      <c r="A65" s="186">
        <v>62</v>
      </c>
      <c r="B65" s="205">
        <v>46081</v>
      </c>
      <c r="C65" s="188" t="s">
        <v>59</v>
      </c>
      <c r="D65" s="188" t="s">
        <v>109</v>
      </c>
      <c r="E65" s="188" t="s">
        <v>110</v>
      </c>
      <c r="F65" s="216">
        <v>2831858.41</v>
      </c>
      <c r="G65" s="188"/>
      <c r="H65" s="188" t="s">
        <v>34</v>
      </c>
      <c r="I65" s="188" t="s">
        <v>35</v>
      </c>
      <c r="J65" s="186"/>
      <c r="K65" s="191">
        <v>0.7</v>
      </c>
      <c r="L65" s="191">
        <v>0.3</v>
      </c>
      <c r="M65" s="186"/>
      <c r="N65" s="186">
        <f t="shared" si="12"/>
        <v>1982300.887</v>
      </c>
      <c r="O65" s="186">
        <f t="shared" si="8"/>
        <v>849557.523</v>
      </c>
      <c r="P65" s="186"/>
      <c r="Q65" s="186">
        <v>849557.523</v>
      </c>
      <c r="R65" s="186" t="s">
        <v>60</v>
      </c>
      <c r="S65" s="209">
        <v>1</v>
      </c>
      <c r="T65" s="186">
        <f t="shared" si="11"/>
        <v>849557.523</v>
      </c>
      <c r="U65" s="186"/>
      <c r="V65" s="209"/>
      <c r="W65" s="186"/>
    </row>
    <row r="66" s="213" customFormat="1" ht="58" hidden="1" customHeight="1" spans="1:23">
      <c r="A66" s="186">
        <v>63</v>
      </c>
      <c r="B66" s="205">
        <v>46081</v>
      </c>
      <c r="C66" s="188" t="s">
        <v>59</v>
      </c>
      <c r="D66" s="188" t="s">
        <v>189</v>
      </c>
      <c r="E66" s="188" t="s">
        <v>190</v>
      </c>
      <c r="F66" s="216">
        <v>7026548.67</v>
      </c>
      <c r="G66" s="188"/>
      <c r="H66" s="188" t="s">
        <v>34</v>
      </c>
      <c r="I66" s="188" t="s">
        <v>35</v>
      </c>
      <c r="J66" s="186"/>
      <c r="K66" s="191">
        <v>0.7</v>
      </c>
      <c r="L66" s="191">
        <v>0.3</v>
      </c>
      <c r="M66" s="186"/>
      <c r="N66" s="186">
        <f t="shared" si="12"/>
        <v>4918584.069</v>
      </c>
      <c r="O66" s="186">
        <f t="shared" si="8"/>
        <v>2107964.601</v>
      </c>
      <c r="P66" s="186"/>
      <c r="Q66" s="186">
        <v>2107964.601</v>
      </c>
      <c r="R66" s="186" t="s">
        <v>60</v>
      </c>
      <c r="S66" s="209">
        <v>1</v>
      </c>
      <c r="T66" s="186">
        <f t="shared" si="11"/>
        <v>2107964.601</v>
      </c>
      <c r="U66" s="186"/>
      <c r="V66" s="209"/>
      <c r="W66" s="186"/>
    </row>
    <row r="67" s="213" customFormat="1" ht="58" hidden="1" customHeight="1" spans="1:23">
      <c r="A67" s="186">
        <v>64</v>
      </c>
      <c r="B67" s="205">
        <v>46081</v>
      </c>
      <c r="C67" s="188" t="s">
        <v>63</v>
      </c>
      <c r="D67" s="188" t="s">
        <v>191</v>
      </c>
      <c r="E67" s="188" t="s">
        <v>192</v>
      </c>
      <c r="F67" s="216">
        <v>17699115.04</v>
      </c>
      <c r="G67" s="188"/>
      <c r="H67" s="188" t="s">
        <v>35</v>
      </c>
      <c r="I67" s="188" t="s">
        <v>64</v>
      </c>
      <c r="J67" s="186"/>
      <c r="K67" s="191">
        <v>0.7</v>
      </c>
      <c r="L67" s="191">
        <v>0.3</v>
      </c>
      <c r="M67" s="186"/>
      <c r="N67" s="186">
        <f t="shared" si="12"/>
        <v>12389380.528</v>
      </c>
      <c r="O67" s="186">
        <f t="shared" si="8"/>
        <v>5309734.512</v>
      </c>
      <c r="P67" s="186"/>
      <c r="Q67" s="186">
        <v>12389380.528</v>
      </c>
      <c r="R67" s="186" t="s">
        <v>47</v>
      </c>
      <c r="S67" s="209">
        <v>1</v>
      </c>
      <c r="T67" s="186">
        <f t="shared" si="11"/>
        <v>12389380.528</v>
      </c>
      <c r="U67" s="186"/>
      <c r="V67" s="209"/>
      <c r="W67" s="186"/>
    </row>
    <row r="68" s="213" customFormat="1" ht="58" customHeight="1" spans="1:23">
      <c r="A68" s="186">
        <v>65</v>
      </c>
      <c r="B68" s="205">
        <v>46109</v>
      </c>
      <c r="C68" s="188" t="s">
        <v>69</v>
      </c>
      <c r="D68" s="188" t="s">
        <v>150</v>
      </c>
      <c r="E68" s="188" t="s">
        <v>151</v>
      </c>
      <c r="F68" s="216">
        <v>548123.89</v>
      </c>
      <c r="G68" s="188"/>
      <c r="H68" s="188" t="s">
        <v>35</v>
      </c>
      <c r="I68" s="188" t="s">
        <v>70</v>
      </c>
      <c r="J68" s="186"/>
      <c r="K68" s="191">
        <v>0.7</v>
      </c>
      <c r="L68" s="191">
        <v>0.3</v>
      </c>
      <c r="M68" s="186"/>
      <c r="N68" s="186">
        <f t="shared" si="12"/>
        <v>383686.723</v>
      </c>
      <c r="O68" s="186">
        <f t="shared" si="8"/>
        <v>164437.167</v>
      </c>
      <c r="P68" s="186"/>
      <c r="Q68" s="186">
        <v>383686.723</v>
      </c>
      <c r="R68" s="186" t="s">
        <v>41</v>
      </c>
      <c r="S68" s="209">
        <v>1</v>
      </c>
      <c r="T68" s="186">
        <f t="shared" si="11"/>
        <v>383686.723</v>
      </c>
      <c r="U68" s="186"/>
      <c r="V68" s="209"/>
      <c r="W68" s="186"/>
    </row>
    <row r="69" s="213" customFormat="1" ht="58" customHeight="1" spans="1:23">
      <c r="A69" s="186">
        <v>66</v>
      </c>
      <c r="B69" s="205">
        <v>46109</v>
      </c>
      <c r="C69" s="188" t="s">
        <v>69</v>
      </c>
      <c r="D69" s="188" t="s">
        <v>150</v>
      </c>
      <c r="E69" s="188" t="s">
        <v>151</v>
      </c>
      <c r="F69" s="216">
        <v>85136.02</v>
      </c>
      <c r="G69" s="188"/>
      <c r="H69" s="188" t="s">
        <v>35</v>
      </c>
      <c r="I69" s="188" t="s">
        <v>70</v>
      </c>
      <c r="J69" s="186"/>
      <c r="K69" s="191">
        <v>0.7</v>
      </c>
      <c r="L69" s="191">
        <v>0.3</v>
      </c>
      <c r="M69" s="186"/>
      <c r="N69" s="186">
        <f t="shared" si="12"/>
        <v>59595.214</v>
      </c>
      <c r="O69" s="186">
        <f t="shared" si="8"/>
        <v>25540.806</v>
      </c>
      <c r="P69" s="186"/>
      <c r="Q69" s="186">
        <v>59595.214</v>
      </c>
      <c r="R69" s="186" t="s">
        <v>41</v>
      </c>
      <c r="S69" s="209">
        <v>1</v>
      </c>
      <c r="T69" s="186">
        <f t="shared" si="11"/>
        <v>59595.214</v>
      </c>
      <c r="U69" s="186"/>
      <c r="V69" s="209"/>
      <c r="W69" s="186"/>
    </row>
    <row r="70" s="213" customFormat="1" ht="58" customHeight="1" spans="1:23">
      <c r="A70" s="186">
        <v>67</v>
      </c>
      <c r="B70" s="205">
        <v>46109</v>
      </c>
      <c r="C70" s="188" t="s">
        <v>193</v>
      </c>
      <c r="D70" s="188" t="s">
        <v>194</v>
      </c>
      <c r="E70" s="188" t="s">
        <v>195</v>
      </c>
      <c r="F70" s="216">
        <v>627929.2</v>
      </c>
      <c r="G70" s="188"/>
      <c r="H70" s="188" t="s">
        <v>35</v>
      </c>
      <c r="I70" s="188"/>
      <c r="J70" s="186"/>
      <c r="K70" s="191">
        <v>1</v>
      </c>
      <c r="L70" s="191"/>
      <c r="M70" s="186"/>
      <c r="N70" s="186">
        <f t="shared" si="12"/>
        <v>627929.2</v>
      </c>
      <c r="O70" s="186"/>
      <c r="P70" s="186"/>
      <c r="Q70" s="186">
        <v>627929.2</v>
      </c>
      <c r="R70" s="186" t="s">
        <v>41</v>
      </c>
      <c r="S70" s="209">
        <v>1</v>
      </c>
      <c r="T70" s="186">
        <f t="shared" si="11"/>
        <v>627929.2</v>
      </c>
      <c r="U70" s="186"/>
      <c r="V70" s="209"/>
      <c r="W70" s="186"/>
    </row>
    <row r="71" s="213" customFormat="1" ht="58" customHeight="1" spans="1:23">
      <c r="A71" s="186">
        <v>68</v>
      </c>
      <c r="B71" s="205">
        <v>46109</v>
      </c>
      <c r="C71" s="188" t="s">
        <v>69</v>
      </c>
      <c r="D71" s="188" t="s">
        <v>196</v>
      </c>
      <c r="E71" s="188" t="s">
        <v>197</v>
      </c>
      <c r="F71" s="216">
        <v>2035398.23</v>
      </c>
      <c r="G71" s="188"/>
      <c r="H71" s="188" t="s">
        <v>35</v>
      </c>
      <c r="I71" s="188" t="s">
        <v>70</v>
      </c>
      <c r="J71" s="186"/>
      <c r="K71" s="191">
        <v>0.7</v>
      </c>
      <c r="L71" s="191">
        <v>0.3</v>
      </c>
      <c r="M71" s="186"/>
      <c r="N71" s="186">
        <f t="shared" si="12"/>
        <v>1424778.761</v>
      </c>
      <c r="O71" s="186">
        <f t="shared" si="8"/>
        <v>610619.469</v>
      </c>
      <c r="P71" s="186"/>
      <c r="Q71" s="186">
        <v>1424778.761</v>
      </c>
      <c r="R71" s="186" t="s">
        <v>66</v>
      </c>
      <c r="S71" s="209">
        <v>0.6</v>
      </c>
      <c r="T71" s="186">
        <f t="shared" si="11"/>
        <v>854867.2566</v>
      </c>
      <c r="U71" s="186" t="s">
        <v>65</v>
      </c>
      <c r="V71" s="209">
        <v>0.4</v>
      </c>
      <c r="W71" s="186">
        <f t="shared" ref="W71:W74" si="13">Q71*V71</f>
        <v>569911.5044</v>
      </c>
    </row>
    <row r="72" s="213" customFormat="1" ht="58" customHeight="1" spans="1:23">
      <c r="A72" s="186">
        <v>69</v>
      </c>
      <c r="B72" s="205">
        <v>46109</v>
      </c>
      <c r="C72" s="188" t="s">
        <v>136</v>
      </c>
      <c r="D72" s="188" t="s">
        <v>71</v>
      </c>
      <c r="E72" s="188" t="s">
        <v>72</v>
      </c>
      <c r="F72" s="216">
        <v>867256.64</v>
      </c>
      <c r="G72" s="188"/>
      <c r="H72" s="188" t="s">
        <v>35</v>
      </c>
      <c r="I72" s="188" t="s">
        <v>64</v>
      </c>
      <c r="J72" s="186"/>
      <c r="K72" s="191">
        <v>0.7</v>
      </c>
      <c r="L72" s="191">
        <v>0.3</v>
      </c>
      <c r="M72" s="186"/>
      <c r="N72" s="186">
        <f t="shared" si="12"/>
        <v>607079.648</v>
      </c>
      <c r="O72" s="186">
        <f t="shared" si="8"/>
        <v>260176.992</v>
      </c>
      <c r="P72" s="186"/>
      <c r="Q72" s="186">
        <v>607079.648</v>
      </c>
      <c r="R72" s="186" t="s">
        <v>55</v>
      </c>
      <c r="S72" s="209">
        <v>1</v>
      </c>
      <c r="T72" s="186">
        <f t="shared" si="11"/>
        <v>607079.648</v>
      </c>
      <c r="U72" s="186"/>
      <c r="V72" s="209"/>
      <c r="W72" s="186"/>
    </row>
    <row r="73" s="213" customFormat="1" ht="58" customHeight="1" spans="1:23">
      <c r="A73" s="186">
        <v>70</v>
      </c>
      <c r="B73" s="205">
        <v>46109</v>
      </c>
      <c r="C73" s="188" t="s">
        <v>198</v>
      </c>
      <c r="D73" s="188" t="s">
        <v>199</v>
      </c>
      <c r="E73" s="188" t="s">
        <v>200</v>
      </c>
      <c r="F73" s="216">
        <v>4601769.91</v>
      </c>
      <c r="G73" s="188"/>
      <c r="H73" s="188" t="s">
        <v>35</v>
      </c>
      <c r="I73" s="188" t="s">
        <v>184</v>
      </c>
      <c r="J73" s="186"/>
      <c r="K73" s="191">
        <v>0.7</v>
      </c>
      <c r="L73" s="191">
        <v>0.3</v>
      </c>
      <c r="M73" s="186"/>
      <c r="N73" s="186">
        <f t="shared" si="12"/>
        <v>3221238.937</v>
      </c>
      <c r="O73" s="186">
        <f t="shared" si="8"/>
        <v>1380530.973</v>
      </c>
      <c r="P73" s="186"/>
      <c r="Q73" s="186">
        <v>3221238.937</v>
      </c>
      <c r="R73" s="186" t="s">
        <v>66</v>
      </c>
      <c r="S73" s="209">
        <v>0.6</v>
      </c>
      <c r="T73" s="186">
        <f t="shared" ref="T73:T83" si="14">Q73*S73</f>
        <v>1932743.3622</v>
      </c>
      <c r="U73" s="186" t="s">
        <v>65</v>
      </c>
      <c r="V73" s="209">
        <v>0.4</v>
      </c>
      <c r="W73" s="186">
        <f t="shared" si="13"/>
        <v>1288495.5748</v>
      </c>
    </row>
    <row r="74" s="213" customFormat="1" ht="58" customHeight="1" spans="1:23">
      <c r="A74" s="186">
        <v>71</v>
      </c>
      <c r="B74" s="205">
        <v>46109</v>
      </c>
      <c r="C74" s="188" t="s">
        <v>198</v>
      </c>
      <c r="D74" s="188" t="s">
        <v>199</v>
      </c>
      <c r="E74" s="188" t="s">
        <v>200</v>
      </c>
      <c r="F74" s="216">
        <v>4601769.92</v>
      </c>
      <c r="G74" s="188"/>
      <c r="H74" s="188" t="s">
        <v>35</v>
      </c>
      <c r="I74" s="188" t="s">
        <v>184</v>
      </c>
      <c r="J74" s="186"/>
      <c r="K74" s="191">
        <v>0.7</v>
      </c>
      <c r="L74" s="191">
        <v>0.3</v>
      </c>
      <c r="M74" s="186"/>
      <c r="N74" s="186">
        <f t="shared" si="12"/>
        <v>3221238.944</v>
      </c>
      <c r="O74" s="186">
        <f t="shared" si="8"/>
        <v>1380530.976</v>
      </c>
      <c r="P74" s="186"/>
      <c r="Q74" s="186">
        <v>3221238.944</v>
      </c>
      <c r="R74" s="186" t="s">
        <v>66</v>
      </c>
      <c r="S74" s="209">
        <v>0.6</v>
      </c>
      <c r="T74" s="186">
        <f t="shared" si="14"/>
        <v>1932743.3664</v>
      </c>
      <c r="U74" s="186" t="s">
        <v>65</v>
      </c>
      <c r="V74" s="209">
        <v>0.4</v>
      </c>
      <c r="W74" s="186">
        <f t="shared" si="13"/>
        <v>1288495.5776</v>
      </c>
    </row>
    <row r="75" s="213" customFormat="1" ht="58" customHeight="1" spans="1:23">
      <c r="A75" s="186">
        <v>72</v>
      </c>
      <c r="B75" s="205">
        <v>46109</v>
      </c>
      <c r="C75" s="188" t="s">
        <v>53</v>
      </c>
      <c r="D75" s="188" t="s">
        <v>51</v>
      </c>
      <c r="E75" s="188" t="s">
        <v>52</v>
      </c>
      <c r="F75" s="216">
        <v>2743362.83</v>
      </c>
      <c r="G75" s="188"/>
      <c r="H75" s="188" t="s">
        <v>35</v>
      </c>
      <c r="I75" s="188"/>
      <c r="J75" s="186"/>
      <c r="K75" s="191">
        <v>1</v>
      </c>
      <c r="L75" s="191"/>
      <c r="M75" s="186"/>
      <c r="N75" s="186">
        <f t="shared" si="12"/>
        <v>2743362.83</v>
      </c>
      <c r="O75" s="186"/>
      <c r="P75" s="186"/>
      <c r="Q75" s="186">
        <v>2743362.83</v>
      </c>
      <c r="R75" s="186" t="s">
        <v>54</v>
      </c>
      <c r="S75" s="209">
        <v>1</v>
      </c>
      <c r="T75" s="186">
        <f t="shared" si="14"/>
        <v>2743362.83</v>
      </c>
      <c r="U75" s="186"/>
      <c r="V75" s="209"/>
      <c r="W75" s="186"/>
    </row>
    <row r="76" s="213" customFormat="1" ht="58" customHeight="1" spans="1:23">
      <c r="A76" s="186">
        <v>73</v>
      </c>
      <c r="B76" s="205">
        <v>46109</v>
      </c>
      <c r="C76" s="188" t="s">
        <v>53</v>
      </c>
      <c r="D76" s="188" t="s">
        <v>51</v>
      </c>
      <c r="E76" s="188" t="s">
        <v>52</v>
      </c>
      <c r="F76" s="216">
        <v>7477876.11</v>
      </c>
      <c r="G76" s="188"/>
      <c r="H76" s="188" t="s">
        <v>35</v>
      </c>
      <c r="I76" s="188"/>
      <c r="J76" s="186"/>
      <c r="K76" s="191">
        <v>1</v>
      </c>
      <c r="L76" s="191"/>
      <c r="M76" s="186"/>
      <c r="N76" s="186">
        <f t="shared" si="12"/>
        <v>7477876.11</v>
      </c>
      <c r="O76" s="186"/>
      <c r="P76" s="186"/>
      <c r="Q76" s="186">
        <v>7477876.11</v>
      </c>
      <c r="R76" s="186" t="s">
        <v>54</v>
      </c>
      <c r="S76" s="209">
        <v>1</v>
      </c>
      <c r="T76" s="186">
        <f t="shared" si="14"/>
        <v>7477876.11</v>
      </c>
      <c r="U76" s="186"/>
      <c r="V76" s="209"/>
      <c r="W76" s="186"/>
    </row>
    <row r="77" s="213" customFormat="1" ht="58" customHeight="1" spans="1:23">
      <c r="A77" s="186">
        <v>74</v>
      </c>
      <c r="B77" s="205">
        <v>46109</v>
      </c>
      <c r="C77" s="188" t="s">
        <v>53</v>
      </c>
      <c r="D77" s="188" t="s">
        <v>51</v>
      </c>
      <c r="E77" s="188" t="s">
        <v>52</v>
      </c>
      <c r="F77" s="216">
        <v>7477876.11</v>
      </c>
      <c r="G77" s="188"/>
      <c r="H77" s="188" t="s">
        <v>35</v>
      </c>
      <c r="I77" s="188"/>
      <c r="J77" s="186"/>
      <c r="K77" s="191">
        <v>1</v>
      </c>
      <c r="L77" s="191"/>
      <c r="M77" s="186"/>
      <c r="N77" s="186">
        <f t="shared" si="12"/>
        <v>7477876.11</v>
      </c>
      <c r="O77" s="186"/>
      <c r="P77" s="186"/>
      <c r="Q77" s="186">
        <v>7477876.11</v>
      </c>
      <c r="R77" s="186" t="s">
        <v>54</v>
      </c>
      <c r="S77" s="209">
        <v>1</v>
      </c>
      <c r="T77" s="186">
        <f t="shared" si="14"/>
        <v>7477876.11</v>
      </c>
      <c r="U77" s="186"/>
      <c r="V77" s="209"/>
      <c r="W77" s="186"/>
    </row>
    <row r="78" s="213" customFormat="1" ht="58" customHeight="1" spans="1:23">
      <c r="A78" s="186">
        <v>75</v>
      </c>
      <c r="B78" s="205">
        <v>46109</v>
      </c>
      <c r="C78" s="188" t="s">
        <v>201</v>
      </c>
      <c r="D78" s="188" t="s">
        <v>202</v>
      </c>
      <c r="E78" s="188" t="s">
        <v>203</v>
      </c>
      <c r="F78" s="216">
        <v>6769911.5</v>
      </c>
      <c r="G78" s="188"/>
      <c r="H78" s="188" t="s">
        <v>35</v>
      </c>
      <c r="I78" s="188" t="s">
        <v>70</v>
      </c>
      <c r="J78" s="186"/>
      <c r="K78" s="191">
        <v>0.7</v>
      </c>
      <c r="L78" s="191">
        <v>0.3</v>
      </c>
      <c r="M78" s="186"/>
      <c r="N78" s="186">
        <f t="shared" si="12"/>
        <v>4738938.05</v>
      </c>
      <c r="O78" s="186">
        <f t="shared" si="8"/>
        <v>2030973.45</v>
      </c>
      <c r="P78" s="186"/>
      <c r="Q78" s="186">
        <v>4738938.05</v>
      </c>
      <c r="R78" s="186" t="s">
        <v>120</v>
      </c>
      <c r="S78" s="209">
        <v>1</v>
      </c>
      <c r="T78" s="186">
        <f t="shared" si="14"/>
        <v>4738938.05</v>
      </c>
      <c r="U78" s="186"/>
      <c r="V78" s="209"/>
      <c r="W78" s="186"/>
    </row>
    <row r="79" s="213" customFormat="1" ht="58" customHeight="1" spans="1:23">
      <c r="A79" s="186">
        <v>76</v>
      </c>
      <c r="B79" s="205">
        <v>46109</v>
      </c>
      <c r="C79" s="188" t="s">
        <v>201</v>
      </c>
      <c r="D79" s="188" t="s">
        <v>202</v>
      </c>
      <c r="E79" s="188" t="s">
        <v>203</v>
      </c>
      <c r="F79" s="216">
        <v>7389380.53</v>
      </c>
      <c r="G79" s="188"/>
      <c r="H79" s="188" t="s">
        <v>35</v>
      </c>
      <c r="I79" s="188" t="s">
        <v>70</v>
      </c>
      <c r="J79" s="186"/>
      <c r="K79" s="191">
        <v>0.7</v>
      </c>
      <c r="L79" s="191">
        <v>0.3</v>
      </c>
      <c r="M79" s="186"/>
      <c r="N79" s="186">
        <f t="shared" si="12"/>
        <v>5172566.371</v>
      </c>
      <c r="O79" s="186">
        <f t="shared" si="8"/>
        <v>2216814.159</v>
      </c>
      <c r="P79" s="186"/>
      <c r="Q79" s="186">
        <v>5172566.371</v>
      </c>
      <c r="R79" s="186" t="s">
        <v>120</v>
      </c>
      <c r="S79" s="209">
        <v>1</v>
      </c>
      <c r="T79" s="186">
        <f t="shared" si="14"/>
        <v>5172566.371</v>
      </c>
      <c r="U79" s="186"/>
      <c r="V79" s="209"/>
      <c r="W79" s="186"/>
    </row>
    <row r="80" s="213" customFormat="1" ht="58" hidden="1" customHeight="1" spans="1:23">
      <c r="A80" s="186">
        <v>77</v>
      </c>
      <c r="B80" s="205">
        <v>46109</v>
      </c>
      <c r="C80" s="188" t="s">
        <v>59</v>
      </c>
      <c r="D80" s="188" t="s">
        <v>189</v>
      </c>
      <c r="E80" s="188" t="s">
        <v>190</v>
      </c>
      <c r="F80" s="216">
        <v>7026548.67</v>
      </c>
      <c r="G80" s="188"/>
      <c r="H80" s="188" t="s">
        <v>34</v>
      </c>
      <c r="I80" s="188" t="s">
        <v>35</v>
      </c>
      <c r="J80" s="186"/>
      <c r="K80" s="191">
        <v>0.7</v>
      </c>
      <c r="L80" s="191">
        <v>0.3</v>
      </c>
      <c r="M80" s="186"/>
      <c r="N80" s="186">
        <f t="shared" si="12"/>
        <v>4918584.069</v>
      </c>
      <c r="O80" s="186">
        <f t="shared" si="8"/>
        <v>2107964.601</v>
      </c>
      <c r="P80" s="186"/>
      <c r="Q80" s="186">
        <v>2107964.601</v>
      </c>
      <c r="R80" s="186" t="s">
        <v>60</v>
      </c>
      <c r="S80" s="209">
        <v>1</v>
      </c>
      <c r="T80" s="186">
        <f t="shared" si="14"/>
        <v>2107964.601</v>
      </c>
      <c r="U80" s="186"/>
      <c r="V80" s="209"/>
      <c r="W80" s="186"/>
    </row>
    <row r="81" s="213" customFormat="1" ht="58" hidden="1" customHeight="1" spans="1:23">
      <c r="A81" s="186">
        <v>78</v>
      </c>
      <c r="B81" s="205">
        <v>46109</v>
      </c>
      <c r="C81" s="188" t="s">
        <v>59</v>
      </c>
      <c r="D81" s="188" t="s">
        <v>109</v>
      </c>
      <c r="E81" s="188" t="s">
        <v>110</v>
      </c>
      <c r="F81" s="216">
        <v>1946902.65</v>
      </c>
      <c r="G81" s="188"/>
      <c r="H81" s="188" t="s">
        <v>34</v>
      </c>
      <c r="I81" s="188" t="s">
        <v>35</v>
      </c>
      <c r="J81" s="186"/>
      <c r="K81" s="191">
        <v>0.7</v>
      </c>
      <c r="L81" s="191">
        <v>0.3</v>
      </c>
      <c r="M81" s="186"/>
      <c r="N81" s="186">
        <f t="shared" si="12"/>
        <v>1362831.855</v>
      </c>
      <c r="O81" s="186">
        <f t="shared" si="8"/>
        <v>584070.795</v>
      </c>
      <c r="P81" s="186"/>
      <c r="Q81" s="186">
        <v>584070.795</v>
      </c>
      <c r="R81" s="186" t="s">
        <v>60</v>
      </c>
      <c r="S81" s="209">
        <v>1</v>
      </c>
      <c r="T81" s="186">
        <f t="shared" si="14"/>
        <v>584070.795</v>
      </c>
      <c r="U81" s="186"/>
      <c r="V81" s="209"/>
      <c r="W81" s="186"/>
    </row>
    <row r="82" s="213" customFormat="1" ht="58" hidden="1" customHeight="1" spans="1:23">
      <c r="A82" s="186">
        <v>79</v>
      </c>
      <c r="B82" s="205">
        <v>46109</v>
      </c>
      <c r="C82" s="188" t="s">
        <v>59</v>
      </c>
      <c r="D82" s="188" t="s">
        <v>109</v>
      </c>
      <c r="E82" s="188" t="s">
        <v>110</v>
      </c>
      <c r="F82" s="216">
        <v>1946902.65</v>
      </c>
      <c r="G82" s="188"/>
      <c r="H82" s="188" t="s">
        <v>34</v>
      </c>
      <c r="I82" s="188" t="s">
        <v>35</v>
      </c>
      <c r="J82" s="186"/>
      <c r="K82" s="191">
        <v>0.7</v>
      </c>
      <c r="L82" s="191">
        <v>0.3</v>
      </c>
      <c r="M82" s="186"/>
      <c r="N82" s="186">
        <f t="shared" si="12"/>
        <v>1362831.855</v>
      </c>
      <c r="O82" s="186">
        <f t="shared" si="8"/>
        <v>584070.795</v>
      </c>
      <c r="P82" s="186"/>
      <c r="Q82" s="186">
        <v>584070.795</v>
      </c>
      <c r="R82" s="186" t="s">
        <v>60</v>
      </c>
      <c r="S82" s="209">
        <v>1</v>
      </c>
      <c r="T82" s="186">
        <f t="shared" si="14"/>
        <v>584070.795</v>
      </c>
      <c r="U82" s="186"/>
      <c r="V82" s="209"/>
      <c r="W82" s="186"/>
    </row>
    <row r="83" s="213" customFormat="1" ht="58" customHeight="1" spans="1:23">
      <c r="A83" s="186">
        <v>80</v>
      </c>
      <c r="B83" s="205">
        <v>46109</v>
      </c>
      <c r="C83" s="188" t="s">
        <v>204</v>
      </c>
      <c r="D83" s="188" t="s">
        <v>94</v>
      </c>
      <c r="E83" s="188" t="s">
        <v>95</v>
      </c>
      <c r="F83" s="216">
        <v>2654867.26</v>
      </c>
      <c r="G83" s="188"/>
      <c r="H83" s="188" t="s">
        <v>35</v>
      </c>
      <c r="I83" s="188" t="s">
        <v>64</v>
      </c>
      <c r="J83" s="186" t="s">
        <v>70</v>
      </c>
      <c r="K83" s="191">
        <v>0.5</v>
      </c>
      <c r="L83" s="191">
        <v>0.3</v>
      </c>
      <c r="M83" s="186">
        <v>0.2</v>
      </c>
      <c r="N83" s="186">
        <f t="shared" si="12"/>
        <v>1327433.63</v>
      </c>
      <c r="O83" s="186">
        <f t="shared" si="8"/>
        <v>796460.178</v>
      </c>
      <c r="P83" s="186">
        <f>F83*M83</f>
        <v>530973.452</v>
      </c>
      <c r="Q83" s="186">
        <v>1327433.63</v>
      </c>
      <c r="R83" s="186" t="s">
        <v>47</v>
      </c>
      <c r="S83" s="209">
        <v>1</v>
      </c>
      <c r="T83" s="186">
        <f t="shared" si="14"/>
        <v>1327433.63</v>
      </c>
      <c r="U83" s="186"/>
      <c r="V83" s="209"/>
      <c r="W83" s="186"/>
    </row>
    <row r="84" s="213" customFormat="1" ht="58" customHeight="1" spans="1:23">
      <c r="A84" s="186">
        <v>81</v>
      </c>
      <c r="B84" s="205">
        <v>46109</v>
      </c>
      <c r="C84" s="188" t="s">
        <v>205</v>
      </c>
      <c r="D84" s="188" t="s">
        <v>206</v>
      </c>
      <c r="E84" s="188" t="s">
        <v>207</v>
      </c>
      <c r="F84" s="216">
        <v>35555.66</v>
      </c>
      <c r="G84" s="188"/>
      <c r="H84" s="188" t="s">
        <v>35</v>
      </c>
      <c r="I84" s="188"/>
      <c r="J84" s="186"/>
      <c r="K84" s="191">
        <v>1</v>
      </c>
      <c r="L84" s="191"/>
      <c r="M84" s="186"/>
      <c r="N84" s="186">
        <f t="shared" si="12"/>
        <v>35555.66</v>
      </c>
      <c r="O84" s="186"/>
      <c r="P84" s="186"/>
      <c r="Q84" s="186">
        <v>35555.66</v>
      </c>
      <c r="R84" s="186" t="s">
        <v>54</v>
      </c>
      <c r="S84" s="209">
        <v>1</v>
      </c>
      <c r="T84" s="186">
        <f t="shared" ref="T84:T92" si="15">Q84*S84</f>
        <v>35555.66</v>
      </c>
      <c r="U84" s="186"/>
      <c r="V84" s="209"/>
      <c r="W84" s="186"/>
    </row>
    <row r="85" s="213" customFormat="1" ht="58" customHeight="1" spans="1:23">
      <c r="A85" s="186">
        <v>82</v>
      </c>
      <c r="B85" s="205">
        <v>46109</v>
      </c>
      <c r="C85" s="188" t="s">
        <v>208</v>
      </c>
      <c r="D85" s="188" t="s">
        <v>124</v>
      </c>
      <c r="E85" s="188" t="s">
        <v>125</v>
      </c>
      <c r="F85" s="216">
        <v>9930.19</v>
      </c>
      <c r="G85" s="188"/>
      <c r="H85" s="188" t="s">
        <v>35</v>
      </c>
      <c r="I85" s="188"/>
      <c r="J85" s="186"/>
      <c r="K85" s="191">
        <v>1</v>
      </c>
      <c r="L85" s="191"/>
      <c r="M85" s="186"/>
      <c r="N85" s="186">
        <f t="shared" si="12"/>
        <v>9930.19</v>
      </c>
      <c r="O85" s="186"/>
      <c r="P85" s="186"/>
      <c r="Q85" s="186">
        <v>9930.19</v>
      </c>
      <c r="R85" s="186" t="s">
        <v>41</v>
      </c>
      <c r="S85" s="209">
        <v>1</v>
      </c>
      <c r="T85" s="186">
        <f t="shared" si="15"/>
        <v>9930.19</v>
      </c>
      <c r="U85" s="186"/>
      <c r="V85" s="209"/>
      <c r="W85" s="186"/>
    </row>
    <row r="86" s="213" customFormat="1" ht="58" customHeight="1" spans="1:23">
      <c r="A86" s="186">
        <v>83</v>
      </c>
      <c r="B86" s="205">
        <v>46109</v>
      </c>
      <c r="C86" s="188" t="s">
        <v>209</v>
      </c>
      <c r="D86" s="188" t="s">
        <v>210</v>
      </c>
      <c r="E86" s="188" t="s">
        <v>211</v>
      </c>
      <c r="F86" s="216">
        <v>1283185.84</v>
      </c>
      <c r="G86" s="188"/>
      <c r="H86" s="188" t="s">
        <v>35</v>
      </c>
      <c r="I86" s="188"/>
      <c r="J86" s="186"/>
      <c r="K86" s="191">
        <v>1</v>
      </c>
      <c r="L86" s="191"/>
      <c r="M86" s="186"/>
      <c r="N86" s="186">
        <f t="shared" si="12"/>
        <v>1283185.84</v>
      </c>
      <c r="O86" s="186"/>
      <c r="P86" s="186"/>
      <c r="Q86" s="186">
        <v>1283185.84</v>
      </c>
      <c r="R86" s="186" t="s">
        <v>41</v>
      </c>
      <c r="S86" s="209">
        <v>1</v>
      </c>
      <c r="T86" s="186">
        <f t="shared" si="15"/>
        <v>1283185.84</v>
      </c>
      <c r="U86" s="186"/>
      <c r="V86" s="209"/>
      <c r="W86" s="186"/>
    </row>
    <row r="87" s="213" customFormat="1" ht="58" customHeight="1" spans="1:23">
      <c r="A87" s="186">
        <v>84</v>
      </c>
      <c r="B87" s="205">
        <v>46111</v>
      </c>
      <c r="C87" s="188" t="s">
        <v>154</v>
      </c>
      <c r="D87" s="188" t="s">
        <v>155</v>
      </c>
      <c r="E87" s="188" t="s">
        <v>156</v>
      </c>
      <c r="F87" s="216">
        <v>1709402.65</v>
      </c>
      <c r="G87" s="188"/>
      <c r="H87" s="188" t="s">
        <v>35</v>
      </c>
      <c r="I87" s="188" t="s">
        <v>34</v>
      </c>
      <c r="J87" s="186"/>
      <c r="K87" s="191">
        <v>0.7</v>
      </c>
      <c r="L87" s="191">
        <v>0.3</v>
      </c>
      <c r="M87" s="186"/>
      <c r="N87" s="186">
        <f t="shared" si="12"/>
        <v>1196581.855</v>
      </c>
      <c r="O87" s="186">
        <f t="shared" ref="O87:O91" si="16">F87*L87</f>
        <v>512820.795</v>
      </c>
      <c r="P87" s="186"/>
      <c r="Q87" s="186">
        <v>1196581.855</v>
      </c>
      <c r="R87" s="186" t="s">
        <v>66</v>
      </c>
      <c r="S87" s="209">
        <v>0.6</v>
      </c>
      <c r="T87" s="186">
        <f t="shared" si="15"/>
        <v>717949.113</v>
      </c>
      <c r="U87" s="186" t="s">
        <v>65</v>
      </c>
      <c r="V87" s="209">
        <v>0.4</v>
      </c>
      <c r="W87" s="186">
        <f t="shared" ref="W87:W91" si="17">Q87*V87</f>
        <v>478632.742</v>
      </c>
    </row>
    <row r="88" s="213" customFormat="1" ht="58" customHeight="1" spans="1:23">
      <c r="A88" s="186">
        <v>85</v>
      </c>
      <c r="B88" s="205">
        <v>46111</v>
      </c>
      <c r="C88" s="188" t="s">
        <v>161</v>
      </c>
      <c r="D88" s="188" t="s">
        <v>162</v>
      </c>
      <c r="E88" s="188" t="s">
        <v>163</v>
      </c>
      <c r="F88" s="216">
        <v>1483716.81</v>
      </c>
      <c r="G88" s="188"/>
      <c r="H88" s="188" t="s">
        <v>35</v>
      </c>
      <c r="I88" s="188" t="s">
        <v>34</v>
      </c>
      <c r="J88" s="186"/>
      <c r="K88" s="191">
        <v>0.7</v>
      </c>
      <c r="L88" s="191">
        <v>0.3</v>
      </c>
      <c r="M88" s="186"/>
      <c r="N88" s="186">
        <f t="shared" si="12"/>
        <v>1038601.767</v>
      </c>
      <c r="O88" s="186">
        <f t="shared" si="16"/>
        <v>445115.043</v>
      </c>
      <c r="P88" s="186"/>
      <c r="Q88" s="186">
        <v>904084.069</v>
      </c>
      <c r="R88" s="186" t="s">
        <v>66</v>
      </c>
      <c r="S88" s="209">
        <v>0.6</v>
      </c>
      <c r="T88" s="186">
        <f t="shared" si="15"/>
        <v>542450.4414</v>
      </c>
      <c r="U88" s="186" t="s">
        <v>65</v>
      </c>
      <c r="V88" s="209">
        <v>0.4</v>
      </c>
      <c r="W88" s="186">
        <f t="shared" si="17"/>
        <v>361633.6276</v>
      </c>
    </row>
    <row r="89" s="213" customFormat="1" ht="58" customHeight="1" spans="1:23">
      <c r="A89" s="186">
        <v>86</v>
      </c>
      <c r="B89" s="205">
        <v>46111</v>
      </c>
      <c r="C89" s="188" t="s">
        <v>212</v>
      </c>
      <c r="D89" s="188" t="s">
        <v>213</v>
      </c>
      <c r="E89" s="188" t="s">
        <v>214</v>
      </c>
      <c r="F89" s="216">
        <v>540728.76</v>
      </c>
      <c r="G89" s="188"/>
      <c r="H89" s="188" t="s">
        <v>35</v>
      </c>
      <c r="I89" s="188" t="s">
        <v>34</v>
      </c>
      <c r="J89" s="186"/>
      <c r="K89" s="191">
        <v>0.7</v>
      </c>
      <c r="L89" s="191">
        <v>0.3</v>
      </c>
      <c r="M89" s="186"/>
      <c r="N89" s="186">
        <f t="shared" si="12"/>
        <v>378510.132</v>
      </c>
      <c r="O89" s="186">
        <f t="shared" si="16"/>
        <v>162218.628</v>
      </c>
      <c r="P89" s="186"/>
      <c r="Q89" s="186">
        <v>378510.132</v>
      </c>
      <c r="R89" s="186" t="s">
        <v>41</v>
      </c>
      <c r="S89" s="209">
        <v>1</v>
      </c>
      <c r="T89" s="186">
        <f t="shared" si="15"/>
        <v>378510.132</v>
      </c>
      <c r="U89" s="186"/>
      <c r="V89" s="209"/>
      <c r="W89" s="186"/>
    </row>
    <row r="90" s="213" customFormat="1" ht="58" hidden="1" customHeight="1" spans="1:23">
      <c r="A90" s="186">
        <v>87</v>
      </c>
      <c r="B90" s="205">
        <v>46111</v>
      </c>
      <c r="C90" s="188" t="s">
        <v>215</v>
      </c>
      <c r="D90" s="188" t="s">
        <v>216</v>
      </c>
      <c r="E90" s="188" t="s">
        <v>217</v>
      </c>
      <c r="F90" s="216">
        <v>32831858.41</v>
      </c>
      <c r="G90" s="188"/>
      <c r="H90" s="188" t="s">
        <v>70</v>
      </c>
      <c r="I90" s="188" t="s">
        <v>35</v>
      </c>
      <c r="J90" s="186"/>
      <c r="K90" s="191">
        <v>0.7</v>
      </c>
      <c r="L90" s="191">
        <v>0.3</v>
      </c>
      <c r="M90" s="186"/>
      <c r="N90" s="186">
        <f t="shared" si="12"/>
        <v>22982300.887</v>
      </c>
      <c r="O90" s="186">
        <f t="shared" si="16"/>
        <v>9849557.523</v>
      </c>
      <c r="P90" s="186"/>
      <c r="Q90" s="186">
        <v>9849557.523</v>
      </c>
      <c r="R90" s="186" t="s">
        <v>36</v>
      </c>
      <c r="S90" s="209">
        <v>1</v>
      </c>
      <c r="T90" s="186">
        <f t="shared" si="15"/>
        <v>9849557.523</v>
      </c>
      <c r="U90" s="186"/>
      <c r="V90" s="209"/>
      <c r="W90" s="186"/>
    </row>
    <row r="91" s="213" customFormat="1" ht="58" customHeight="1" spans="1:23">
      <c r="A91" s="186">
        <v>88</v>
      </c>
      <c r="B91" s="205">
        <v>46111</v>
      </c>
      <c r="C91" s="188" t="s">
        <v>154</v>
      </c>
      <c r="D91" s="188" t="s">
        <v>155</v>
      </c>
      <c r="E91" s="188" t="s">
        <v>156</v>
      </c>
      <c r="F91" s="216">
        <v>475951.33</v>
      </c>
      <c r="G91" s="188"/>
      <c r="H91" s="188" t="s">
        <v>35</v>
      </c>
      <c r="I91" s="188" t="s">
        <v>34</v>
      </c>
      <c r="J91" s="186"/>
      <c r="K91" s="191">
        <v>0.7</v>
      </c>
      <c r="L91" s="191">
        <v>0.3</v>
      </c>
      <c r="M91" s="186"/>
      <c r="N91" s="186">
        <f t="shared" si="12"/>
        <v>333165.931</v>
      </c>
      <c r="O91" s="186">
        <f t="shared" si="16"/>
        <v>142785.399</v>
      </c>
      <c r="P91" s="186"/>
      <c r="Q91" s="186">
        <v>333165.931</v>
      </c>
      <c r="R91" s="186" t="s">
        <v>66</v>
      </c>
      <c r="S91" s="209">
        <v>0.6</v>
      </c>
      <c r="T91" s="186">
        <f t="shared" si="15"/>
        <v>199899.5586</v>
      </c>
      <c r="U91" s="186" t="s">
        <v>65</v>
      </c>
      <c r="V91" s="209">
        <v>0.4</v>
      </c>
      <c r="W91" s="186">
        <f t="shared" si="17"/>
        <v>133266.3724</v>
      </c>
    </row>
    <row r="92" s="213" customFormat="1" ht="58" hidden="1" customHeight="1" spans="1:23">
      <c r="A92" s="186">
        <v>89</v>
      </c>
      <c r="B92" s="205">
        <v>46111</v>
      </c>
      <c r="C92" s="188" t="s">
        <v>85</v>
      </c>
      <c r="D92" s="188" t="s">
        <v>85</v>
      </c>
      <c r="E92" s="188" t="s">
        <v>218</v>
      </c>
      <c r="F92" s="216">
        <v>59936.28</v>
      </c>
      <c r="G92" s="188"/>
      <c r="H92" s="188" t="s">
        <v>35</v>
      </c>
      <c r="I92" s="188"/>
      <c r="J92" s="186"/>
      <c r="K92" s="191">
        <v>1</v>
      </c>
      <c r="L92" s="191"/>
      <c r="M92" s="186"/>
      <c r="N92" s="186">
        <f t="shared" si="12"/>
        <v>59936.28</v>
      </c>
      <c r="O92" s="186"/>
      <c r="P92" s="186"/>
      <c r="Q92" s="186">
        <v>59936.28</v>
      </c>
      <c r="R92" s="186" t="s">
        <v>41</v>
      </c>
      <c r="S92" s="209">
        <v>1</v>
      </c>
      <c r="T92" s="186">
        <f t="shared" si="15"/>
        <v>59936.28</v>
      </c>
      <c r="U92" s="186"/>
      <c r="V92" s="209"/>
      <c r="W92" s="186"/>
    </row>
  </sheetData>
  <autoFilter xmlns:etc="http://www.wps.cn/officeDocument/2017/etCustomData" ref="A3:Z92" etc:filterBottomFollowUsedRange="0">
    <filterColumn colId="1">
      <filters>
        <dateGroupItem year="2026" month="3" dateTimeGrouping="month"/>
      </filters>
    </filterColumn>
    <filterColumn colId="4">
      <filters>
        <filter val="ZT16J-HZDTSG15-13-DGJWXGZ-01"/>
        <filter val="1412-SHHL-SBZL-2025-001"/>
        <filter val="T11CG-HZ18HX13-2025-ZL-001"/>
        <filter val="CR22GD-GD-TZSYTL-SBWX-2025-002"/>
        <filter val="CR24FJ-SBCG-2026-01、CR24FJ-SBCG-2026-02"/>
        <filter val="ZT12-4HZDT12-02"/>
        <filter val="（2025-ZLPS-000088）-号"/>
        <filter val="CR2005-长赣物设-SC-25-007"/>
        <filter val="CGJX10-2-JXSBCG-2026-07"/>
        <filter val="CRCC-16J-JMWZ-2024-008"/>
        <filter val="CRCHI-GZ-2023-001、2024-ZLPS-000088"/>
        <filter val="SFEG（2023）二工162-D002（变更后编号：SFEG(2026)二工-C001）"/>
        <filter val="CRCHI-XS-2025-004（变更前CRCHI-XS-2023-056）"/>
        <filter val="CRCHI-GZ-2025-002（客户编号T11CG-HZ1808-2025-ZL-11）"/>
      </filters>
    </filterColumn>
    <filterColumn colId="7">
      <filters>
        <filter val="华东区域"/>
      </filters>
    </filterColumn>
    <extLst/>
  </autoFilter>
  <mergeCells count="19">
    <mergeCell ref="A1:W1"/>
    <mergeCell ref="R2:W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2050" r:id="rId3">
          <controlPr defaultSize="0" r:id="rId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2050" r:id="rId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4"/>
  <sheetViews>
    <sheetView zoomScale="85" zoomScaleNormal="85" workbookViewId="0">
      <selection activeCell="H85" sqref="H85"/>
    </sheetView>
  </sheetViews>
  <sheetFormatPr defaultColWidth="8.72727272727273" defaultRowHeight="14" outlineLevelCol="2"/>
  <cols>
    <col min="1" max="1" width="16.6363636363636"/>
    <col min="2" max="2" width="22.9090909090909"/>
    <col min="3" max="3" width="12.8181818181818"/>
  </cols>
  <sheetData>
    <row r="3" spans="1:3">
      <c r="A3" t="s">
        <v>127</v>
      </c>
      <c r="B3" t="s">
        <v>219</v>
      </c>
    </row>
    <row r="4" spans="1:3">
      <c r="A4" t="s">
        <v>220</v>
      </c>
      <c r="B4">
        <v>2218755.745</v>
      </c>
    </row>
    <row r="5" spans="1:3">
      <c r="A5" t="s">
        <v>221</v>
      </c>
      <c r="B5">
        <v>37735.85</v>
      </c>
    </row>
    <row r="6" spans="1:3">
      <c r="A6" t="s">
        <v>222</v>
      </c>
      <c r="B6">
        <v>1150442.48</v>
      </c>
    </row>
    <row r="7" spans="1:3">
      <c r="A7" t="s">
        <v>223</v>
      </c>
      <c r="B7">
        <v>0</v>
      </c>
    </row>
    <row r="8" spans="1:3">
      <c r="A8" s="211">
        <v>45667</v>
      </c>
      <c r="B8">
        <v>1284530.97</v>
      </c>
    </row>
    <row r="9" spans="1:3">
      <c r="A9" s="211">
        <v>45712</v>
      </c>
      <c r="B9">
        <v>2513778.54</v>
      </c>
    </row>
    <row r="10" spans="1:3">
      <c r="A10" s="211">
        <v>45716</v>
      </c>
      <c r="B10">
        <v>16885139.82</v>
      </c>
    </row>
    <row r="11" spans="1:3">
      <c r="A11" s="211">
        <v>45723</v>
      </c>
      <c r="B11">
        <v>104326.53</v>
      </c>
    </row>
    <row r="12" spans="1:3">
      <c r="A12" s="211">
        <v>45731</v>
      </c>
      <c r="B12">
        <v>165703.539</v>
      </c>
    </row>
    <row r="13" spans="1:3">
      <c r="A13" s="211">
        <v>45747</v>
      </c>
      <c r="B13">
        <v>9409305.303</v>
      </c>
      <c r="C13">
        <f>SUM(B8:B13)</f>
        <v>30362784.702</v>
      </c>
    </row>
    <row r="14" spans="1:3">
      <c r="A14" t="s">
        <v>224</v>
      </c>
    </row>
    <row r="15" spans="1:3">
      <c r="A15" t="s">
        <v>225</v>
      </c>
      <c r="B15">
        <v>33769718.777</v>
      </c>
      <c r="C15">
        <f>SUM(B14:B15)</f>
        <v>33769718.777</v>
      </c>
    </row>
    <row r="20" spans="3:3">
      <c r="C20">
        <f>SUM(B16:B20)</f>
        <v>0</v>
      </c>
    </row>
    <row r="25" spans="3:3">
      <c r="C25">
        <f>SUM(B22:B25)</f>
        <v>0</v>
      </c>
    </row>
    <row r="29" spans="3:3">
      <c r="C29">
        <f>SUM(B26:B29)</f>
        <v>0</v>
      </c>
    </row>
    <row r="36" spans="3:3">
      <c r="C36">
        <f>SUM(B30:B36)</f>
        <v>0</v>
      </c>
    </row>
    <row r="40" spans="3:3">
      <c r="C40">
        <f>SUM(B37:B40)</f>
        <v>0</v>
      </c>
    </row>
    <row r="45" spans="3:3">
      <c r="C45">
        <f>SUM(B41:B45)</f>
        <v>0</v>
      </c>
    </row>
    <row r="51" spans="3:3">
      <c r="C51">
        <f>SUM(B46:B51)</f>
        <v>0</v>
      </c>
    </row>
    <row r="52" spans="3:3">
      <c r="C52" t="e">
        <f>SUM(GETPIVOTDATA("归属华东金额",$A$3,"确认收入月日",DATE(2021,10,15)),B4:B7)</f>
        <v>#REF!</v>
      </c>
    </row>
    <row r="54" spans="3:3">
      <c r="C54">
        <f>SUM(B53:B54)</f>
        <v>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80"/>
  <sheetViews>
    <sheetView zoomScale="55" zoomScaleNormal="55" zoomScaleSheetLayoutView="55" workbookViewId="0">
      <pane xSplit="2" ySplit="3" topLeftCell="C58" activePane="bottomRight" state="frozen"/>
      <selection/>
      <selection pane="topRight"/>
      <selection pane="bottomLeft"/>
      <selection pane="bottomRight" activeCell="I54" sqref="I54:J62"/>
    </sheetView>
  </sheetViews>
  <sheetFormatPr defaultColWidth="9" defaultRowHeight="14"/>
  <cols>
    <col min="1" max="1" width="5.36363636363636" style="1" customWidth="1"/>
    <col min="2" max="2" width="21.9727272727273" style="167" customWidth="1"/>
    <col min="3" max="3" width="33.8818181818182" style="160" customWidth="1"/>
    <col min="4" max="4" width="21.8090909090909" style="1" customWidth="1"/>
    <col min="5" max="5" width="14" style="167" customWidth="1"/>
    <col min="6" max="6" width="17.1272727272727" style="168" customWidth="1"/>
    <col min="7" max="7" width="22.2727272727273" style="1" customWidth="1"/>
    <col min="8" max="9" width="17.1272727272727" style="167" customWidth="1"/>
    <col min="10" max="11" width="17.1272727272727" style="169" customWidth="1"/>
    <col min="12" max="12" width="17.1272727272727" style="170" customWidth="1"/>
    <col min="13" max="13" width="17.1272727272727" style="171" customWidth="1"/>
    <col min="14" max="14" width="17.1272727272727" style="169" customWidth="1"/>
    <col min="15" max="16" width="17.1272727272727" style="124" customWidth="1"/>
    <col min="17" max="17" width="17.1272727272727" style="170" customWidth="1"/>
    <col min="18" max="18" width="22.4727272727273" style="172" customWidth="1"/>
    <col min="19" max="19" width="17.0454545454545" style="167" customWidth="1"/>
    <col min="20" max="20" width="14.0909090909091" style="167" customWidth="1"/>
    <col min="21" max="21" width="16.3545454545455" style="167" customWidth="1"/>
    <col min="22" max="23" width="10.1181818181818" style="167" customWidth="1"/>
    <col min="24" max="24" width="11.8181818181818" style="167" customWidth="1"/>
    <col min="25" max="27" width="10.1181818181818" style="167" customWidth="1"/>
    <col min="28" max="30" width="10.1181818181818" style="173" customWidth="1"/>
    <col min="31" max="35" width="9" style="173"/>
    <col min="36" max="36" width="9.36363636363636" style="173"/>
    <col min="37" max="38" width="9" style="173"/>
    <col min="39" max="39" width="10.6363636363636" style="173"/>
    <col min="40" max="16384" width="9" style="173"/>
  </cols>
  <sheetData>
    <row r="1" ht="56" customHeight="1" spans="1:30">
      <c r="A1" s="174" t="s">
        <v>226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5"/>
      <c r="P1" s="175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</row>
    <row r="2" s="164" customFormat="1" ht="51" customHeight="1" spans="1:30">
      <c r="A2" s="176" t="s">
        <v>0</v>
      </c>
      <c r="B2" s="177" t="s">
        <v>227</v>
      </c>
      <c r="C2" s="177" t="s">
        <v>4</v>
      </c>
      <c r="D2" s="177" t="s">
        <v>2</v>
      </c>
      <c r="E2" s="177" t="s">
        <v>228</v>
      </c>
      <c r="F2" s="177" t="s">
        <v>3</v>
      </c>
      <c r="G2" s="177" t="s">
        <v>229</v>
      </c>
      <c r="H2" s="178" t="s">
        <v>12</v>
      </c>
      <c r="I2" s="177" t="s">
        <v>129</v>
      </c>
      <c r="J2" s="179" t="s">
        <v>130</v>
      </c>
      <c r="K2" s="179" t="s">
        <v>17</v>
      </c>
      <c r="L2" s="180" t="s">
        <v>18</v>
      </c>
      <c r="M2" s="180" t="s">
        <v>19</v>
      </c>
      <c r="N2" s="180" t="s">
        <v>20</v>
      </c>
      <c r="O2" s="181" t="s">
        <v>21</v>
      </c>
      <c r="P2" s="181" t="s">
        <v>22</v>
      </c>
      <c r="Q2" s="181" t="s">
        <v>23</v>
      </c>
      <c r="R2" s="182" t="s">
        <v>24</v>
      </c>
      <c r="S2" s="183" t="s">
        <v>25</v>
      </c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</row>
    <row r="3" s="164" customFormat="1" ht="59" customHeight="1" spans="1:30">
      <c r="A3" s="176"/>
      <c r="B3" s="177"/>
      <c r="C3" s="177"/>
      <c r="D3" s="177"/>
      <c r="E3" s="177"/>
      <c r="F3" s="177"/>
      <c r="G3" s="177"/>
      <c r="H3" s="184"/>
      <c r="I3" s="177"/>
      <c r="J3" s="179"/>
      <c r="K3" s="179"/>
      <c r="L3" s="180"/>
      <c r="M3" s="180"/>
      <c r="N3" s="180"/>
      <c r="O3" s="181"/>
      <c r="P3" s="181"/>
      <c r="Q3" s="181"/>
      <c r="R3" s="182"/>
      <c r="S3" s="183" t="s">
        <v>230</v>
      </c>
      <c r="T3" s="185" t="s">
        <v>27</v>
      </c>
      <c r="U3" s="185" t="s">
        <v>28</v>
      </c>
      <c r="V3" s="183" t="s">
        <v>231</v>
      </c>
      <c r="W3" s="185" t="s">
        <v>27</v>
      </c>
      <c r="X3" s="185" t="s">
        <v>28</v>
      </c>
      <c r="Y3" s="183" t="s">
        <v>232</v>
      </c>
      <c r="Z3" s="185" t="s">
        <v>27</v>
      </c>
      <c r="AA3" s="185" t="s">
        <v>28</v>
      </c>
      <c r="AB3" s="183" t="s">
        <v>233</v>
      </c>
      <c r="AC3" s="185" t="s">
        <v>27</v>
      </c>
      <c r="AD3" s="185" t="s">
        <v>28</v>
      </c>
    </row>
    <row r="4" s="165" customFormat="1" ht="49" hidden="1" customHeight="1" spans="1:30">
      <c r="A4" s="186">
        <v>1</v>
      </c>
      <c r="B4" s="187">
        <v>46038</v>
      </c>
      <c r="C4" s="188" t="s">
        <v>234</v>
      </c>
      <c r="D4" s="188" t="s">
        <v>235</v>
      </c>
      <c r="E4" s="189"/>
      <c r="F4" s="188" t="s">
        <v>236</v>
      </c>
      <c r="G4" s="190">
        <v>10000000</v>
      </c>
      <c r="H4" s="188"/>
      <c r="I4" s="188" t="s">
        <v>35</v>
      </c>
      <c r="J4" s="188"/>
      <c r="K4" s="186"/>
      <c r="L4" s="191">
        <v>1</v>
      </c>
      <c r="M4" s="192"/>
      <c r="N4" s="193"/>
      <c r="O4" s="194">
        <f t="shared" ref="O4:O64" si="0">G4*L4</f>
        <v>10000000</v>
      </c>
      <c r="P4" s="194"/>
      <c r="Q4" s="193"/>
      <c r="R4" s="195">
        <v>10000000</v>
      </c>
      <c r="S4" s="189" t="s">
        <v>55</v>
      </c>
      <c r="T4" s="191">
        <v>0.75</v>
      </c>
      <c r="U4" s="189">
        <f t="shared" ref="U4:U63" si="1">R4*T4</f>
        <v>7500000</v>
      </c>
      <c r="V4" s="189" t="s">
        <v>41</v>
      </c>
      <c r="W4" s="196">
        <v>0.25</v>
      </c>
      <c r="X4" s="189">
        <f>R4*W4</f>
        <v>2500000</v>
      </c>
      <c r="Y4" s="189"/>
      <c r="Z4" s="189"/>
      <c r="AA4" s="189"/>
      <c r="AB4" s="186"/>
      <c r="AC4" s="186"/>
      <c r="AD4" s="186"/>
    </row>
    <row r="5" s="166" customFormat="1" ht="49" hidden="1" customHeight="1" spans="1:30">
      <c r="A5" s="197">
        <v>2</v>
      </c>
      <c r="B5" s="198">
        <v>46038</v>
      </c>
      <c r="C5" s="199" t="s">
        <v>237</v>
      </c>
      <c r="D5" s="199" t="s">
        <v>238</v>
      </c>
      <c r="E5" s="197" t="s">
        <v>239</v>
      </c>
      <c r="F5" s="199" t="s">
        <v>240</v>
      </c>
      <c r="G5" s="200">
        <v>453680</v>
      </c>
      <c r="H5" s="199"/>
      <c r="I5" s="199" t="s">
        <v>35</v>
      </c>
      <c r="J5" s="199" t="s">
        <v>34</v>
      </c>
      <c r="K5" s="197"/>
      <c r="L5" s="201">
        <v>0.6</v>
      </c>
      <c r="M5" s="201">
        <v>0.4</v>
      </c>
      <c r="N5" s="202"/>
      <c r="O5" s="203">
        <f t="shared" si="0"/>
        <v>272208</v>
      </c>
      <c r="P5" s="203">
        <f>G5*M5</f>
        <v>181472</v>
      </c>
      <c r="Q5" s="202"/>
      <c r="R5" s="204">
        <v>272208</v>
      </c>
      <c r="S5" s="197" t="s">
        <v>66</v>
      </c>
      <c r="T5" s="201">
        <v>1</v>
      </c>
      <c r="U5" s="197">
        <f t="shared" si="1"/>
        <v>272208</v>
      </c>
      <c r="V5" s="197"/>
      <c r="W5" s="197"/>
      <c r="X5" s="197"/>
      <c r="Y5" s="197"/>
      <c r="Z5" s="197"/>
      <c r="AA5" s="197"/>
      <c r="AB5" s="197"/>
      <c r="AC5" s="197"/>
      <c r="AD5" s="197"/>
    </row>
    <row r="6" s="165" customFormat="1" ht="49" hidden="1" customHeight="1" spans="1:30">
      <c r="A6" s="186">
        <v>3</v>
      </c>
      <c r="B6" s="187">
        <v>46038</v>
      </c>
      <c r="C6" s="188" t="s">
        <v>59</v>
      </c>
      <c r="D6" s="188" t="s">
        <v>189</v>
      </c>
      <c r="E6" s="189"/>
      <c r="F6" s="188" t="s">
        <v>190</v>
      </c>
      <c r="G6" s="190">
        <v>2382000</v>
      </c>
      <c r="H6" s="188"/>
      <c r="I6" s="188" t="s">
        <v>34</v>
      </c>
      <c r="J6" s="188" t="s">
        <v>35</v>
      </c>
      <c r="K6" s="186"/>
      <c r="L6" s="191">
        <v>0.7</v>
      </c>
      <c r="M6" s="191">
        <v>0.3</v>
      </c>
      <c r="N6" s="193"/>
      <c r="O6" s="194">
        <f t="shared" si="0"/>
        <v>1667400</v>
      </c>
      <c r="P6" s="194">
        <f>G6*M6</f>
        <v>714600</v>
      </c>
      <c r="Q6" s="193"/>
      <c r="R6" s="195">
        <v>714600</v>
      </c>
      <c r="S6" s="189" t="s">
        <v>60</v>
      </c>
      <c r="T6" s="191">
        <v>1</v>
      </c>
      <c r="U6" s="189">
        <f t="shared" si="1"/>
        <v>714600</v>
      </c>
      <c r="V6" s="189"/>
      <c r="W6" s="189"/>
      <c r="X6" s="189"/>
      <c r="Y6" s="189"/>
      <c r="Z6" s="189"/>
      <c r="AA6" s="189"/>
      <c r="AB6" s="186"/>
      <c r="AC6" s="186"/>
      <c r="AD6" s="186"/>
    </row>
    <row r="7" s="165" customFormat="1" ht="49" hidden="1" customHeight="1" spans="1:30">
      <c r="A7" s="186">
        <v>4</v>
      </c>
      <c r="B7" s="187">
        <v>46053</v>
      </c>
      <c r="C7" s="188" t="s">
        <v>208</v>
      </c>
      <c r="D7" s="188" t="s">
        <v>124</v>
      </c>
      <c r="E7" s="189"/>
      <c r="F7" s="188" t="s">
        <v>125</v>
      </c>
      <c r="G7" s="190">
        <v>4000000</v>
      </c>
      <c r="H7" s="188"/>
      <c r="I7" s="188" t="s">
        <v>35</v>
      </c>
      <c r="J7" s="188"/>
      <c r="K7" s="186"/>
      <c r="L7" s="191">
        <v>1</v>
      </c>
      <c r="M7" s="191"/>
      <c r="N7" s="193"/>
      <c r="O7" s="194">
        <f t="shared" si="0"/>
        <v>4000000</v>
      </c>
      <c r="P7" s="194"/>
      <c r="Q7" s="193"/>
      <c r="R7" s="195">
        <v>4000000</v>
      </c>
      <c r="S7" s="189" t="s">
        <v>41</v>
      </c>
      <c r="T7" s="191">
        <v>1</v>
      </c>
      <c r="U7" s="189">
        <f t="shared" si="1"/>
        <v>4000000</v>
      </c>
      <c r="V7" s="189"/>
      <c r="W7" s="189"/>
      <c r="X7" s="189"/>
      <c r="Y7" s="189"/>
      <c r="Z7" s="189"/>
      <c r="AA7" s="189"/>
      <c r="AB7" s="186"/>
      <c r="AC7" s="186"/>
      <c r="AD7" s="186"/>
    </row>
    <row r="8" s="165" customFormat="1" ht="49" hidden="1" customHeight="1" spans="1:30">
      <c r="A8" s="186">
        <v>5</v>
      </c>
      <c r="B8" s="187">
        <v>46053</v>
      </c>
      <c r="C8" s="188" t="s">
        <v>209</v>
      </c>
      <c r="D8" s="188" t="s">
        <v>241</v>
      </c>
      <c r="E8" s="189"/>
      <c r="F8" s="188" t="s">
        <v>242</v>
      </c>
      <c r="G8" s="190">
        <v>184968</v>
      </c>
      <c r="H8" s="188"/>
      <c r="I8" s="188" t="s">
        <v>35</v>
      </c>
      <c r="J8" s="188"/>
      <c r="K8" s="186"/>
      <c r="L8" s="191">
        <v>1</v>
      </c>
      <c r="M8" s="191"/>
      <c r="N8" s="193"/>
      <c r="O8" s="194">
        <f t="shared" si="0"/>
        <v>184968</v>
      </c>
      <c r="P8" s="194"/>
      <c r="Q8" s="193"/>
      <c r="R8" s="195">
        <v>184968</v>
      </c>
      <c r="S8" s="189" t="s">
        <v>41</v>
      </c>
      <c r="T8" s="191">
        <v>1</v>
      </c>
      <c r="U8" s="189">
        <f t="shared" si="1"/>
        <v>184968</v>
      </c>
      <c r="V8" s="189"/>
      <c r="W8" s="189"/>
      <c r="X8" s="189"/>
      <c r="Y8" s="189"/>
      <c r="Z8" s="189"/>
      <c r="AA8" s="189"/>
      <c r="AB8" s="186"/>
      <c r="AC8" s="186"/>
      <c r="AD8" s="186"/>
    </row>
    <row r="9" s="165" customFormat="1" ht="49" hidden="1" customHeight="1" spans="1:30">
      <c r="A9" s="186">
        <v>6</v>
      </c>
      <c r="B9" s="187">
        <v>46053</v>
      </c>
      <c r="C9" s="188" t="s">
        <v>243</v>
      </c>
      <c r="D9" s="188" t="s">
        <v>244</v>
      </c>
      <c r="E9" s="189"/>
      <c r="F9" s="188" t="s">
        <v>245</v>
      </c>
      <c r="G9" s="190">
        <v>78800</v>
      </c>
      <c r="H9" s="188"/>
      <c r="I9" s="188" t="s">
        <v>35</v>
      </c>
      <c r="J9" s="188" t="s">
        <v>70</v>
      </c>
      <c r="K9" s="186"/>
      <c r="L9" s="191">
        <v>0.7</v>
      </c>
      <c r="M9" s="191">
        <v>0.3</v>
      </c>
      <c r="N9" s="193"/>
      <c r="O9" s="194">
        <f t="shared" si="0"/>
        <v>55160</v>
      </c>
      <c r="P9" s="194">
        <f>G9*M9</f>
        <v>23640</v>
      </c>
      <c r="Q9" s="193"/>
      <c r="R9" s="195">
        <v>55160</v>
      </c>
      <c r="S9" s="189" t="s">
        <v>66</v>
      </c>
      <c r="T9" s="191">
        <v>0.6</v>
      </c>
      <c r="U9" s="189">
        <f t="shared" si="1"/>
        <v>33096</v>
      </c>
      <c r="V9" s="189" t="s">
        <v>65</v>
      </c>
      <c r="W9" s="196">
        <v>0.4</v>
      </c>
      <c r="X9" s="189">
        <f>R9*W9</f>
        <v>22064</v>
      </c>
      <c r="Y9" s="189"/>
      <c r="Z9" s="189"/>
      <c r="AA9" s="189"/>
      <c r="AB9" s="186"/>
      <c r="AC9" s="186"/>
      <c r="AD9" s="186"/>
    </row>
    <row r="10" s="165" customFormat="1" ht="49" hidden="1" customHeight="1" spans="1:30">
      <c r="A10" s="186">
        <v>7</v>
      </c>
      <c r="B10" s="187">
        <v>46053</v>
      </c>
      <c r="C10" s="188" t="s">
        <v>201</v>
      </c>
      <c r="D10" s="188" t="s">
        <v>202</v>
      </c>
      <c r="E10" s="189"/>
      <c r="F10" s="188" t="s">
        <v>203</v>
      </c>
      <c r="G10" s="190">
        <v>5355000</v>
      </c>
      <c r="H10" s="188"/>
      <c r="I10" s="188" t="s">
        <v>35</v>
      </c>
      <c r="J10" s="188" t="s">
        <v>70</v>
      </c>
      <c r="K10" s="186"/>
      <c r="L10" s="191">
        <v>0.7</v>
      </c>
      <c r="M10" s="191">
        <v>0.3</v>
      </c>
      <c r="N10" s="193"/>
      <c r="O10" s="194">
        <f t="shared" si="0"/>
        <v>3748500</v>
      </c>
      <c r="P10" s="194">
        <f>G10*M10</f>
        <v>1606500</v>
      </c>
      <c r="Q10" s="193"/>
      <c r="R10" s="195">
        <v>3748500</v>
      </c>
      <c r="S10" s="189" t="s">
        <v>120</v>
      </c>
      <c r="T10" s="191">
        <v>1</v>
      </c>
      <c r="U10" s="189">
        <f t="shared" si="1"/>
        <v>3748500</v>
      </c>
      <c r="V10" s="189"/>
      <c r="W10" s="189"/>
      <c r="X10" s="189"/>
      <c r="Y10" s="189"/>
      <c r="Z10" s="189"/>
      <c r="AA10" s="189"/>
      <c r="AB10" s="186"/>
      <c r="AC10" s="186"/>
      <c r="AD10" s="186"/>
    </row>
    <row r="11" s="165" customFormat="1" ht="49" hidden="1" customHeight="1" spans="1:30">
      <c r="A11" s="186">
        <v>8</v>
      </c>
      <c r="B11" s="187">
        <v>46053</v>
      </c>
      <c r="C11" s="188" t="s">
        <v>139</v>
      </c>
      <c r="D11" s="188" t="s">
        <v>246</v>
      </c>
      <c r="E11" s="189"/>
      <c r="F11" s="188" t="s">
        <v>247</v>
      </c>
      <c r="G11" s="190">
        <v>2000000</v>
      </c>
      <c r="H11" s="188"/>
      <c r="I11" s="188" t="s">
        <v>35</v>
      </c>
      <c r="J11" s="188" t="s">
        <v>142</v>
      </c>
      <c r="K11" s="186"/>
      <c r="L11" s="191">
        <v>0.7</v>
      </c>
      <c r="M11" s="191">
        <v>0.3</v>
      </c>
      <c r="N11" s="193"/>
      <c r="O11" s="194">
        <f t="shared" si="0"/>
        <v>1400000</v>
      </c>
      <c r="P11" s="194">
        <f>G11*M11</f>
        <v>600000</v>
      </c>
      <c r="Q11" s="193"/>
      <c r="R11" s="195">
        <v>1400000</v>
      </c>
      <c r="S11" s="189" t="s">
        <v>66</v>
      </c>
      <c r="T11" s="191">
        <v>0.6</v>
      </c>
      <c r="U11" s="189">
        <f t="shared" si="1"/>
        <v>840000</v>
      </c>
      <c r="V11" s="189" t="s">
        <v>65</v>
      </c>
      <c r="W11" s="196">
        <v>0.4</v>
      </c>
      <c r="X11" s="189">
        <f>R11*W11</f>
        <v>560000</v>
      </c>
      <c r="Y11" s="189"/>
      <c r="Z11" s="189"/>
      <c r="AA11" s="189"/>
      <c r="AB11" s="186"/>
      <c r="AC11" s="186"/>
      <c r="AD11" s="186"/>
    </row>
    <row r="12" s="165" customFormat="1" ht="49" hidden="1" customHeight="1" spans="1:30">
      <c r="A12" s="186">
        <v>9</v>
      </c>
      <c r="B12" s="187">
        <v>46053</v>
      </c>
      <c r="C12" s="188" t="s">
        <v>63</v>
      </c>
      <c r="D12" s="188" t="s">
        <v>248</v>
      </c>
      <c r="E12" s="189"/>
      <c r="F12" s="188" t="s">
        <v>249</v>
      </c>
      <c r="G12" s="190">
        <v>1000000</v>
      </c>
      <c r="H12" s="188"/>
      <c r="I12" s="188" t="s">
        <v>35</v>
      </c>
      <c r="J12" s="188" t="s">
        <v>64</v>
      </c>
      <c r="K12" s="186"/>
      <c r="L12" s="191">
        <v>0.7</v>
      </c>
      <c r="M12" s="191">
        <v>0.3</v>
      </c>
      <c r="N12" s="193"/>
      <c r="O12" s="194">
        <f t="shared" si="0"/>
        <v>700000</v>
      </c>
      <c r="P12" s="194">
        <f>G12*M12</f>
        <v>300000</v>
      </c>
      <c r="Q12" s="193"/>
      <c r="R12" s="195">
        <v>700000</v>
      </c>
      <c r="S12" s="189" t="s">
        <v>65</v>
      </c>
      <c r="T12" s="191">
        <v>0.6</v>
      </c>
      <c r="U12" s="189">
        <f t="shared" si="1"/>
        <v>420000</v>
      </c>
      <c r="V12" s="189" t="s">
        <v>66</v>
      </c>
      <c r="W12" s="196">
        <v>0.4</v>
      </c>
      <c r="X12" s="189">
        <f>R12*W12</f>
        <v>280000</v>
      </c>
      <c r="Y12" s="189"/>
      <c r="Z12" s="189"/>
      <c r="AA12" s="189"/>
      <c r="AB12" s="186"/>
      <c r="AC12" s="186"/>
      <c r="AD12" s="186"/>
    </row>
    <row r="13" s="165" customFormat="1" ht="49" hidden="1" customHeight="1" spans="1:30">
      <c r="A13" s="186">
        <v>10</v>
      </c>
      <c r="B13" s="187">
        <v>46053</v>
      </c>
      <c r="C13" s="188" t="s">
        <v>49</v>
      </c>
      <c r="D13" s="188" t="s">
        <v>48</v>
      </c>
      <c r="E13" s="189"/>
      <c r="F13" s="188">
        <v>25082075</v>
      </c>
      <c r="G13" s="190">
        <v>6160000</v>
      </c>
      <c r="H13" s="188"/>
      <c r="I13" s="188" t="s">
        <v>35</v>
      </c>
      <c r="J13" s="188"/>
      <c r="K13" s="186"/>
      <c r="L13" s="191">
        <v>1</v>
      </c>
      <c r="M13" s="191"/>
      <c r="N13" s="193"/>
      <c r="O13" s="194">
        <f t="shared" si="0"/>
        <v>6160000</v>
      </c>
      <c r="P13" s="194"/>
      <c r="Q13" s="193"/>
      <c r="R13" s="195">
        <v>6160000</v>
      </c>
      <c r="S13" s="189" t="s">
        <v>41</v>
      </c>
      <c r="T13" s="191">
        <v>0.7</v>
      </c>
      <c r="U13" s="189">
        <f t="shared" si="1"/>
        <v>4312000</v>
      </c>
      <c r="V13" s="189" t="s">
        <v>42</v>
      </c>
      <c r="W13" s="196">
        <v>0.3</v>
      </c>
      <c r="X13" s="189">
        <f>R13*W13</f>
        <v>1848000</v>
      </c>
      <c r="Y13" s="189"/>
      <c r="Z13" s="189"/>
      <c r="AA13" s="189"/>
      <c r="AB13" s="186"/>
      <c r="AC13" s="186"/>
      <c r="AD13" s="186"/>
    </row>
    <row r="14" s="165" customFormat="1" ht="49" hidden="1" customHeight="1" spans="1:30">
      <c r="A14" s="186">
        <v>11</v>
      </c>
      <c r="B14" s="187">
        <v>46053</v>
      </c>
      <c r="C14" s="188" t="s">
        <v>250</v>
      </c>
      <c r="D14" s="188" t="s">
        <v>251</v>
      </c>
      <c r="E14" s="189"/>
      <c r="F14" s="188" t="s">
        <v>252</v>
      </c>
      <c r="G14" s="190">
        <v>213753</v>
      </c>
      <c r="H14" s="188"/>
      <c r="I14" s="188" t="s">
        <v>70</v>
      </c>
      <c r="J14" s="188" t="s">
        <v>35</v>
      </c>
      <c r="K14" s="186"/>
      <c r="L14" s="191">
        <v>0.7</v>
      </c>
      <c r="M14" s="191">
        <v>0.3</v>
      </c>
      <c r="N14" s="193"/>
      <c r="O14" s="194">
        <f t="shared" si="0"/>
        <v>149627.1</v>
      </c>
      <c r="P14" s="194">
        <f>G14*M14</f>
        <v>64125.9</v>
      </c>
      <c r="Q14" s="193"/>
      <c r="R14" s="195">
        <v>64125.9</v>
      </c>
      <c r="S14" s="189" t="s">
        <v>55</v>
      </c>
      <c r="T14" s="191">
        <v>1</v>
      </c>
      <c r="U14" s="189">
        <f t="shared" si="1"/>
        <v>64125.9</v>
      </c>
      <c r="V14" s="189"/>
      <c r="W14" s="189"/>
      <c r="X14" s="189"/>
      <c r="Y14" s="189"/>
      <c r="Z14" s="189"/>
      <c r="AA14" s="189"/>
      <c r="AB14" s="186"/>
      <c r="AC14" s="186"/>
      <c r="AD14" s="186"/>
    </row>
    <row r="15" s="165" customFormat="1" ht="49" hidden="1" customHeight="1" spans="1:30">
      <c r="A15" s="186">
        <v>12</v>
      </c>
      <c r="B15" s="187">
        <v>46053</v>
      </c>
      <c r="C15" s="188" t="s">
        <v>161</v>
      </c>
      <c r="D15" s="188" t="s">
        <v>253</v>
      </c>
      <c r="E15" s="189"/>
      <c r="F15" s="188" t="s">
        <v>254</v>
      </c>
      <c r="G15" s="190">
        <v>54597.4</v>
      </c>
      <c r="H15" s="188"/>
      <c r="I15" s="188" t="s">
        <v>35</v>
      </c>
      <c r="J15" s="188"/>
      <c r="K15" s="186"/>
      <c r="L15" s="191">
        <v>1</v>
      </c>
      <c r="M15" s="191"/>
      <c r="N15" s="193"/>
      <c r="O15" s="194">
        <f t="shared" si="0"/>
        <v>54597.4</v>
      </c>
      <c r="P15" s="194"/>
      <c r="Q15" s="193"/>
      <c r="R15" s="195">
        <v>54597.4</v>
      </c>
      <c r="S15" s="189" t="s">
        <v>41</v>
      </c>
      <c r="T15" s="191">
        <v>1</v>
      </c>
      <c r="U15" s="189">
        <f t="shared" si="1"/>
        <v>54597.4</v>
      </c>
      <c r="V15" s="189"/>
      <c r="W15" s="189"/>
      <c r="X15" s="189"/>
      <c r="Y15" s="189"/>
      <c r="Z15" s="189"/>
      <c r="AA15" s="189"/>
      <c r="AB15" s="186"/>
      <c r="AC15" s="186"/>
      <c r="AD15" s="186"/>
    </row>
    <row r="16" s="165" customFormat="1" ht="49" hidden="1" customHeight="1" spans="1:30">
      <c r="A16" s="186">
        <v>13</v>
      </c>
      <c r="B16" s="187">
        <v>46053</v>
      </c>
      <c r="C16" s="188" t="s">
        <v>143</v>
      </c>
      <c r="D16" s="188" t="s">
        <v>255</v>
      </c>
      <c r="E16" s="189"/>
      <c r="F16" s="188" t="s">
        <v>256</v>
      </c>
      <c r="G16" s="190">
        <v>1730351.64</v>
      </c>
      <c r="H16" s="188"/>
      <c r="I16" s="188" t="s">
        <v>35</v>
      </c>
      <c r="J16" s="188"/>
      <c r="K16" s="186"/>
      <c r="L16" s="191">
        <v>1</v>
      </c>
      <c r="M16" s="191"/>
      <c r="N16" s="193"/>
      <c r="O16" s="194">
        <f t="shared" si="0"/>
        <v>1730351.64</v>
      </c>
      <c r="P16" s="194"/>
      <c r="Q16" s="193"/>
      <c r="R16" s="195">
        <v>1730351.64</v>
      </c>
      <c r="S16" s="189" t="s">
        <v>41</v>
      </c>
      <c r="T16" s="191">
        <v>0.7</v>
      </c>
      <c r="U16" s="189">
        <f t="shared" si="1"/>
        <v>1211246.148</v>
      </c>
      <c r="V16" s="189" t="s">
        <v>42</v>
      </c>
      <c r="W16" s="196">
        <v>0.3</v>
      </c>
      <c r="X16" s="189">
        <f>R16*W16</f>
        <v>519105.492</v>
      </c>
      <c r="Y16" s="189"/>
      <c r="Z16" s="189"/>
      <c r="AA16" s="189"/>
      <c r="AB16" s="186"/>
      <c r="AC16" s="186"/>
      <c r="AD16" s="186"/>
    </row>
    <row r="17" s="165" customFormat="1" ht="49" hidden="1" customHeight="1" spans="1:30">
      <c r="A17" s="186">
        <v>14</v>
      </c>
      <c r="B17" s="187">
        <v>46053</v>
      </c>
      <c r="C17" s="188" t="s">
        <v>160</v>
      </c>
      <c r="D17" s="188" t="s">
        <v>77</v>
      </c>
      <c r="E17" s="189"/>
      <c r="F17" s="188" t="s">
        <v>77</v>
      </c>
      <c r="G17" s="190">
        <v>5547</v>
      </c>
      <c r="H17" s="188"/>
      <c r="I17" s="188" t="s">
        <v>35</v>
      </c>
      <c r="J17" s="188"/>
      <c r="K17" s="186"/>
      <c r="L17" s="191">
        <v>1</v>
      </c>
      <c r="M17" s="191"/>
      <c r="N17" s="193"/>
      <c r="O17" s="194">
        <f t="shared" si="0"/>
        <v>5547</v>
      </c>
      <c r="P17" s="194"/>
      <c r="Q17" s="193"/>
      <c r="R17" s="195">
        <v>5547</v>
      </c>
      <c r="S17" s="189" t="s">
        <v>41</v>
      </c>
      <c r="T17" s="191">
        <v>1</v>
      </c>
      <c r="U17" s="189">
        <f t="shared" si="1"/>
        <v>5547</v>
      </c>
      <c r="V17" s="189"/>
      <c r="W17" s="189"/>
      <c r="X17" s="189"/>
      <c r="Y17" s="189"/>
      <c r="Z17" s="189"/>
      <c r="AA17" s="189"/>
      <c r="AB17" s="186"/>
      <c r="AC17" s="186"/>
      <c r="AD17" s="186"/>
    </row>
    <row r="18" s="165" customFormat="1" ht="49" hidden="1" customHeight="1" spans="1:30">
      <c r="A18" s="186">
        <v>15</v>
      </c>
      <c r="B18" s="187">
        <v>46053</v>
      </c>
      <c r="C18" s="188" t="s">
        <v>69</v>
      </c>
      <c r="D18" s="188" t="s">
        <v>150</v>
      </c>
      <c r="E18" s="189" t="s">
        <v>239</v>
      </c>
      <c r="F18" s="188" t="s">
        <v>151</v>
      </c>
      <c r="G18" s="190">
        <v>3530000</v>
      </c>
      <c r="H18" s="188"/>
      <c r="I18" s="188" t="s">
        <v>35</v>
      </c>
      <c r="J18" s="188" t="s">
        <v>70</v>
      </c>
      <c r="K18" s="186"/>
      <c r="L18" s="191">
        <v>0.7</v>
      </c>
      <c r="M18" s="191">
        <v>0.3</v>
      </c>
      <c r="N18" s="193"/>
      <c r="O18" s="194">
        <f t="shared" si="0"/>
        <v>2471000</v>
      </c>
      <c r="P18" s="194">
        <f>G18*M18</f>
        <v>1059000</v>
      </c>
      <c r="Q18" s="193"/>
      <c r="R18" s="195">
        <v>2471000</v>
      </c>
      <c r="S18" s="189" t="s">
        <v>41</v>
      </c>
      <c r="T18" s="191">
        <v>1</v>
      </c>
      <c r="U18" s="189">
        <f t="shared" si="1"/>
        <v>2471000</v>
      </c>
      <c r="V18" s="189"/>
      <c r="W18" s="189"/>
      <c r="X18" s="189"/>
      <c r="Y18" s="189"/>
      <c r="Z18" s="189"/>
      <c r="AA18" s="189"/>
      <c r="AB18" s="186"/>
      <c r="AC18" s="186"/>
      <c r="AD18" s="186"/>
    </row>
    <row r="19" s="165" customFormat="1" ht="49" hidden="1" customHeight="1" spans="1:30">
      <c r="A19" s="186">
        <v>16</v>
      </c>
      <c r="B19" s="187">
        <v>46053</v>
      </c>
      <c r="C19" s="188" t="s">
        <v>139</v>
      </c>
      <c r="D19" s="188" t="s">
        <v>140</v>
      </c>
      <c r="E19" s="189" t="s">
        <v>239</v>
      </c>
      <c r="F19" s="188" t="s">
        <v>141</v>
      </c>
      <c r="G19" s="190">
        <v>399400</v>
      </c>
      <c r="H19" s="188"/>
      <c r="I19" s="188" t="s">
        <v>35</v>
      </c>
      <c r="J19" s="188" t="s">
        <v>142</v>
      </c>
      <c r="K19" s="186"/>
      <c r="L19" s="191">
        <v>0.7</v>
      </c>
      <c r="M19" s="191">
        <v>0.3</v>
      </c>
      <c r="N19" s="193"/>
      <c r="O19" s="194">
        <f t="shared" si="0"/>
        <v>279580</v>
      </c>
      <c r="P19" s="194">
        <f>G19*M19</f>
        <v>119820</v>
      </c>
      <c r="Q19" s="193"/>
      <c r="R19" s="195">
        <v>279580</v>
      </c>
      <c r="S19" s="189" t="s">
        <v>66</v>
      </c>
      <c r="T19" s="191">
        <v>0.6</v>
      </c>
      <c r="U19" s="189">
        <f t="shared" si="1"/>
        <v>167748</v>
      </c>
      <c r="V19" s="189" t="s">
        <v>65</v>
      </c>
      <c r="W19" s="196">
        <v>0.4</v>
      </c>
      <c r="X19" s="189">
        <f t="shared" ref="X19:X24" si="2">R19*W19</f>
        <v>111832</v>
      </c>
      <c r="Y19" s="189"/>
      <c r="Z19" s="189"/>
      <c r="AA19" s="189"/>
      <c r="AB19" s="186"/>
      <c r="AC19" s="186"/>
      <c r="AD19" s="186"/>
    </row>
    <row r="20" s="165" customFormat="1" ht="49" hidden="1" customHeight="1" spans="1:30">
      <c r="A20" s="186">
        <v>17</v>
      </c>
      <c r="B20" s="187">
        <v>46053</v>
      </c>
      <c r="C20" s="188" t="s">
        <v>257</v>
      </c>
      <c r="D20" s="188" t="s">
        <v>258</v>
      </c>
      <c r="E20" s="189" t="s">
        <v>239</v>
      </c>
      <c r="F20" s="188" t="s">
        <v>259</v>
      </c>
      <c r="G20" s="190">
        <v>6000000</v>
      </c>
      <c r="H20" s="188"/>
      <c r="I20" s="188" t="s">
        <v>35</v>
      </c>
      <c r="J20" s="188" t="s">
        <v>70</v>
      </c>
      <c r="K20" s="186"/>
      <c r="L20" s="191">
        <v>0.7</v>
      </c>
      <c r="M20" s="191">
        <v>0.3</v>
      </c>
      <c r="N20" s="193"/>
      <c r="O20" s="194">
        <f t="shared" si="0"/>
        <v>4200000</v>
      </c>
      <c r="P20" s="194">
        <f>G20*M20</f>
        <v>1800000</v>
      </c>
      <c r="Q20" s="193"/>
      <c r="R20" s="195">
        <v>4200000</v>
      </c>
      <c r="S20" s="189" t="s">
        <v>66</v>
      </c>
      <c r="T20" s="191">
        <v>0.6</v>
      </c>
      <c r="U20" s="189">
        <f t="shared" si="1"/>
        <v>2520000</v>
      </c>
      <c r="V20" s="189" t="s">
        <v>65</v>
      </c>
      <c r="W20" s="196">
        <v>0.4</v>
      </c>
      <c r="X20" s="189">
        <f t="shared" si="2"/>
        <v>1680000</v>
      </c>
      <c r="Y20" s="189"/>
      <c r="Z20" s="189"/>
      <c r="AA20" s="189"/>
      <c r="AB20" s="186"/>
      <c r="AC20" s="186"/>
      <c r="AD20" s="186"/>
    </row>
    <row r="21" s="165" customFormat="1" ht="49" hidden="1" customHeight="1" spans="1:30">
      <c r="A21" s="186">
        <v>18</v>
      </c>
      <c r="B21" s="187">
        <v>46053</v>
      </c>
      <c r="C21" s="188" t="s">
        <v>260</v>
      </c>
      <c r="D21" s="188" t="s">
        <v>261</v>
      </c>
      <c r="E21" s="189"/>
      <c r="F21" s="188" t="s">
        <v>262</v>
      </c>
      <c r="G21" s="190">
        <v>56000</v>
      </c>
      <c r="H21" s="188"/>
      <c r="I21" s="188" t="s">
        <v>35</v>
      </c>
      <c r="J21" s="188"/>
      <c r="K21" s="186"/>
      <c r="L21" s="191">
        <v>1</v>
      </c>
      <c r="M21" s="191"/>
      <c r="N21" s="193"/>
      <c r="O21" s="194">
        <f t="shared" si="0"/>
        <v>56000</v>
      </c>
      <c r="P21" s="194"/>
      <c r="Q21" s="193"/>
      <c r="R21" s="195">
        <v>56000</v>
      </c>
      <c r="S21" s="189" t="s">
        <v>65</v>
      </c>
      <c r="T21" s="191">
        <v>0.6</v>
      </c>
      <c r="U21" s="189">
        <f t="shared" si="1"/>
        <v>33600</v>
      </c>
      <c r="V21" s="189" t="s">
        <v>66</v>
      </c>
      <c r="W21" s="196">
        <v>0.4</v>
      </c>
      <c r="X21" s="189">
        <f t="shared" si="2"/>
        <v>22400</v>
      </c>
      <c r="Y21" s="189"/>
      <c r="Z21" s="189"/>
      <c r="AA21" s="189"/>
      <c r="AB21" s="186"/>
      <c r="AC21" s="186"/>
      <c r="AD21" s="186"/>
    </row>
    <row r="22" s="165" customFormat="1" ht="49" hidden="1" customHeight="1" spans="1:30">
      <c r="A22" s="186">
        <v>19</v>
      </c>
      <c r="B22" s="187">
        <v>46053</v>
      </c>
      <c r="C22" s="188" t="s">
        <v>49</v>
      </c>
      <c r="D22" s="188" t="s">
        <v>263</v>
      </c>
      <c r="E22" s="189"/>
      <c r="F22" s="188">
        <v>25082024</v>
      </c>
      <c r="G22" s="190">
        <v>10152000</v>
      </c>
      <c r="H22" s="188"/>
      <c r="I22" s="188" t="s">
        <v>35</v>
      </c>
      <c r="J22" s="188"/>
      <c r="K22" s="186"/>
      <c r="L22" s="191">
        <v>1</v>
      </c>
      <c r="M22" s="191"/>
      <c r="N22" s="193"/>
      <c r="O22" s="194">
        <f t="shared" si="0"/>
        <v>10152000</v>
      </c>
      <c r="P22" s="194"/>
      <c r="Q22" s="193"/>
      <c r="R22" s="195">
        <v>10152000</v>
      </c>
      <c r="S22" s="189" t="s">
        <v>41</v>
      </c>
      <c r="T22" s="191">
        <v>0.7</v>
      </c>
      <c r="U22" s="189">
        <f t="shared" si="1"/>
        <v>7106400</v>
      </c>
      <c r="V22" s="189" t="s">
        <v>42</v>
      </c>
      <c r="W22" s="196">
        <v>0.3</v>
      </c>
      <c r="X22" s="189">
        <f t="shared" si="2"/>
        <v>3045600</v>
      </c>
      <c r="Y22" s="189"/>
      <c r="Z22" s="189"/>
      <c r="AA22" s="189"/>
      <c r="AB22" s="186"/>
      <c r="AC22" s="186"/>
      <c r="AD22" s="186"/>
    </row>
    <row r="23" s="165" customFormat="1" ht="49" hidden="1" customHeight="1" spans="1:30">
      <c r="A23" s="186">
        <v>20</v>
      </c>
      <c r="B23" s="187">
        <v>46053</v>
      </c>
      <c r="C23" s="188" t="s">
        <v>143</v>
      </c>
      <c r="D23" s="188" t="s">
        <v>264</v>
      </c>
      <c r="E23" s="189"/>
      <c r="F23" s="188" t="s">
        <v>265</v>
      </c>
      <c r="G23" s="190">
        <v>5046500</v>
      </c>
      <c r="H23" s="188"/>
      <c r="I23" s="188" t="s">
        <v>35</v>
      </c>
      <c r="J23" s="188"/>
      <c r="K23" s="186"/>
      <c r="L23" s="191">
        <v>1</v>
      </c>
      <c r="M23" s="191"/>
      <c r="N23" s="193"/>
      <c r="O23" s="194">
        <f t="shared" si="0"/>
        <v>5046500</v>
      </c>
      <c r="P23" s="194"/>
      <c r="Q23" s="193"/>
      <c r="R23" s="195">
        <v>5046500</v>
      </c>
      <c r="S23" s="189" t="s">
        <v>41</v>
      </c>
      <c r="T23" s="191">
        <v>0.7</v>
      </c>
      <c r="U23" s="189">
        <f t="shared" si="1"/>
        <v>3532550</v>
      </c>
      <c r="V23" s="189" t="s">
        <v>42</v>
      </c>
      <c r="W23" s="196">
        <v>0.3</v>
      </c>
      <c r="X23" s="189">
        <f t="shared" si="2"/>
        <v>1513950</v>
      </c>
      <c r="Y23" s="189"/>
      <c r="Z23" s="189"/>
      <c r="AA23" s="189"/>
      <c r="AB23" s="186"/>
      <c r="AC23" s="186"/>
      <c r="AD23" s="186"/>
    </row>
    <row r="24" s="165" customFormat="1" ht="49" hidden="1" customHeight="1" spans="1:30">
      <c r="A24" s="186">
        <v>21</v>
      </c>
      <c r="B24" s="187">
        <v>46081</v>
      </c>
      <c r="C24" s="188" t="s">
        <v>266</v>
      </c>
      <c r="D24" s="188" t="s">
        <v>267</v>
      </c>
      <c r="E24" s="189" t="s">
        <v>239</v>
      </c>
      <c r="F24" s="188" t="s">
        <v>268</v>
      </c>
      <c r="G24" s="190">
        <v>2000000</v>
      </c>
      <c r="H24" s="188"/>
      <c r="I24" s="188" t="s">
        <v>35</v>
      </c>
      <c r="J24" s="188" t="s">
        <v>70</v>
      </c>
      <c r="K24" s="186"/>
      <c r="L24" s="191">
        <v>0.6</v>
      </c>
      <c r="M24" s="191">
        <v>0.4</v>
      </c>
      <c r="N24" s="193"/>
      <c r="O24" s="194">
        <f t="shared" si="0"/>
        <v>1200000</v>
      </c>
      <c r="P24" s="194">
        <f>G24*M24</f>
        <v>800000</v>
      </c>
      <c r="Q24" s="193"/>
      <c r="R24" s="195">
        <v>1200000</v>
      </c>
      <c r="S24" s="189" t="s">
        <v>65</v>
      </c>
      <c r="T24" s="191">
        <v>0.6</v>
      </c>
      <c r="U24" s="189">
        <f t="shared" si="1"/>
        <v>720000</v>
      </c>
      <c r="V24" s="189" t="s">
        <v>66</v>
      </c>
      <c r="W24" s="196">
        <v>0.4</v>
      </c>
      <c r="X24" s="189">
        <f t="shared" si="2"/>
        <v>480000</v>
      </c>
      <c r="Y24" s="189"/>
      <c r="Z24" s="189"/>
      <c r="AA24" s="189"/>
      <c r="AB24" s="186"/>
      <c r="AC24" s="186"/>
      <c r="AD24" s="186"/>
    </row>
    <row r="25" s="165" customFormat="1" ht="49" hidden="1" customHeight="1" spans="1:30">
      <c r="A25" s="186">
        <v>22</v>
      </c>
      <c r="B25" s="187">
        <v>46081</v>
      </c>
      <c r="C25" s="188" t="s">
        <v>269</v>
      </c>
      <c r="D25" s="188" t="s">
        <v>270</v>
      </c>
      <c r="E25" s="189"/>
      <c r="F25" s="188" t="s">
        <v>271</v>
      </c>
      <c r="G25" s="190">
        <v>150000</v>
      </c>
      <c r="H25" s="188"/>
      <c r="I25" s="188" t="s">
        <v>35</v>
      </c>
      <c r="J25" s="188"/>
      <c r="K25" s="186"/>
      <c r="L25" s="191">
        <v>1</v>
      </c>
      <c r="M25" s="191"/>
      <c r="N25" s="193"/>
      <c r="O25" s="194">
        <f t="shared" si="0"/>
        <v>150000</v>
      </c>
      <c r="P25" s="194"/>
      <c r="Q25" s="193"/>
      <c r="R25" s="195">
        <v>150000</v>
      </c>
      <c r="S25" s="189" t="s">
        <v>66</v>
      </c>
      <c r="T25" s="191">
        <v>1</v>
      </c>
      <c r="U25" s="189">
        <f t="shared" si="1"/>
        <v>150000</v>
      </c>
      <c r="V25" s="189"/>
      <c r="W25" s="196"/>
      <c r="X25" s="189"/>
      <c r="Y25" s="189"/>
      <c r="Z25" s="189"/>
      <c r="AA25" s="189"/>
      <c r="AB25" s="186"/>
      <c r="AC25" s="186"/>
      <c r="AD25" s="186"/>
    </row>
    <row r="26" s="165" customFormat="1" ht="49" hidden="1" customHeight="1" spans="1:30">
      <c r="A26" s="186">
        <v>23</v>
      </c>
      <c r="B26" s="187">
        <v>46081</v>
      </c>
      <c r="C26" s="188" t="s">
        <v>146</v>
      </c>
      <c r="D26" s="188" t="s">
        <v>79</v>
      </c>
      <c r="E26" s="189"/>
      <c r="F26" s="188" t="s">
        <v>80</v>
      </c>
      <c r="G26" s="190">
        <v>40000</v>
      </c>
      <c r="H26" s="188"/>
      <c r="I26" s="188" t="s">
        <v>35</v>
      </c>
      <c r="J26" s="188"/>
      <c r="K26" s="186"/>
      <c r="L26" s="191">
        <v>1</v>
      </c>
      <c r="M26" s="191"/>
      <c r="N26" s="193"/>
      <c r="O26" s="194">
        <f t="shared" si="0"/>
        <v>40000</v>
      </c>
      <c r="P26" s="194"/>
      <c r="Q26" s="193"/>
      <c r="R26" s="195">
        <v>40000</v>
      </c>
      <c r="S26" s="189" t="s">
        <v>60</v>
      </c>
      <c r="T26" s="191">
        <v>1</v>
      </c>
      <c r="U26" s="189">
        <f t="shared" si="1"/>
        <v>40000</v>
      </c>
      <c r="V26" s="189"/>
      <c r="W26" s="196"/>
      <c r="X26" s="189"/>
      <c r="Y26" s="189"/>
      <c r="Z26" s="189"/>
      <c r="AA26" s="189"/>
      <c r="AB26" s="186"/>
      <c r="AC26" s="186"/>
      <c r="AD26" s="186"/>
    </row>
    <row r="27" s="165" customFormat="1" ht="49" hidden="1" customHeight="1" spans="1:30">
      <c r="A27" s="186">
        <v>24</v>
      </c>
      <c r="B27" s="187">
        <v>46081</v>
      </c>
      <c r="C27" s="188" t="s">
        <v>146</v>
      </c>
      <c r="D27" s="188" t="s">
        <v>152</v>
      </c>
      <c r="E27" s="189"/>
      <c r="F27" s="188" t="s">
        <v>153</v>
      </c>
      <c r="G27" s="190">
        <v>1073502</v>
      </c>
      <c r="H27" s="188"/>
      <c r="I27" s="188" t="s">
        <v>35</v>
      </c>
      <c r="J27" s="188"/>
      <c r="K27" s="186"/>
      <c r="L27" s="191">
        <v>1</v>
      </c>
      <c r="M27" s="191"/>
      <c r="N27" s="193"/>
      <c r="O27" s="194">
        <f t="shared" si="0"/>
        <v>1073502</v>
      </c>
      <c r="P27" s="194"/>
      <c r="Q27" s="193"/>
      <c r="R27" s="195">
        <v>1073502</v>
      </c>
      <c r="S27" s="189" t="s">
        <v>60</v>
      </c>
      <c r="T27" s="191">
        <v>1</v>
      </c>
      <c r="U27" s="189">
        <f t="shared" si="1"/>
        <v>1073502</v>
      </c>
      <c r="V27" s="189"/>
      <c r="W27" s="196"/>
      <c r="X27" s="189"/>
      <c r="Y27" s="189"/>
      <c r="Z27" s="189"/>
      <c r="AA27" s="189"/>
      <c r="AB27" s="186"/>
      <c r="AC27" s="186"/>
      <c r="AD27" s="186"/>
    </row>
    <row r="28" s="165" customFormat="1" ht="49" hidden="1" customHeight="1" spans="1:30">
      <c r="A28" s="186">
        <v>25</v>
      </c>
      <c r="B28" s="187">
        <v>46081</v>
      </c>
      <c r="C28" s="188" t="s">
        <v>272</v>
      </c>
      <c r="D28" s="188" t="s">
        <v>253</v>
      </c>
      <c r="E28" s="189"/>
      <c r="F28" s="188" t="s">
        <v>254</v>
      </c>
      <c r="G28" s="190">
        <v>852</v>
      </c>
      <c r="H28" s="188"/>
      <c r="I28" s="188" t="s">
        <v>35</v>
      </c>
      <c r="J28" s="188"/>
      <c r="K28" s="186"/>
      <c r="L28" s="191">
        <v>1</v>
      </c>
      <c r="M28" s="191"/>
      <c r="N28" s="193"/>
      <c r="O28" s="194">
        <f t="shared" si="0"/>
        <v>852</v>
      </c>
      <c r="P28" s="194"/>
      <c r="Q28" s="193"/>
      <c r="R28" s="195">
        <v>852</v>
      </c>
      <c r="S28" s="189" t="s">
        <v>41</v>
      </c>
      <c r="T28" s="191">
        <v>1</v>
      </c>
      <c r="U28" s="189">
        <f t="shared" si="1"/>
        <v>852</v>
      </c>
      <c r="V28" s="189"/>
      <c r="W28" s="196"/>
      <c r="X28" s="189"/>
      <c r="Y28" s="189"/>
      <c r="Z28" s="189"/>
      <c r="AA28" s="189"/>
      <c r="AB28" s="186"/>
      <c r="AC28" s="186"/>
      <c r="AD28" s="186"/>
    </row>
    <row r="29" s="165" customFormat="1" ht="49" hidden="1" customHeight="1" spans="1:30">
      <c r="A29" s="186">
        <v>26</v>
      </c>
      <c r="B29" s="187">
        <v>46081</v>
      </c>
      <c r="C29" s="188" t="s">
        <v>40</v>
      </c>
      <c r="D29" s="188" t="s">
        <v>134</v>
      </c>
      <c r="E29" s="189" t="s">
        <v>239</v>
      </c>
      <c r="F29" s="188" t="s">
        <v>135</v>
      </c>
      <c r="G29" s="190">
        <v>1000000</v>
      </c>
      <c r="H29" s="188"/>
      <c r="I29" s="188" t="s">
        <v>35</v>
      </c>
      <c r="J29" s="188"/>
      <c r="K29" s="186"/>
      <c r="L29" s="191">
        <v>1</v>
      </c>
      <c r="M29" s="191"/>
      <c r="N29" s="193"/>
      <c r="O29" s="194">
        <f t="shared" si="0"/>
        <v>1000000</v>
      </c>
      <c r="P29" s="194"/>
      <c r="Q29" s="193"/>
      <c r="R29" s="195">
        <v>1000000</v>
      </c>
      <c r="S29" s="189" t="s">
        <v>41</v>
      </c>
      <c r="T29" s="191">
        <v>1</v>
      </c>
      <c r="U29" s="189">
        <f t="shared" si="1"/>
        <v>1000000</v>
      </c>
      <c r="V29" s="189"/>
      <c r="W29" s="196"/>
      <c r="X29" s="189"/>
      <c r="Y29" s="189"/>
      <c r="Z29" s="189"/>
      <c r="AA29" s="189"/>
      <c r="AB29" s="186"/>
      <c r="AC29" s="186"/>
      <c r="AD29" s="186"/>
    </row>
    <row r="30" s="165" customFormat="1" ht="49" hidden="1" customHeight="1" spans="1:30">
      <c r="A30" s="186">
        <v>27</v>
      </c>
      <c r="B30" s="187">
        <v>46081</v>
      </c>
      <c r="C30" s="188" t="s">
        <v>193</v>
      </c>
      <c r="D30" s="188" t="s">
        <v>88</v>
      </c>
      <c r="E30" s="189"/>
      <c r="F30" s="188" t="s">
        <v>89</v>
      </c>
      <c r="G30" s="190">
        <v>123039</v>
      </c>
      <c r="H30" s="188"/>
      <c r="I30" s="188" t="s">
        <v>35</v>
      </c>
      <c r="J30" s="188"/>
      <c r="K30" s="186"/>
      <c r="L30" s="191">
        <v>1</v>
      </c>
      <c r="M30" s="191"/>
      <c r="N30" s="193"/>
      <c r="O30" s="194">
        <f t="shared" si="0"/>
        <v>123039</v>
      </c>
      <c r="P30" s="194"/>
      <c r="Q30" s="193"/>
      <c r="R30" s="195">
        <v>123039</v>
      </c>
      <c r="S30" s="189" t="s">
        <v>41</v>
      </c>
      <c r="T30" s="191">
        <v>1</v>
      </c>
      <c r="U30" s="189">
        <f t="shared" si="1"/>
        <v>123039</v>
      </c>
      <c r="V30" s="189"/>
      <c r="W30" s="196"/>
      <c r="X30" s="189"/>
      <c r="Y30" s="189"/>
      <c r="Z30" s="189"/>
      <c r="AA30" s="189"/>
      <c r="AB30" s="186"/>
      <c r="AC30" s="186"/>
      <c r="AD30" s="186"/>
    </row>
    <row r="31" s="165" customFormat="1" ht="49" hidden="1" customHeight="1" spans="1:30">
      <c r="A31" s="186">
        <v>28</v>
      </c>
      <c r="B31" s="187">
        <v>46081</v>
      </c>
      <c r="C31" s="188" t="s">
        <v>273</v>
      </c>
      <c r="D31" s="188" t="s">
        <v>274</v>
      </c>
      <c r="E31" s="189" t="s">
        <v>239</v>
      </c>
      <c r="F31" s="188" t="s">
        <v>275</v>
      </c>
      <c r="G31" s="190">
        <v>490000</v>
      </c>
      <c r="H31" s="188"/>
      <c r="I31" s="188" t="s">
        <v>35</v>
      </c>
      <c r="J31" s="188"/>
      <c r="K31" s="186"/>
      <c r="L31" s="191">
        <v>1</v>
      </c>
      <c r="M31" s="191"/>
      <c r="N31" s="193"/>
      <c r="O31" s="194">
        <f t="shared" si="0"/>
        <v>490000</v>
      </c>
      <c r="P31" s="194"/>
      <c r="Q31" s="193"/>
      <c r="R31" s="195">
        <v>490000</v>
      </c>
      <c r="S31" s="189" t="s">
        <v>54</v>
      </c>
      <c r="T31" s="191">
        <v>1</v>
      </c>
      <c r="U31" s="189">
        <f t="shared" si="1"/>
        <v>490000</v>
      </c>
      <c r="V31" s="189"/>
      <c r="W31" s="196"/>
      <c r="X31" s="189"/>
      <c r="Y31" s="189"/>
      <c r="Z31" s="189"/>
      <c r="AA31" s="189"/>
      <c r="AB31" s="186"/>
      <c r="AC31" s="186"/>
      <c r="AD31" s="186"/>
    </row>
    <row r="32" s="165" customFormat="1" ht="49" hidden="1" customHeight="1" spans="1:30">
      <c r="A32" s="186">
        <v>29</v>
      </c>
      <c r="B32" s="187">
        <v>46081</v>
      </c>
      <c r="C32" s="188" t="s">
        <v>143</v>
      </c>
      <c r="D32" s="188" t="s">
        <v>276</v>
      </c>
      <c r="E32" s="189"/>
      <c r="F32" s="188" t="s">
        <v>277</v>
      </c>
      <c r="G32" s="190">
        <v>6560000</v>
      </c>
      <c r="H32" s="188"/>
      <c r="I32" s="188" t="s">
        <v>35</v>
      </c>
      <c r="J32" s="188"/>
      <c r="K32" s="186"/>
      <c r="L32" s="191">
        <v>1</v>
      </c>
      <c r="M32" s="191"/>
      <c r="N32" s="193"/>
      <c r="O32" s="194">
        <f t="shared" si="0"/>
        <v>6560000</v>
      </c>
      <c r="P32" s="194"/>
      <c r="Q32" s="193"/>
      <c r="R32" s="195">
        <v>6560000</v>
      </c>
      <c r="S32" s="189" t="s">
        <v>41</v>
      </c>
      <c r="T32" s="191">
        <v>0.7</v>
      </c>
      <c r="U32" s="189">
        <f t="shared" si="1"/>
        <v>4592000</v>
      </c>
      <c r="V32" s="189" t="s">
        <v>42</v>
      </c>
      <c r="W32" s="196">
        <v>0.3</v>
      </c>
      <c r="X32" s="189">
        <f>R32*W32</f>
        <v>1968000</v>
      </c>
      <c r="Y32" s="189"/>
      <c r="Z32" s="189"/>
      <c r="AA32" s="189"/>
      <c r="AB32" s="186"/>
      <c r="AC32" s="186"/>
      <c r="AD32" s="186"/>
    </row>
    <row r="33" s="165" customFormat="1" ht="49" hidden="1" customHeight="1" spans="1:30">
      <c r="A33" s="186">
        <v>30</v>
      </c>
      <c r="B33" s="187">
        <v>46081</v>
      </c>
      <c r="C33" s="188" t="s">
        <v>278</v>
      </c>
      <c r="D33" s="188" t="s">
        <v>279</v>
      </c>
      <c r="E33" s="189"/>
      <c r="F33" s="188" t="s">
        <v>280</v>
      </c>
      <c r="G33" s="190">
        <v>82681</v>
      </c>
      <c r="H33" s="188"/>
      <c r="I33" s="188" t="s">
        <v>35</v>
      </c>
      <c r="J33" s="188"/>
      <c r="K33" s="186"/>
      <c r="L33" s="191">
        <v>1</v>
      </c>
      <c r="M33" s="191"/>
      <c r="N33" s="193"/>
      <c r="O33" s="194">
        <f t="shared" si="0"/>
        <v>82681</v>
      </c>
      <c r="P33" s="194"/>
      <c r="Q33" s="193"/>
      <c r="R33" s="195">
        <v>82681</v>
      </c>
      <c r="S33" s="189" t="s">
        <v>54</v>
      </c>
      <c r="T33" s="191">
        <v>1</v>
      </c>
      <c r="U33" s="189">
        <f t="shared" si="1"/>
        <v>82681</v>
      </c>
      <c r="V33" s="189"/>
      <c r="W33" s="196"/>
      <c r="X33" s="189"/>
      <c r="Y33" s="189"/>
      <c r="Z33" s="189"/>
      <c r="AA33" s="189"/>
      <c r="AB33" s="186"/>
      <c r="AC33" s="186"/>
      <c r="AD33" s="186"/>
    </row>
    <row r="34" s="165" customFormat="1" ht="49" hidden="1" customHeight="1" spans="1:30">
      <c r="A34" s="186">
        <v>31</v>
      </c>
      <c r="B34" s="187">
        <v>46081</v>
      </c>
      <c r="C34" s="188" t="s">
        <v>131</v>
      </c>
      <c r="D34" s="188" t="s">
        <v>281</v>
      </c>
      <c r="E34" s="189"/>
      <c r="F34" s="188" t="s">
        <v>282</v>
      </c>
      <c r="G34" s="190">
        <v>71196</v>
      </c>
      <c r="H34" s="188"/>
      <c r="I34" s="188" t="s">
        <v>35</v>
      </c>
      <c r="J34" s="188"/>
      <c r="K34" s="186"/>
      <c r="L34" s="191">
        <v>1</v>
      </c>
      <c r="M34" s="191"/>
      <c r="N34" s="193"/>
      <c r="O34" s="194">
        <f t="shared" si="0"/>
        <v>71196</v>
      </c>
      <c r="P34" s="194"/>
      <c r="Q34" s="193"/>
      <c r="R34" s="195">
        <v>71196</v>
      </c>
      <c r="S34" s="189" t="s">
        <v>41</v>
      </c>
      <c r="T34" s="191">
        <v>1</v>
      </c>
      <c r="U34" s="189">
        <f t="shared" si="1"/>
        <v>71196</v>
      </c>
      <c r="V34" s="189"/>
      <c r="W34" s="196"/>
      <c r="X34" s="189"/>
      <c r="Y34" s="189"/>
      <c r="Z34" s="189"/>
      <c r="AA34" s="189"/>
      <c r="AB34" s="186"/>
      <c r="AC34" s="186"/>
      <c r="AD34" s="186"/>
    </row>
    <row r="35" s="165" customFormat="1" ht="49" hidden="1" customHeight="1" spans="1:30">
      <c r="A35" s="186">
        <v>32</v>
      </c>
      <c r="B35" s="187">
        <v>46081</v>
      </c>
      <c r="C35" s="188" t="s">
        <v>283</v>
      </c>
      <c r="D35" s="188" t="s">
        <v>284</v>
      </c>
      <c r="E35" s="189" t="s">
        <v>239</v>
      </c>
      <c r="F35" s="188" t="s">
        <v>285</v>
      </c>
      <c r="G35" s="190">
        <v>2000000</v>
      </c>
      <c r="H35" s="188"/>
      <c r="I35" s="188" t="s">
        <v>35</v>
      </c>
      <c r="J35" s="188" t="s">
        <v>34</v>
      </c>
      <c r="K35" s="186"/>
      <c r="L35" s="191">
        <v>0.7</v>
      </c>
      <c r="M35" s="191">
        <v>0.3</v>
      </c>
      <c r="N35" s="193"/>
      <c r="O35" s="194">
        <f t="shared" si="0"/>
        <v>1400000</v>
      </c>
      <c r="P35" s="194">
        <f>G35*M35</f>
        <v>600000</v>
      </c>
      <c r="Q35" s="193"/>
      <c r="R35" s="195">
        <v>1400000</v>
      </c>
      <c r="S35" s="189" t="s">
        <v>60</v>
      </c>
      <c r="T35" s="191">
        <v>1</v>
      </c>
      <c r="U35" s="189">
        <f t="shared" si="1"/>
        <v>1400000</v>
      </c>
      <c r="V35" s="189"/>
      <c r="W35" s="196"/>
      <c r="X35" s="189"/>
      <c r="Y35" s="189"/>
      <c r="Z35" s="189"/>
      <c r="AA35" s="189"/>
      <c r="AB35" s="186"/>
      <c r="AC35" s="186"/>
      <c r="AD35" s="186"/>
    </row>
    <row r="36" s="165" customFormat="1" ht="49" hidden="1" customHeight="1" spans="1:30">
      <c r="A36" s="186">
        <v>33</v>
      </c>
      <c r="B36" s="187">
        <v>46081</v>
      </c>
      <c r="C36" s="188" t="s">
        <v>136</v>
      </c>
      <c r="D36" s="188" t="s">
        <v>286</v>
      </c>
      <c r="E36" s="189" t="s">
        <v>239</v>
      </c>
      <c r="F36" s="188" t="s">
        <v>287</v>
      </c>
      <c r="G36" s="190">
        <v>212400</v>
      </c>
      <c r="H36" s="188"/>
      <c r="I36" s="188" t="s">
        <v>35</v>
      </c>
      <c r="J36" s="188"/>
      <c r="K36" s="186"/>
      <c r="L36" s="191">
        <v>1</v>
      </c>
      <c r="M36" s="191"/>
      <c r="N36" s="193"/>
      <c r="O36" s="194">
        <f t="shared" si="0"/>
        <v>212400</v>
      </c>
      <c r="P36" s="194"/>
      <c r="Q36" s="193"/>
      <c r="R36" s="195">
        <v>212400</v>
      </c>
      <c r="S36" s="189" t="s">
        <v>54</v>
      </c>
      <c r="T36" s="191">
        <v>1</v>
      </c>
      <c r="U36" s="189">
        <f t="shared" si="1"/>
        <v>212400</v>
      </c>
      <c r="V36" s="189"/>
      <c r="W36" s="196"/>
      <c r="X36" s="189"/>
      <c r="Y36" s="189"/>
      <c r="Z36" s="189"/>
      <c r="AA36" s="189"/>
      <c r="AB36" s="186"/>
      <c r="AC36" s="186"/>
      <c r="AD36" s="186"/>
    </row>
    <row r="37" s="165" customFormat="1" ht="49" hidden="1" customHeight="1" spans="1:30">
      <c r="A37" s="186">
        <v>34</v>
      </c>
      <c r="B37" s="187">
        <v>46081</v>
      </c>
      <c r="C37" s="188" t="s">
        <v>59</v>
      </c>
      <c r="D37" s="188" t="s">
        <v>288</v>
      </c>
      <c r="E37" s="189"/>
      <c r="F37" s="188" t="s">
        <v>289</v>
      </c>
      <c r="G37" s="190">
        <v>350000</v>
      </c>
      <c r="H37" s="188"/>
      <c r="I37" s="188" t="s">
        <v>34</v>
      </c>
      <c r="J37" s="188" t="s">
        <v>35</v>
      </c>
      <c r="K37" s="186"/>
      <c r="L37" s="191">
        <v>0.7</v>
      </c>
      <c r="M37" s="191">
        <v>0.3</v>
      </c>
      <c r="N37" s="193"/>
      <c r="O37" s="194">
        <f t="shared" si="0"/>
        <v>245000</v>
      </c>
      <c r="P37" s="194">
        <f>G37*M37</f>
        <v>105000</v>
      </c>
      <c r="Q37" s="193"/>
      <c r="R37" s="195">
        <v>105000</v>
      </c>
      <c r="S37" s="189" t="s">
        <v>60</v>
      </c>
      <c r="T37" s="191">
        <v>1</v>
      </c>
      <c r="U37" s="189">
        <f t="shared" si="1"/>
        <v>105000</v>
      </c>
      <c r="V37" s="189"/>
      <c r="W37" s="196"/>
      <c r="X37" s="189"/>
      <c r="Y37" s="189"/>
      <c r="Z37" s="189"/>
      <c r="AA37" s="189"/>
      <c r="AB37" s="186"/>
      <c r="AC37" s="186"/>
      <c r="AD37" s="186"/>
    </row>
    <row r="38" s="165" customFormat="1" ht="49" hidden="1" customHeight="1" spans="1:30">
      <c r="A38" s="186">
        <v>35</v>
      </c>
      <c r="B38" s="187">
        <v>46081</v>
      </c>
      <c r="C38" s="188" t="s">
        <v>234</v>
      </c>
      <c r="D38" s="188" t="s">
        <v>235</v>
      </c>
      <c r="E38" s="189"/>
      <c r="F38" s="188" t="s">
        <v>236</v>
      </c>
      <c r="G38" s="190">
        <v>81813569.93</v>
      </c>
      <c r="H38" s="188"/>
      <c r="I38" s="188" t="s">
        <v>35</v>
      </c>
      <c r="J38" s="188"/>
      <c r="K38" s="186"/>
      <c r="L38" s="191">
        <v>1</v>
      </c>
      <c r="M38" s="191"/>
      <c r="N38" s="193"/>
      <c r="O38" s="194">
        <f t="shared" si="0"/>
        <v>81813569.93</v>
      </c>
      <c r="P38" s="194"/>
      <c r="Q38" s="193"/>
      <c r="R38" s="195">
        <v>81813569.93</v>
      </c>
      <c r="S38" s="189" t="s">
        <v>55</v>
      </c>
      <c r="T38" s="191">
        <v>0.75</v>
      </c>
      <c r="U38" s="189">
        <f t="shared" si="1"/>
        <v>61360177.4475</v>
      </c>
      <c r="V38" s="189" t="s">
        <v>41</v>
      </c>
      <c r="W38" s="196">
        <v>0.25</v>
      </c>
      <c r="X38" s="189">
        <f>R38*W38</f>
        <v>20453392.4825</v>
      </c>
      <c r="Y38" s="189"/>
      <c r="Z38" s="189"/>
      <c r="AA38" s="189"/>
      <c r="AB38" s="186"/>
      <c r="AC38" s="186"/>
      <c r="AD38" s="186"/>
    </row>
    <row r="39" s="165" customFormat="1" ht="49" hidden="1" customHeight="1" spans="1:30">
      <c r="A39" s="186">
        <v>36</v>
      </c>
      <c r="B39" s="187">
        <v>46081</v>
      </c>
      <c r="C39" s="188" t="s">
        <v>154</v>
      </c>
      <c r="D39" s="188" t="s">
        <v>155</v>
      </c>
      <c r="E39" s="189"/>
      <c r="F39" s="188" t="s">
        <v>156</v>
      </c>
      <c r="G39" s="190">
        <v>2000000</v>
      </c>
      <c r="H39" s="188"/>
      <c r="I39" s="188" t="s">
        <v>35</v>
      </c>
      <c r="J39" s="188" t="s">
        <v>34</v>
      </c>
      <c r="K39" s="186"/>
      <c r="L39" s="191">
        <v>0.7</v>
      </c>
      <c r="M39" s="191">
        <v>0.3</v>
      </c>
      <c r="N39" s="193"/>
      <c r="O39" s="194">
        <f t="shared" si="0"/>
        <v>1400000</v>
      </c>
      <c r="P39" s="194">
        <f>G39*M39</f>
        <v>600000</v>
      </c>
      <c r="Q39" s="193"/>
      <c r="R39" s="195">
        <v>1400000</v>
      </c>
      <c r="S39" s="189" t="s">
        <v>66</v>
      </c>
      <c r="T39" s="191">
        <v>0.6</v>
      </c>
      <c r="U39" s="189">
        <f t="shared" si="1"/>
        <v>840000</v>
      </c>
      <c r="V39" s="189" t="s">
        <v>65</v>
      </c>
      <c r="W39" s="196">
        <v>0.4</v>
      </c>
      <c r="X39" s="189">
        <f>R39*W39</f>
        <v>560000</v>
      </c>
      <c r="Y39" s="189"/>
      <c r="Z39" s="189"/>
      <c r="AA39" s="189"/>
      <c r="AB39" s="186"/>
      <c r="AC39" s="186"/>
      <c r="AD39" s="186"/>
    </row>
    <row r="40" s="165" customFormat="1" ht="49" hidden="1" customHeight="1" spans="1:30">
      <c r="A40" s="186">
        <v>37</v>
      </c>
      <c r="B40" s="187">
        <v>46081</v>
      </c>
      <c r="C40" s="188" t="s">
        <v>63</v>
      </c>
      <c r="D40" s="188" t="s">
        <v>191</v>
      </c>
      <c r="E40" s="189"/>
      <c r="F40" s="188" t="s">
        <v>192</v>
      </c>
      <c r="G40" s="190">
        <v>1500000</v>
      </c>
      <c r="H40" s="188"/>
      <c r="I40" s="188" t="s">
        <v>35</v>
      </c>
      <c r="J40" s="188" t="s">
        <v>64</v>
      </c>
      <c r="K40" s="186"/>
      <c r="L40" s="191">
        <v>0.7</v>
      </c>
      <c r="M40" s="191">
        <v>0.3</v>
      </c>
      <c r="N40" s="193"/>
      <c r="O40" s="194">
        <f t="shared" si="0"/>
        <v>1050000</v>
      </c>
      <c r="P40" s="194">
        <f>G40*M40</f>
        <v>450000</v>
      </c>
      <c r="Q40" s="193"/>
      <c r="R40" s="195">
        <v>1050000</v>
      </c>
      <c r="S40" s="189" t="s">
        <v>47</v>
      </c>
      <c r="T40" s="191">
        <v>1</v>
      </c>
      <c r="U40" s="189">
        <f t="shared" si="1"/>
        <v>1050000</v>
      </c>
      <c r="V40" s="189"/>
      <c r="W40" s="196"/>
      <c r="X40" s="189"/>
      <c r="Y40" s="189"/>
      <c r="Z40" s="189"/>
      <c r="AA40" s="189"/>
      <c r="AB40" s="186"/>
      <c r="AC40" s="186"/>
      <c r="AD40" s="186"/>
    </row>
    <row r="41" s="165" customFormat="1" ht="49" hidden="1" customHeight="1" spans="1:30">
      <c r="A41" s="186">
        <v>38</v>
      </c>
      <c r="B41" s="187">
        <v>46081</v>
      </c>
      <c r="C41" s="188" t="s">
        <v>290</v>
      </c>
      <c r="D41" s="188" t="s">
        <v>291</v>
      </c>
      <c r="E41" s="189"/>
      <c r="F41" s="188" t="s">
        <v>292</v>
      </c>
      <c r="G41" s="190">
        <v>1368900.81</v>
      </c>
      <c r="H41" s="188"/>
      <c r="I41" s="188" t="s">
        <v>35</v>
      </c>
      <c r="J41" s="188" t="s">
        <v>142</v>
      </c>
      <c r="K41" s="186"/>
      <c r="L41" s="191">
        <v>0.7</v>
      </c>
      <c r="M41" s="191">
        <v>0.3</v>
      </c>
      <c r="N41" s="193"/>
      <c r="O41" s="194">
        <f t="shared" si="0"/>
        <v>958230.567</v>
      </c>
      <c r="P41" s="194">
        <f>G41*M41</f>
        <v>410670.243</v>
      </c>
      <c r="Q41" s="193"/>
      <c r="R41" s="195">
        <v>958230.567</v>
      </c>
      <c r="S41" s="189" t="s">
        <v>66</v>
      </c>
      <c r="T41" s="191">
        <v>0.6</v>
      </c>
      <c r="U41" s="189">
        <f t="shared" si="1"/>
        <v>574938.3402</v>
      </c>
      <c r="V41" s="189" t="s">
        <v>65</v>
      </c>
      <c r="W41" s="196">
        <v>0.4</v>
      </c>
      <c r="X41" s="189">
        <f>R41*W41</f>
        <v>383292.2268</v>
      </c>
      <c r="Y41" s="189"/>
      <c r="Z41" s="189"/>
      <c r="AA41" s="189"/>
      <c r="AB41" s="186"/>
      <c r="AC41" s="186"/>
      <c r="AD41" s="186"/>
    </row>
    <row r="42" s="165" customFormat="1" ht="49" hidden="1" customHeight="1" spans="1:30">
      <c r="A42" s="186">
        <v>39</v>
      </c>
      <c r="B42" s="187">
        <v>46081</v>
      </c>
      <c r="C42" s="188" t="s">
        <v>161</v>
      </c>
      <c r="D42" s="188" t="s">
        <v>162</v>
      </c>
      <c r="E42" s="189" t="s">
        <v>239</v>
      </c>
      <c r="F42" s="188" t="s">
        <v>293</v>
      </c>
      <c r="G42" s="190">
        <v>2000000</v>
      </c>
      <c r="H42" s="188"/>
      <c r="I42" s="188" t="s">
        <v>35</v>
      </c>
      <c r="J42" s="188" t="s">
        <v>34</v>
      </c>
      <c r="K42" s="186"/>
      <c r="L42" s="191">
        <v>0.7</v>
      </c>
      <c r="M42" s="191">
        <v>0.3</v>
      </c>
      <c r="N42" s="193"/>
      <c r="O42" s="194">
        <f t="shared" si="0"/>
        <v>1400000</v>
      </c>
      <c r="P42" s="194">
        <f>G42*M42</f>
        <v>600000</v>
      </c>
      <c r="Q42" s="193"/>
      <c r="R42" s="195">
        <v>1400000</v>
      </c>
      <c r="S42" s="189" t="s">
        <v>66</v>
      </c>
      <c r="T42" s="191">
        <v>0.6</v>
      </c>
      <c r="U42" s="189">
        <f t="shared" si="1"/>
        <v>840000</v>
      </c>
      <c r="V42" s="189" t="s">
        <v>65</v>
      </c>
      <c r="W42" s="196">
        <v>0.4</v>
      </c>
      <c r="X42" s="189">
        <f>R42*W42</f>
        <v>560000</v>
      </c>
      <c r="Y42" s="189"/>
      <c r="Z42" s="189"/>
      <c r="AA42" s="189"/>
      <c r="AB42" s="186"/>
      <c r="AC42" s="186"/>
      <c r="AD42" s="186"/>
    </row>
    <row r="43" s="165" customFormat="1" ht="49" hidden="1" customHeight="1" spans="1:30">
      <c r="A43" s="186">
        <v>40</v>
      </c>
      <c r="B43" s="187">
        <v>46081</v>
      </c>
      <c r="C43" s="188" t="s">
        <v>181</v>
      </c>
      <c r="D43" s="188" t="s">
        <v>182</v>
      </c>
      <c r="E43" s="189" t="s">
        <v>239</v>
      </c>
      <c r="F43" s="188" t="s">
        <v>183</v>
      </c>
      <c r="G43" s="190">
        <v>5000000</v>
      </c>
      <c r="H43" s="188"/>
      <c r="I43" s="188" t="s">
        <v>35</v>
      </c>
      <c r="J43" s="188" t="s">
        <v>184</v>
      </c>
      <c r="K43" s="186"/>
      <c r="L43" s="191">
        <v>0.5</v>
      </c>
      <c r="M43" s="191">
        <v>0.3</v>
      </c>
      <c r="N43" s="193"/>
      <c r="O43" s="194">
        <f t="shared" si="0"/>
        <v>2500000</v>
      </c>
      <c r="P43" s="194">
        <f>G43*M43</f>
        <v>1500000</v>
      </c>
      <c r="Q43" s="193"/>
      <c r="R43" s="195">
        <v>2500000</v>
      </c>
      <c r="S43" s="189" t="s">
        <v>47</v>
      </c>
      <c r="T43" s="191">
        <v>1</v>
      </c>
      <c r="U43" s="189">
        <f t="shared" si="1"/>
        <v>2500000</v>
      </c>
      <c r="V43" s="189"/>
      <c r="W43" s="196"/>
      <c r="X43" s="189"/>
      <c r="Y43" s="189"/>
      <c r="Z43" s="189"/>
      <c r="AA43" s="189"/>
      <c r="AB43" s="186"/>
      <c r="AC43" s="186"/>
      <c r="AD43" s="186"/>
    </row>
    <row r="44" s="165" customFormat="1" ht="49" hidden="1" customHeight="1" spans="1:30">
      <c r="A44" s="186">
        <v>41</v>
      </c>
      <c r="B44" s="187">
        <v>46081</v>
      </c>
      <c r="C44" s="188" t="s">
        <v>294</v>
      </c>
      <c r="D44" s="188" t="s">
        <v>253</v>
      </c>
      <c r="E44" s="189"/>
      <c r="F44" s="188" t="s">
        <v>254</v>
      </c>
      <c r="G44" s="190">
        <v>-14562</v>
      </c>
      <c r="H44" s="188"/>
      <c r="I44" s="188" t="s">
        <v>35</v>
      </c>
      <c r="J44" s="188"/>
      <c r="K44" s="186"/>
      <c r="L44" s="191">
        <v>1</v>
      </c>
      <c r="M44" s="191"/>
      <c r="N44" s="193"/>
      <c r="O44" s="194">
        <f t="shared" si="0"/>
        <v>-14562</v>
      </c>
      <c r="P44" s="194"/>
      <c r="Q44" s="193"/>
      <c r="R44" s="195">
        <v>-14562</v>
      </c>
      <c r="S44" s="189" t="s">
        <v>60</v>
      </c>
      <c r="T44" s="191">
        <v>1</v>
      </c>
      <c r="U44" s="189">
        <f t="shared" si="1"/>
        <v>-14562</v>
      </c>
      <c r="V44" s="189"/>
      <c r="W44" s="196"/>
      <c r="X44" s="189"/>
      <c r="Y44" s="189"/>
      <c r="Z44" s="189"/>
      <c r="AA44" s="189"/>
      <c r="AB44" s="186"/>
      <c r="AC44" s="186"/>
      <c r="AD44" s="186"/>
    </row>
    <row r="45" s="165" customFormat="1" ht="49" hidden="1" customHeight="1" spans="1:30">
      <c r="A45" s="186">
        <v>42</v>
      </c>
      <c r="B45" s="187">
        <v>46081</v>
      </c>
      <c r="C45" s="188" t="s">
        <v>260</v>
      </c>
      <c r="D45" s="188" t="s">
        <v>295</v>
      </c>
      <c r="E45" s="189" t="s">
        <v>239</v>
      </c>
      <c r="F45" s="188" t="s">
        <v>296</v>
      </c>
      <c r="G45" s="190">
        <v>3000000</v>
      </c>
      <c r="H45" s="188"/>
      <c r="I45" s="188" t="s">
        <v>35</v>
      </c>
      <c r="J45" s="188" t="s">
        <v>184</v>
      </c>
      <c r="K45" s="186"/>
      <c r="L45" s="191">
        <v>0.7</v>
      </c>
      <c r="M45" s="191">
        <v>0.3</v>
      </c>
      <c r="N45" s="193"/>
      <c r="O45" s="194">
        <f t="shared" si="0"/>
        <v>2100000</v>
      </c>
      <c r="P45" s="194">
        <f t="shared" ref="P45:P54" si="3">G45*M45</f>
        <v>900000</v>
      </c>
      <c r="Q45" s="193"/>
      <c r="R45" s="195">
        <v>2100000</v>
      </c>
      <c r="S45" s="189" t="s">
        <v>66</v>
      </c>
      <c r="T45" s="191">
        <v>0.6</v>
      </c>
      <c r="U45" s="189">
        <f t="shared" si="1"/>
        <v>1260000</v>
      </c>
      <c r="V45" s="189" t="s">
        <v>65</v>
      </c>
      <c r="W45" s="196">
        <v>0.4</v>
      </c>
      <c r="X45" s="189">
        <f>R45*W45</f>
        <v>840000</v>
      </c>
      <c r="Y45" s="189"/>
      <c r="Z45" s="189"/>
      <c r="AA45" s="189"/>
      <c r="AB45" s="186"/>
      <c r="AC45" s="186"/>
      <c r="AD45" s="186"/>
    </row>
    <row r="46" s="165" customFormat="1" ht="49" hidden="1" customHeight="1" spans="1:30">
      <c r="A46" s="186">
        <v>43</v>
      </c>
      <c r="B46" s="187">
        <v>46081</v>
      </c>
      <c r="C46" s="188" t="s">
        <v>297</v>
      </c>
      <c r="D46" s="188" t="s">
        <v>298</v>
      </c>
      <c r="E46" s="189" t="s">
        <v>239</v>
      </c>
      <c r="F46" s="188" t="s">
        <v>299</v>
      </c>
      <c r="G46" s="190">
        <v>50000</v>
      </c>
      <c r="H46" s="188"/>
      <c r="I46" s="188" t="s">
        <v>35</v>
      </c>
      <c r="J46" s="188" t="s">
        <v>70</v>
      </c>
      <c r="K46" s="186"/>
      <c r="L46" s="191">
        <v>0.8</v>
      </c>
      <c r="M46" s="191">
        <v>0.2</v>
      </c>
      <c r="N46" s="193"/>
      <c r="O46" s="194">
        <f t="shared" si="0"/>
        <v>40000</v>
      </c>
      <c r="P46" s="194">
        <f t="shared" si="3"/>
        <v>10000</v>
      </c>
      <c r="Q46" s="193"/>
      <c r="R46" s="195">
        <v>40000</v>
      </c>
      <c r="S46" s="189" t="s">
        <v>54</v>
      </c>
      <c r="T46" s="191">
        <v>1</v>
      </c>
      <c r="U46" s="189">
        <f t="shared" si="1"/>
        <v>40000</v>
      </c>
      <c r="V46" s="189"/>
      <c r="W46" s="196"/>
      <c r="X46" s="189"/>
      <c r="Y46" s="189"/>
      <c r="Z46" s="189"/>
      <c r="AA46" s="189"/>
      <c r="AB46" s="186"/>
      <c r="AC46" s="186"/>
      <c r="AD46" s="186"/>
    </row>
    <row r="47" s="165" customFormat="1" ht="49" hidden="1" customHeight="1" spans="1:30">
      <c r="A47" s="186">
        <v>44</v>
      </c>
      <c r="B47" s="187">
        <v>46081</v>
      </c>
      <c r="C47" s="188" t="s">
        <v>59</v>
      </c>
      <c r="D47" s="188" t="s">
        <v>57</v>
      </c>
      <c r="E47" s="189"/>
      <c r="F47" s="188" t="s">
        <v>58</v>
      </c>
      <c r="G47" s="190">
        <v>450000</v>
      </c>
      <c r="H47" s="188"/>
      <c r="I47" s="188" t="s">
        <v>34</v>
      </c>
      <c r="J47" s="188" t="s">
        <v>35</v>
      </c>
      <c r="K47" s="186"/>
      <c r="L47" s="191">
        <v>0.7</v>
      </c>
      <c r="M47" s="191">
        <v>0.3</v>
      </c>
      <c r="N47" s="193"/>
      <c r="O47" s="194">
        <f t="shared" si="0"/>
        <v>315000</v>
      </c>
      <c r="P47" s="194">
        <f t="shared" si="3"/>
        <v>135000</v>
      </c>
      <c r="Q47" s="193"/>
      <c r="R47" s="195">
        <v>135000</v>
      </c>
      <c r="S47" s="189" t="s">
        <v>60</v>
      </c>
      <c r="T47" s="191">
        <v>1</v>
      </c>
      <c r="U47" s="189">
        <f t="shared" si="1"/>
        <v>135000</v>
      </c>
      <c r="V47" s="189"/>
      <c r="W47" s="196"/>
      <c r="X47" s="189"/>
      <c r="Y47" s="189"/>
      <c r="Z47" s="189"/>
      <c r="AA47" s="189"/>
      <c r="AB47" s="186"/>
      <c r="AC47" s="186"/>
      <c r="AD47" s="186"/>
    </row>
    <row r="48" s="165" customFormat="1" ht="49" hidden="1" customHeight="1" spans="1:30">
      <c r="A48" s="186">
        <v>45</v>
      </c>
      <c r="B48" s="187">
        <v>46081</v>
      </c>
      <c r="C48" s="188" t="s">
        <v>59</v>
      </c>
      <c r="D48" s="188" t="s">
        <v>57</v>
      </c>
      <c r="E48" s="189"/>
      <c r="F48" s="188" t="s">
        <v>58</v>
      </c>
      <c r="G48" s="190">
        <v>450000</v>
      </c>
      <c r="H48" s="188"/>
      <c r="I48" s="188" t="s">
        <v>34</v>
      </c>
      <c r="J48" s="188" t="s">
        <v>35</v>
      </c>
      <c r="K48" s="186"/>
      <c r="L48" s="191">
        <v>0.7</v>
      </c>
      <c r="M48" s="191">
        <v>0.3</v>
      </c>
      <c r="N48" s="193"/>
      <c r="O48" s="194">
        <f t="shared" si="0"/>
        <v>315000</v>
      </c>
      <c r="P48" s="194">
        <f t="shared" si="3"/>
        <v>135000</v>
      </c>
      <c r="Q48" s="193"/>
      <c r="R48" s="195">
        <v>135000</v>
      </c>
      <c r="S48" s="189" t="s">
        <v>60</v>
      </c>
      <c r="T48" s="191">
        <v>1</v>
      </c>
      <c r="U48" s="189">
        <f t="shared" si="1"/>
        <v>135000</v>
      </c>
      <c r="V48" s="189"/>
      <c r="W48" s="196"/>
      <c r="X48" s="189"/>
      <c r="Y48" s="189"/>
      <c r="Z48" s="189"/>
      <c r="AA48" s="189"/>
      <c r="AB48" s="186"/>
      <c r="AC48" s="186"/>
      <c r="AD48" s="186"/>
    </row>
    <row r="49" s="165" customFormat="1" ht="49" hidden="1" customHeight="1" spans="1:30">
      <c r="A49" s="186">
        <v>46</v>
      </c>
      <c r="B49" s="187">
        <v>46081</v>
      </c>
      <c r="C49" s="188" t="s">
        <v>59</v>
      </c>
      <c r="D49" s="188" t="s">
        <v>109</v>
      </c>
      <c r="E49" s="189"/>
      <c r="F49" s="188" t="s">
        <v>110</v>
      </c>
      <c r="G49" s="190">
        <v>660000</v>
      </c>
      <c r="H49" s="188"/>
      <c r="I49" s="188" t="s">
        <v>34</v>
      </c>
      <c r="J49" s="188" t="s">
        <v>35</v>
      </c>
      <c r="K49" s="186"/>
      <c r="L49" s="191">
        <v>0.7</v>
      </c>
      <c r="M49" s="191">
        <v>0.3</v>
      </c>
      <c r="N49" s="193"/>
      <c r="O49" s="194">
        <f t="shared" si="0"/>
        <v>462000</v>
      </c>
      <c r="P49" s="194">
        <f t="shared" si="3"/>
        <v>198000</v>
      </c>
      <c r="Q49" s="193"/>
      <c r="R49" s="195">
        <v>198000</v>
      </c>
      <c r="S49" s="189" t="s">
        <v>60</v>
      </c>
      <c r="T49" s="191">
        <v>1</v>
      </c>
      <c r="U49" s="189">
        <f t="shared" si="1"/>
        <v>198000</v>
      </c>
      <c r="V49" s="189"/>
      <c r="W49" s="196"/>
      <c r="X49" s="189"/>
      <c r="Y49" s="189"/>
      <c r="Z49" s="189"/>
      <c r="AA49" s="189"/>
      <c r="AB49" s="186"/>
      <c r="AC49" s="186"/>
      <c r="AD49" s="186"/>
    </row>
    <row r="50" s="165" customFormat="1" ht="49" hidden="1" customHeight="1" spans="1:30">
      <c r="A50" s="186">
        <v>47</v>
      </c>
      <c r="B50" s="187">
        <v>46081</v>
      </c>
      <c r="C50" s="188" t="s">
        <v>59</v>
      </c>
      <c r="D50" s="188" t="s">
        <v>109</v>
      </c>
      <c r="E50" s="189"/>
      <c r="F50" s="188" t="s">
        <v>110</v>
      </c>
      <c r="G50" s="190">
        <v>660000</v>
      </c>
      <c r="H50" s="188"/>
      <c r="I50" s="188" t="s">
        <v>34</v>
      </c>
      <c r="J50" s="188" t="s">
        <v>35</v>
      </c>
      <c r="K50" s="186"/>
      <c r="L50" s="191">
        <v>0.7</v>
      </c>
      <c r="M50" s="191">
        <v>0.3</v>
      </c>
      <c r="N50" s="193"/>
      <c r="O50" s="194">
        <f t="shared" si="0"/>
        <v>462000</v>
      </c>
      <c r="P50" s="194">
        <f t="shared" si="3"/>
        <v>198000</v>
      </c>
      <c r="Q50" s="193"/>
      <c r="R50" s="195">
        <v>198000</v>
      </c>
      <c r="S50" s="189" t="s">
        <v>60</v>
      </c>
      <c r="T50" s="191">
        <v>1</v>
      </c>
      <c r="U50" s="189">
        <f t="shared" si="1"/>
        <v>198000</v>
      </c>
      <c r="V50" s="189"/>
      <c r="W50" s="196"/>
      <c r="X50" s="189"/>
      <c r="Y50" s="189"/>
      <c r="Z50" s="189"/>
      <c r="AA50" s="189"/>
      <c r="AB50" s="186"/>
      <c r="AC50" s="186"/>
      <c r="AD50" s="186"/>
    </row>
    <row r="51" s="165" customFormat="1" ht="49" hidden="1" customHeight="1" spans="1:30">
      <c r="A51" s="186">
        <v>48</v>
      </c>
      <c r="B51" s="187">
        <v>46081</v>
      </c>
      <c r="C51" s="188" t="s">
        <v>59</v>
      </c>
      <c r="D51" s="188" t="s">
        <v>109</v>
      </c>
      <c r="E51" s="189"/>
      <c r="F51" s="188" t="s">
        <v>110</v>
      </c>
      <c r="G51" s="190">
        <v>660000</v>
      </c>
      <c r="H51" s="188"/>
      <c r="I51" s="188" t="s">
        <v>34</v>
      </c>
      <c r="J51" s="188" t="s">
        <v>35</v>
      </c>
      <c r="K51" s="186"/>
      <c r="L51" s="191">
        <v>0.7</v>
      </c>
      <c r="M51" s="191">
        <v>0.3</v>
      </c>
      <c r="N51" s="193"/>
      <c r="O51" s="194">
        <f t="shared" si="0"/>
        <v>462000</v>
      </c>
      <c r="P51" s="194">
        <f t="shared" si="3"/>
        <v>198000</v>
      </c>
      <c r="Q51" s="193"/>
      <c r="R51" s="195">
        <v>198000</v>
      </c>
      <c r="S51" s="189" t="s">
        <v>60</v>
      </c>
      <c r="T51" s="191">
        <v>1</v>
      </c>
      <c r="U51" s="189">
        <f t="shared" si="1"/>
        <v>198000</v>
      </c>
      <c r="V51" s="189"/>
      <c r="W51" s="196"/>
      <c r="X51" s="189"/>
      <c r="Y51" s="189"/>
      <c r="Z51" s="189"/>
      <c r="AA51" s="189"/>
      <c r="AB51" s="186"/>
      <c r="AC51" s="186"/>
      <c r="AD51" s="186"/>
    </row>
    <row r="52" s="165" customFormat="1" ht="49" hidden="1" customHeight="1" spans="1:30">
      <c r="A52" s="186">
        <v>49</v>
      </c>
      <c r="B52" s="187">
        <v>46081</v>
      </c>
      <c r="C52" s="188" t="s">
        <v>59</v>
      </c>
      <c r="D52" s="188" t="s">
        <v>109</v>
      </c>
      <c r="E52" s="189"/>
      <c r="F52" s="188" t="s">
        <v>110</v>
      </c>
      <c r="G52" s="190">
        <v>960000</v>
      </c>
      <c r="H52" s="188"/>
      <c r="I52" s="188" t="s">
        <v>34</v>
      </c>
      <c r="J52" s="188" t="s">
        <v>35</v>
      </c>
      <c r="K52" s="186"/>
      <c r="L52" s="191">
        <v>0.7</v>
      </c>
      <c r="M52" s="191">
        <v>0.3</v>
      </c>
      <c r="N52" s="193"/>
      <c r="O52" s="194">
        <f t="shared" si="0"/>
        <v>672000</v>
      </c>
      <c r="P52" s="194">
        <f t="shared" si="3"/>
        <v>288000</v>
      </c>
      <c r="Q52" s="193"/>
      <c r="R52" s="195">
        <v>288000</v>
      </c>
      <c r="S52" s="189" t="s">
        <v>60</v>
      </c>
      <c r="T52" s="191">
        <v>1</v>
      </c>
      <c r="U52" s="189">
        <f t="shared" si="1"/>
        <v>288000</v>
      </c>
      <c r="V52" s="189"/>
      <c r="W52" s="196"/>
      <c r="X52" s="189"/>
      <c r="Y52" s="189"/>
      <c r="Z52" s="189"/>
      <c r="AA52" s="189"/>
      <c r="AB52" s="186"/>
      <c r="AC52" s="186"/>
      <c r="AD52" s="186"/>
    </row>
    <row r="53" s="165" customFormat="1" ht="49" hidden="1" customHeight="1" spans="1:30">
      <c r="A53" s="186">
        <v>50</v>
      </c>
      <c r="B53" s="187">
        <v>46081</v>
      </c>
      <c r="C53" s="188" t="s">
        <v>59</v>
      </c>
      <c r="D53" s="188" t="s">
        <v>189</v>
      </c>
      <c r="E53" s="189"/>
      <c r="F53" s="188" t="s">
        <v>190</v>
      </c>
      <c r="G53" s="190">
        <v>2382000</v>
      </c>
      <c r="H53" s="188"/>
      <c r="I53" s="188" t="s">
        <v>34</v>
      </c>
      <c r="J53" s="188" t="s">
        <v>35</v>
      </c>
      <c r="K53" s="186"/>
      <c r="L53" s="191">
        <v>0.7</v>
      </c>
      <c r="M53" s="191">
        <v>0.3</v>
      </c>
      <c r="N53" s="193"/>
      <c r="O53" s="194">
        <f t="shared" si="0"/>
        <v>1667400</v>
      </c>
      <c r="P53" s="194">
        <f t="shared" si="3"/>
        <v>714600</v>
      </c>
      <c r="Q53" s="193"/>
      <c r="R53" s="195">
        <v>714600</v>
      </c>
      <c r="S53" s="189" t="s">
        <v>60</v>
      </c>
      <c r="T53" s="191">
        <v>1</v>
      </c>
      <c r="U53" s="189">
        <f t="shared" si="1"/>
        <v>714600</v>
      </c>
      <c r="V53" s="189"/>
      <c r="W53" s="196"/>
      <c r="X53" s="189"/>
      <c r="Y53" s="189"/>
      <c r="Z53" s="189"/>
      <c r="AA53" s="189"/>
      <c r="AB53" s="186"/>
      <c r="AC53" s="186"/>
      <c r="AD53" s="186"/>
    </row>
    <row r="54" s="165" customFormat="1" ht="49" customHeight="1" spans="1:30">
      <c r="A54" s="186">
        <v>51</v>
      </c>
      <c r="B54" s="187">
        <v>46109</v>
      </c>
      <c r="C54" s="188" t="s">
        <v>297</v>
      </c>
      <c r="D54" s="188" t="s">
        <v>298</v>
      </c>
      <c r="E54" s="189" t="s">
        <v>239</v>
      </c>
      <c r="F54" s="188" t="s">
        <v>299</v>
      </c>
      <c r="G54" s="190">
        <v>200000</v>
      </c>
      <c r="H54" s="188"/>
      <c r="I54" s="188" t="s">
        <v>35</v>
      </c>
      <c r="J54" s="188" t="s">
        <v>70</v>
      </c>
      <c r="K54" s="186"/>
      <c r="L54" s="191">
        <v>0.8</v>
      </c>
      <c r="M54" s="191">
        <v>0.2</v>
      </c>
      <c r="N54" s="193"/>
      <c r="O54" s="194">
        <f t="shared" si="0"/>
        <v>160000</v>
      </c>
      <c r="P54" s="194">
        <f t="shared" si="3"/>
        <v>40000</v>
      </c>
      <c r="Q54" s="193"/>
      <c r="R54" s="195">
        <v>160000</v>
      </c>
      <c r="S54" s="189" t="s">
        <v>54</v>
      </c>
      <c r="T54" s="191">
        <v>1</v>
      </c>
      <c r="U54" s="189">
        <f t="shared" si="1"/>
        <v>160000</v>
      </c>
      <c r="V54" s="189"/>
      <c r="W54" s="196"/>
      <c r="X54" s="189"/>
      <c r="Y54" s="189"/>
      <c r="Z54" s="189"/>
      <c r="AA54" s="189"/>
      <c r="AB54" s="186"/>
      <c r="AC54" s="186"/>
      <c r="AD54" s="186"/>
    </row>
    <row r="55" s="165" customFormat="1" ht="49" hidden="1" customHeight="1" spans="1:30">
      <c r="A55" s="186">
        <v>53</v>
      </c>
      <c r="B55" s="205">
        <v>46109</v>
      </c>
      <c r="C55" s="188" t="s">
        <v>300</v>
      </c>
      <c r="D55" s="188" t="s">
        <v>301</v>
      </c>
      <c r="E55" s="186"/>
      <c r="F55" s="188" t="s">
        <v>85</v>
      </c>
      <c r="G55" s="190">
        <v>25398</v>
      </c>
      <c r="H55" s="188"/>
      <c r="I55" s="188" t="s">
        <v>35</v>
      </c>
      <c r="J55" s="188"/>
      <c r="K55" s="186"/>
      <c r="L55" s="191">
        <v>1</v>
      </c>
      <c r="M55" s="191"/>
      <c r="N55" s="206"/>
      <c r="O55" s="207">
        <f t="shared" si="0"/>
        <v>25398</v>
      </c>
      <c r="P55" s="207"/>
      <c r="Q55" s="206"/>
      <c r="R55" s="208">
        <v>25398</v>
      </c>
      <c r="S55" s="186" t="s">
        <v>41</v>
      </c>
      <c r="T55" s="191">
        <v>1</v>
      </c>
      <c r="U55" s="186">
        <f t="shared" si="1"/>
        <v>25398</v>
      </c>
      <c r="V55" s="186"/>
      <c r="W55" s="209"/>
      <c r="X55" s="186"/>
      <c r="Y55" s="186"/>
      <c r="Z55" s="186"/>
      <c r="AA55" s="186"/>
      <c r="AB55" s="186"/>
      <c r="AC55" s="186"/>
      <c r="AD55" s="186"/>
    </row>
    <row r="56" s="165" customFormat="1" ht="49" customHeight="1" spans="1:30">
      <c r="A56" s="186">
        <v>54</v>
      </c>
      <c r="B56" s="187">
        <v>46109</v>
      </c>
      <c r="C56" s="188" t="s">
        <v>302</v>
      </c>
      <c r="D56" s="188" t="s">
        <v>303</v>
      </c>
      <c r="E56" s="189" t="s">
        <v>239</v>
      </c>
      <c r="F56" s="188" t="s">
        <v>304</v>
      </c>
      <c r="G56" s="190">
        <v>500000</v>
      </c>
      <c r="H56" s="188"/>
      <c r="I56" s="188" t="s">
        <v>35</v>
      </c>
      <c r="J56" s="188" t="s">
        <v>64</v>
      </c>
      <c r="K56" s="186"/>
      <c r="L56" s="191">
        <v>0.65</v>
      </c>
      <c r="M56" s="191">
        <v>0.35</v>
      </c>
      <c r="N56" s="193"/>
      <c r="O56" s="194">
        <f t="shared" si="0"/>
        <v>325000</v>
      </c>
      <c r="P56" s="194">
        <f t="shared" ref="P56:P60" si="4">G56*M56</f>
        <v>175000</v>
      </c>
      <c r="Q56" s="193"/>
      <c r="R56" s="195">
        <v>325000</v>
      </c>
      <c r="S56" s="189" t="s">
        <v>65</v>
      </c>
      <c r="T56" s="191">
        <v>0.6</v>
      </c>
      <c r="U56" s="189">
        <f t="shared" si="1"/>
        <v>195000</v>
      </c>
      <c r="V56" s="189" t="s">
        <v>66</v>
      </c>
      <c r="W56" s="196">
        <v>0.4</v>
      </c>
      <c r="X56" s="189">
        <f>R56*W56</f>
        <v>130000</v>
      </c>
      <c r="Y56" s="189"/>
      <c r="Z56" s="189"/>
      <c r="AA56" s="189"/>
      <c r="AB56" s="186"/>
      <c r="AC56" s="186"/>
      <c r="AD56" s="186"/>
    </row>
    <row r="57" s="165" customFormat="1" ht="49" customHeight="1" spans="1:30">
      <c r="A57" s="186">
        <v>55</v>
      </c>
      <c r="B57" s="187">
        <v>46109</v>
      </c>
      <c r="C57" s="188" t="s">
        <v>302</v>
      </c>
      <c r="D57" s="188" t="s">
        <v>305</v>
      </c>
      <c r="E57" s="189" t="s">
        <v>239</v>
      </c>
      <c r="F57" s="210" t="s">
        <v>306</v>
      </c>
      <c r="G57" s="190">
        <v>3600000</v>
      </c>
      <c r="H57" s="188"/>
      <c r="I57" s="188" t="s">
        <v>35</v>
      </c>
      <c r="J57" s="188" t="s">
        <v>64</v>
      </c>
      <c r="K57" s="186"/>
      <c r="L57" s="191">
        <v>0.7</v>
      </c>
      <c r="M57" s="191">
        <v>0.3</v>
      </c>
      <c r="N57" s="193"/>
      <c r="O57" s="194">
        <f t="shared" si="0"/>
        <v>2520000</v>
      </c>
      <c r="P57" s="194">
        <f t="shared" si="4"/>
        <v>1080000</v>
      </c>
      <c r="Q57" s="193"/>
      <c r="R57" s="195">
        <v>2520000</v>
      </c>
      <c r="S57" s="189" t="s">
        <v>65</v>
      </c>
      <c r="T57" s="191">
        <v>0.6</v>
      </c>
      <c r="U57" s="189">
        <f t="shared" si="1"/>
        <v>1512000</v>
      </c>
      <c r="V57" s="189" t="s">
        <v>66</v>
      </c>
      <c r="W57" s="196">
        <v>0.4</v>
      </c>
      <c r="X57" s="189">
        <f t="shared" ref="X57:X62" si="5">R57*W57</f>
        <v>1008000</v>
      </c>
      <c r="Y57" s="189"/>
      <c r="Z57" s="189"/>
      <c r="AA57" s="189"/>
      <c r="AB57" s="186"/>
      <c r="AC57" s="186"/>
      <c r="AD57" s="186"/>
    </row>
    <row r="58" s="165" customFormat="1" ht="49" customHeight="1" spans="1:30">
      <c r="A58" s="186">
        <v>56</v>
      </c>
      <c r="B58" s="187">
        <v>46109</v>
      </c>
      <c r="C58" s="188" t="s">
        <v>307</v>
      </c>
      <c r="D58" s="188" t="s">
        <v>308</v>
      </c>
      <c r="E58" s="189"/>
      <c r="F58" s="210" t="s">
        <v>309</v>
      </c>
      <c r="G58" s="190">
        <v>37689</v>
      </c>
      <c r="H58" s="188"/>
      <c r="I58" s="188" t="s">
        <v>35</v>
      </c>
      <c r="J58" s="188"/>
      <c r="K58" s="186"/>
      <c r="L58" s="191">
        <v>1</v>
      </c>
      <c r="M58" s="191"/>
      <c r="N58" s="193"/>
      <c r="O58" s="194">
        <f t="shared" si="0"/>
        <v>37689</v>
      </c>
      <c r="P58" s="194"/>
      <c r="Q58" s="193"/>
      <c r="R58" s="195">
        <v>37689</v>
      </c>
      <c r="S58" s="189" t="s">
        <v>54</v>
      </c>
      <c r="T58" s="191">
        <v>1</v>
      </c>
      <c r="U58" s="189">
        <f t="shared" si="1"/>
        <v>37689</v>
      </c>
      <c r="V58" s="189"/>
      <c r="W58" s="196"/>
      <c r="X58" s="189"/>
      <c r="Y58" s="189"/>
      <c r="Z58" s="189"/>
      <c r="AA58" s="189"/>
      <c r="AB58" s="186"/>
      <c r="AC58" s="186"/>
      <c r="AD58" s="186"/>
    </row>
    <row r="59" s="165" customFormat="1" ht="49" customHeight="1" spans="1:30">
      <c r="A59" s="186">
        <v>57</v>
      </c>
      <c r="B59" s="187">
        <v>46109</v>
      </c>
      <c r="C59" s="188" t="s">
        <v>310</v>
      </c>
      <c r="D59" s="188" t="s">
        <v>311</v>
      </c>
      <c r="E59" s="189" t="s">
        <v>239</v>
      </c>
      <c r="F59" s="210" t="s">
        <v>203</v>
      </c>
      <c r="G59" s="190">
        <v>5845000</v>
      </c>
      <c r="H59" s="188"/>
      <c r="I59" s="188" t="s">
        <v>35</v>
      </c>
      <c r="J59" s="188" t="s">
        <v>70</v>
      </c>
      <c r="K59" s="186"/>
      <c r="L59" s="191">
        <v>0.7</v>
      </c>
      <c r="M59" s="191">
        <v>0.3</v>
      </c>
      <c r="N59" s="193"/>
      <c r="O59" s="194">
        <f t="shared" si="0"/>
        <v>4091500</v>
      </c>
      <c r="P59" s="194">
        <f t="shared" si="4"/>
        <v>1753500</v>
      </c>
      <c r="Q59" s="193"/>
      <c r="R59" s="195">
        <v>4091500</v>
      </c>
      <c r="S59" s="189" t="s">
        <v>120</v>
      </c>
      <c r="T59" s="191">
        <v>1</v>
      </c>
      <c r="U59" s="189">
        <f t="shared" si="1"/>
        <v>4091500</v>
      </c>
      <c r="V59" s="189"/>
      <c r="W59" s="196"/>
      <c r="X59" s="189"/>
      <c r="Y59" s="189"/>
      <c r="Z59" s="189"/>
      <c r="AA59" s="189"/>
      <c r="AB59" s="186"/>
      <c r="AC59" s="186"/>
      <c r="AD59" s="186"/>
    </row>
    <row r="60" s="165" customFormat="1" ht="49" customHeight="1" spans="1:30">
      <c r="A60" s="186">
        <v>58</v>
      </c>
      <c r="B60" s="187">
        <v>46112</v>
      </c>
      <c r="C60" s="188" t="s">
        <v>312</v>
      </c>
      <c r="D60" s="188" t="s">
        <v>313</v>
      </c>
      <c r="E60" s="189" t="s">
        <v>239</v>
      </c>
      <c r="F60" s="210" t="s">
        <v>197</v>
      </c>
      <c r="G60" s="190">
        <v>690000</v>
      </c>
      <c r="H60" s="188"/>
      <c r="I60" s="188" t="s">
        <v>35</v>
      </c>
      <c r="J60" s="188" t="s">
        <v>70</v>
      </c>
      <c r="K60" s="186"/>
      <c r="L60" s="191">
        <v>0.7</v>
      </c>
      <c r="M60" s="191">
        <v>0.3</v>
      </c>
      <c r="N60" s="193"/>
      <c r="O60" s="194">
        <f t="shared" si="0"/>
        <v>483000</v>
      </c>
      <c r="P60" s="194">
        <f t="shared" si="4"/>
        <v>207000</v>
      </c>
      <c r="Q60" s="193"/>
      <c r="R60" s="195">
        <v>483000</v>
      </c>
      <c r="S60" s="189" t="s">
        <v>66</v>
      </c>
      <c r="T60" s="191">
        <v>0.6</v>
      </c>
      <c r="U60" s="189">
        <f t="shared" si="1"/>
        <v>289800</v>
      </c>
      <c r="V60" s="189" t="s">
        <v>65</v>
      </c>
      <c r="W60" s="196">
        <v>0.4</v>
      </c>
      <c r="X60" s="189">
        <f t="shared" si="5"/>
        <v>193200</v>
      </c>
      <c r="Y60" s="189"/>
      <c r="Z60" s="189"/>
      <c r="AA60" s="189"/>
      <c r="AB60" s="186"/>
      <c r="AC60" s="186"/>
      <c r="AD60" s="186"/>
    </row>
    <row r="61" s="165" customFormat="1" ht="49" customHeight="1" spans="1:30">
      <c r="A61" s="186">
        <v>59</v>
      </c>
      <c r="B61" s="187">
        <v>46112</v>
      </c>
      <c r="C61" s="188" t="s">
        <v>92</v>
      </c>
      <c r="D61" s="188" t="s">
        <v>90</v>
      </c>
      <c r="E61" s="189"/>
      <c r="F61" s="210" t="s">
        <v>91</v>
      </c>
      <c r="G61" s="190">
        <v>1570200</v>
      </c>
      <c r="H61" s="188"/>
      <c r="I61" s="188" t="s">
        <v>35</v>
      </c>
      <c r="J61" s="188"/>
      <c r="K61" s="186"/>
      <c r="L61" s="191">
        <v>1</v>
      </c>
      <c r="M61" s="191"/>
      <c r="N61" s="193"/>
      <c r="O61" s="194">
        <f t="shared" si="0"/>
        <v>1570200</v>
      </c>
      <c r="P61" s="194"/>
      <c r="Q61" s="193"/>
      <c r="R61" s="195">
        <v>1570200</v>
      </c>
      <c r="S61" s="189" t="s">
        <v>36</v>
      </c>
      <c r="T61" s="191">
        <v>1</v>
      </c>
      <c r="U61" s="189">
        <f t="shared" si="1"/>
        <v>1570200</v>
      </c>
      <c r="V61" s="189"/>
      <c r="W61" s="196"/>
      <c r="X61" s="189"/>
      <c r="Y61" s="189"/>
      <c r="Z61" s="189"/>
      <c r="AA61" s="189"/>
      <c r="AB61" s="186"/>
      <c r="AC61" s="186"/>
      <c r="AD61" s="186"/>
    </row>
    <row r="62" s="165" customFormat="1" ht="49" customHeight="1" spans="1:30">
      <c r="A62" s="186">
        <v>60</v>
      </c>
      <c r="B62" s="187">
        <v>46112</v>
      </c>
      <c r="C62" s="188" t="s">
        <v>92</v>
      </c>
      <c r="D62" s="188" t="s">
        <v>314</v>
      </c>
      <c r="E62" s="189" t="s">
        <v>239</v>
      </c>
      <c r="F62" s="210" t="s">
        <v>315</v>
      </c>
      <c r="G62" s="190">
        <v>492100</v>
      </c>
      <c r="H62" s="188"/>
      <c r="I62" s="188" t="s">
        <v>35</v>
      </c>
      <c r="J62" s="188"/>
      <c r="K62" s="186"/>
      <c r="L62" s="191">
        <v>1</v>
      </c>
      <c r="M62" s="191"/>
      <c r="N62" s="193"/>
      <c r="O62" s="194">
        <f t="shared" si="0"/>
        <v>492100</v>
      </c>
      <c r="P62" s="194"/>
      <c r="Q62" s="193"/>
      <c r="R62" s="195">
        <v>492100</v>
      </c>
      <c r="S62" s="189" t="s">
        <v>66</v>
      </c>
      <c r="T62" s="191">
        <v>0.6</v>
      </c>
      <c r="U62" s="189">
        <f t="shared" si="1"/>
        <v>295260</v>
      </c>
      <c r="V62" s="189" t="s">
        <v>65</v>
      </c>
      <c r="W62" s="196">
        <v>0.4</v>
      </c>
      <c r="X62" s="189">
        <f t="shared" si="5"/>
        <v>196840</v>
      </c>
      <c r="Y62" s="189"/>
      <c r="Z62" s="189"/>
      <c r="AA62" s="189"/>
      <c r="AB62" s="186"/>
      <c r="AC62" s="186"/>
      <c r="AD62" s="186"/>
    </row>
    <row r="63" s="165" customFormat="1" ht="49" hidden="1" customHeight="1" spans="1:30">
      <c r="A63" s="186">
        <v>61</v>
      </c>
      <c r="B63" s="187">
        <v>46112</v>
      </c>
      <c r="C63" s="188" t="s">
        <v>316</v>
      </c>
      <c r="D63" s="188" t="s">
        <v>317</v>
      </c>
      <c r="E63" s="189"/>
      <c r="F63" s="210" t="s">
        <v>318</v>
      </c>
      <c r="G63" s="190">
        <v>11498</v>
      </c>
      <c r="H63" s="188"/>
      <c r="I63" s="188" t="s">
        <v>319</v>
      </c>
      <c r="J63" s="188" t="s">
        <v>35</v>
      </c>
      <c r="K63" s="186"/>
      <c r="L63" s="191">
        <v>0.5</v>
      </c>
      <c r="M63" s="191">
        <v>0.5</v>
      </c>
      <c r="N63" s="193"/>
      <c r="O63" s="194">
        <f t="shared" si="0"/>
        <v>5749</v>
      </c>
      <c r="P63" s="194">
        <f>G63*M63</f>
        <v>5749</v>
      </c>
      <c r="Q63" s="193"/>
      <c r="R63" s="195">
        <v>5749</v>
      </c>
      <c r="S63" s="189" t="s">
        <v>41</v>
      </c>
      <c r="T63" s="191">
        <v>1</v>
      </c>
      <c r="U63" s="189">
        <f t="shared" si="1"/>
        <v>5749</v>
      </c>
      <c r="V63" s="189"/>
      <c r="W63" s="196"/>
      <c r="X63" s="189"/>
      <c r="Y63" s="189"/>
      <c r="Z63" s="189"/>
      <c r="AA63" s="189"/>
      <c r="AB63" s="186"/>
      <c r="AC63" s="186"/>
      <c r="AD63" s="186"/>
    </row>
    <row r="68" spans="7:24">
      <c r="U68" s="167">
        <f>U61-U62</f>
        <v>1274940</v>
      </c>
      <c r="X68" s="167">
        <f>X61-X62</f>
        <v>-196840</v>
      </c>
    </row>
    <row r="73" spans="7:24">
      <c r="G73" s="172">
        <v>20</v>
      </c>
    </row>
    <row r="74" spans="7:24">
      <c r="G74" s="172">
        <v>50</v>
      </c>
    </row>
    <row r="75" spans="7:24">
      <c r="G75" s="172">
        <v>360</v>
      </c>
    </row>
    <row r="76" spans="7:24">
      <c r="G76" s="172">
        <v>3.7689</v>
      </c>
    </row>
    <row r="77" spans="7:24">
      <c r="G77" s="172">
        <v>584.5</v>
      </c>
    </row>
    <row r="78" spans="7:24">
      <c r="G78" s="172">
        <v>69</v>
      </c>
      <c r="K78" s="169" t="s">
        <v>320</v>
      </c>
    </row>
    <row r="79" spans="7:24">
      <c r="G79" s="172">
        <v>157.02</v>
      </c>
    </row>
    <row r="80" spans="7:24">
      <c r="G80" s="172">
        <v>49.21</v>
      </c>
    </row>
  </sheetData>
  <autoFilter xmlns:etc="http://www.wps.cn/officeDocument/2017/etCustomData" ref="A3:AD63" etc:filterBottomFollowUsedRange="0">
    <filterColumn colId="1">
      <filters>
        <dateGroupItem year="2026" month="3" dateTimeGrouping="month"/>
      </filters>
    </filterColumn>
    <filterColumn colId="3">
      <filters>
        <filter val="中铁二十二局集团有限公司台州市域铁路S2线盾构机再制造"/>
        <filter val="泉州南高干渠N1标"/>
        <filter val="扩大杭嘉湖南排后续西部通道（南北段）工程（南段）皮带机"/>
        <filter val="中国铁建港航局集团温福高铁3台HZS180K采购合同"/>
        <filter val="中交三公局皮带机租赁合同"/>
        <filter val="中国铁建港航局集团320国道项目1台HZS180K采购合同"/>
        <filter val="扩大杭嘉湖南排后续西部通道（南北段）工程（南段）TBM"/>
        <filter val="杭州地铁15号线项目"/>
      </filters>
    </filterColumn>
    <filterColumn colId="8">
      <filters>
        <filter val="华东区域"/>
      </filters>
    </filterColumn>
    <extLst/>
  </autoFilter>
  <mergeCells count="20">
    <mergeCell ref="A1:AD1"/>
    <mergeCell ref="S2:A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36"/>
  <sheetViews>
    <sheetView zoomScale="55" zoomScaleNormal="55" workbookViewId="0">
      <pane xSplit="4" ySplit="3" topLeftCell="E4" activePane="bottomRight" state="frozen"/>
      <selection/>
      <selection pane="topRight"/>
      <selection pane="bottomLeft"/>
      <selection pane="bottomRight" activeCell="G6" sqref="G6:AB20"/>
    </sheetView>
  </sheetViews>
  <sheetFormatPr defaultColWidth="8.72727272727273" defaultRowHeight="14"/>
  <cols>
    <col min="1" max="1" width="7.48181818181818" customWidth="1"/>
    <col min="2" max="2" width="9.86363636363636" style="2" customWidth="1"/>
    <col min="3" max="3" width="15.7090909090909" style="2" customWidth="1"/>
    <col min="4" max="4" width="10.2272727272727" customWidth="1"/>
    <col min="5" max="5" width="15.2727272727273" style="88" hidden="1" customWidth="1"/>
    <col min="6" max="6" width="15.5818181818182" style="88" hidden="1" customWidth="1"/>
    <col min="7" max="7" width="16.6181818181818" style="88" customWidth="1"/>
    <col min="8" max="8" width="14.0272727272727" style="121" customWidth="1"/>
    <col min="9" max="10" width="15.5818181818182" style="122" customWidth="1"/>
    <col min="11" max="11" width="15.5818181818182" style="122" hidden="1" customWidth="1"/>
    <col min="12" max="12" width="15.5818181818182" style="122" customWidth="1"/>
    <col min="13" max="14" width="15.5818181818182" style="88" hidden="1" customWidth="1"/>
    <col min="15" max="16" width="15.5818181818182" style="88" customWidth="1"/>
    <col min="17" max="18" width="15.5818181818182" style="122" customWidth="1"/>
    <col min="19" max="19" width="15.5818181818182" style="122" hidden="1" customWidth="1"/>
    <col min="20" max="20" width="19.8636363636364" style="122" customWidth="1"/>
    <col min="21" max="21" width="15.3727272727273" style="88" hidden="1" customWidth="1"/>
    <col min="22" max="22" width="15.5818181818182" style="88" hidden="1" customWidth="1"/>
    <col min="23" max="23" width="15.5818181818182" style="88" customWidth="1"/>
    <col min="24" max="24" width="15.5818181818182" style="123" customWidth="1"/>
    <col min="25" max="26" width="15.5818181818182" style="124" customWidth="1"/>
    <col min="27" max="27" width="15.5818181818182" style="124" hidden="1" customWidth="1"/>
    <col min="28" max="28" width="12.8181818181818" customWidth="1"/>
    <col min="29" max="29" width="12.8181818181818"/>
    <col min="30" max="30" width="15"/>
    <col min="31" max="31" width="14"/>
    <col min="32" max="32" width="12.8181818181818"/>
    <col min="33" max="33" width="9.54545454545454"/>
    <col min="34" max="35" width="12.8181818181818"/>
    <col min="36" max="36" width="9.54545454545454"/>
  </cols>
  <sheetData>
    <row r="1" s="1" customFormat="1" ht="29" customHeight="1" spans="1:30">
      <c r="A1" s="125" t="s">
        <v>321</v>
      </c>
      <c r="B1" s="126"/>
      <c r="C1" s="126"/>
      <c r="D1" s="126"/>
      <c r="E1" s="127"/>
      <c r="F1" s="127"/>
      <c r="G1" s="127"/>
      <c r="H1" s="127"/>
      <c r="I1" s="126"/>
      <c r="J1" s="126"/>
      <c r="K1" s="126"/>
      <c r="L1" s="126"/>
      <c r="M1" s="127"/>
      <c r="N1" s="127"/>
      <c r="O1" s="127"/>
      <c r="P1" s="127"/>
      <c r="Q1" s="126"/>
      <c r="R1" s="126"/>
      <c r="S1" s="126"/>
      <c r="T1" s="126"/>
      <c r="U1" s="127"/>
      <c r="V1" s="127"/>
      <c r="W1" s="127"/>
      <c r="X1" s="127"/>
      <c r="Y1" s="126"/>
      <c r="Z1" s="126"/>
      <c r="AA1" s="126"/>
      <c r="AB1" s="126"/>
    </row>
    <row r="2" ht="23" customHeight="1" spans="1:30">
      <c r="A2" s="128" t="s">
        <v>322</v>
      </c>
      <c r="B2" s="129"/>
      <c r="C2" s="129"/>
      <c r="D2" s="129"/>
      <c r="E2" s="130"/>
      <c r="F2" s="130"/>
      <c r="G2" s="130"/>
      <c r="H2" s="130"/>
      <c r="I2" s="129"/>
      <c r="J2" s="129"/>
      <c r="K2" s="129"/>
      <c r="L2" s="129"/>
      <c r="M2" s="130"/>
      <c r="N2" s="130"/>
      <c r="O2" s="130"/>
      <c r="P2" s="130"/>
      <c r="Q2" s="129"/>
      <c r="R2" s="129"/>
      <c r="S2" s="129"/>
      <c r="T2" s="129"/>
      <c r="U2" s="130"/>
      <c r="V2" s="130"/>
      <c r="W2" s="130"/>
      <c r="X2" s="130"/>
      <c r="Y2" s="129"/>
      <c r="Z2" s="129"/>
      <c r="AA2" s="129"/>
      <c r="AB2" s="129"/>
    </row>
    <row r="3" ht="36" customHeight="1" spans="1:30">
      <c r="A3" s="131" t="s">
        <v>323</v>
      </c>
      <c r="B3" s="132" t="s">
        <v>324</v>
      </c>
      <c r="C3" s="132" t="s">
        <v>325</v>
      </c>
      <c r="D3" s="131" t="s">
        <v>326</v>
      </c>
      <c r="E3" s="133" t="s">
        <v>327</v>
      </c>
      <c r="F3" s="133" t="s">
        <v>328</v>
      </c>
      <c r="G3" s="133" t="s">
        <v>329</v>
      </c>
      <c r="H3" s="134" t="s">
        <v>330</v>
      </c>
      <c r="I3" s="135" t="s">
        <v>331</v>
      </c>
      <c r="J3" s="135" t="s">
        <v>332</v>
      </c>
      <c r="K3" s="135" t="s">
        <v>333</v>
      </c>
      <c r="L3" s="136" t="s">
        <v>334</v>
      </c>
      <c r="M3" s="133" t="s">
        <v>335</v>
      </c>
      <c r="N3" s="133" t="s">
        <v>336</v>
      </c>
      <c r="O3" s="133" t="s">
        <v>337</v>
      </c>
      <c r="P3" s="134" t="s">
        <v>338</v>
      </c>
      <c r="Q3" s="135" t="s">
        <v>339</v>
      </c>
      <c r="R3" s="135" t="s">
        <v>340</v>
      </c>
      <c r="S3" s="135" t="s">
        <v>341</v>
      </c>
      <c r="T3" s="136" t="s">
        <v>342</v>
      </c>
      <c r="U3" s="133" t="s">
        <v>343</v>
      </c>
      <c r="V3" s="133" t="s">
        <v>344</v>
      </c>
      <c r="W3" s="133" t="s">
        <v>345</v>
      </c>
      <c r="X3" s="134" t="s">
        <v>346</v>
      </c>
      <c r="Y3" s="137" t="s">
        <v>347</v>
      </c>
      <c r="Z3" s="135" t="s">
        <v>348</v>
      </c>
      <c r="AA3" s="137" t="s">
        <v>349</v>
      </c>
      <c r="AB3" s="137" t="s">
        <v>350</v>
      </c>
    </row>
    <row r="4" ht="43" hidden="1" customHeight="1" spans="1:30">
      <c r="A4" s="138">
        <v>1</v>
      </c>
      <c r="B4" s="139" t="s">
        <v>351</v>
      </c>
      <c r="C4" s="139" t="s">
        <v>352</v>
      </c>
      <c r="D4" s="140" t="s">
        <v>65</v>
      </c>
      <c r="E4" s="101">
        <v>0</v>
      </c>
      <c r="F4" s="101">
        <v>0</v>
      </c>
      <c r="G4" s="101">
        <v>0</v>
      </c>
      <c r="H4" s="101">
        <v>373.067217</v>
      </c>
      <c r="I4" s="101">
        <v>4000</v>
      </c>
      <c r="J4" s="141">
        <f t="shared" ref="J4:J20" si="0">H4/I4</f>
        <v>0.09326680425</v>
      </c>
      <c r="K4" s="101">
        <v>1259.6642968</v>
      </c>
      <c r="L4" s="141">
        <f t="shared" ref="L4:L20" si="1">(H4-K4)/K4</f>
        <v>-0.703835999839223</v>
      </c>
      <c r="M4" s="101">
        <v>0</v>
      </c>
      <c r="N4" s="101">
        <v>0</v>
      </c>
      <c r="O4" s="101">
        <v>412.04353988</v>
      </c>
      <c r="P4" s="11">
        <f>190.4318582+O4</f>
        <v>602.47539808</v>
      </c>
      <c r="Q4" s="101">
        <v>2000</v>
      </c>
      <c r="R4" s="141">
        <f t="shared" ref="R4:R20" si="2">P4/Q4</f>
        <v>0.30123769904</v>
      </c>
      <c r="S4" s="101">
        <v>18.52247784</v>
      </c>
      <c r="T4" s="141">
        <f t="shared" ref="T4:T13" si="3">(P4-S4)/S4</f>
        <v>31.5267171748982</v>
      </c>
      <c r="U4" s="101">
        <v>0</v>
      </c>
      <c r="V4" s="101">
        <v>0</v>
      </c>
      <c r="W4" s="101">
        <v>209.704</v>
      </c>
      <c r="X4" s="11">
        <f>589.07882268+W4</f>
        <v>798.78282268</v>
      </c>
      <c r="Y4" s="101">
        <v>2100</v>
      </c>
      <c r="Z4" s="141">
        <f t="shared" ref="Z4:Z20" si="4">X4/Y4</f>
        <v>0.380372772704762</v>
      </c>
      <c r="AA4" s="101">
        <v>1931.116077</v>
      </c>
      <c r="AB4" s="141">
        <f t="shared" ref="AB4:AB20" si="5">(X4-AA4)/AA4</f>
        <v>-0.586362087606399</v>
      </c>
      <c r="AC4" s="142"/>
    </row>
    <row r="5" ht="43" hidden="1" customHeight="1" spans="1:30">
      <c r="A5" s="138">
        <v>2</v>
      </c>
      <c r="B5" s="139"/>
      <c r="C5" s="139"/>
      <c r="D5" s="140" t="s">
        <v>66</v>
      </c>
      <c r="E5" s="101">
        <v>0</v>
      </c>
      <c r="F5" s="101">
        <v>0</v>
      </c>
      <c r="G5" s="101">
        <v>0</v>
      </c>
      <c r="H5" s="101">
        <v>288.036678</v>
      </c>
      <c r="I5" s="101">
        <v>6200</v>
      </c>
      <c r="J5" s="141">
        <f t="shared" si="0"/>
        <v>0.0464575287096774</v>
      </c>
      <c r="K5" s="101">
        <v>967.9332452</v>
      </c>
      <c r="L5" s="141">
        <f t="shared" si="1"/>
        <v>-0.702420926826948</v>
      </c>
      <c r="M5" s="101">
        <v>0</v>
      </c>
      <c r="N5" s="101">
        <v>0</v>
      </c>
      <c r="O5" s="101">
        <v>618.06530982</v>
      </c>
      <c r="P5" s="11">
        <f>328.8780433+O5</f>
        <v>946.94335312</v>
      </c>
      <c r="Q5" s="101">
        <v>7200</v>
      </c>
      <c r="R5" s="141">
        <f t="shared" si="2"/>
        <v>0.131519910155556</v>
      </c>
      <c r="S5" s="101">
        <v>27.78371676</v>
      </c>
      <c r="T5" s="141">
        <f t="shared" si="3"/>
        <v>33.0826737221604</v>
      </c>
      <c r="U5" s="101">
        <v>0</v>
      </c>
      <c r="V5" s="101">
        <v>0</v>
      </c>
      <c r="W5" s="101">
        <v>172.306</v>
      </c>
      <c r="X5" s="11">
        <f>828.03903402+W5</f>
        <v>1000.34503402</v>
      </c>
      <c r="Y5" s="101">
        <v>4300</v>
      </c>
      <c r="Z5" s="141">
        <f t="shared" si="4"/>
        <v>0.232638380004651</v>
      </c>
      <c r="AA5" s="101">
        <v>2843.1269529</v>
      </c>
      <c r="AB5" s="141">
        <f t="shared" si="5"/>
        <v>-0.648153230372058</v>
      </c>
      <c r="AC5" s="142">
        <v>9.3252</v>
      </c>
      <c r="AD5">
        <f>H5-AC5</f>
        <v>278.711478</v>
      </c>
    </row>
    <row r="6" ht="43" customHeight="1" spans="1:30">
      <c r="A6" s="138">
        <v>3</v>
      </c>
      <c r="B6" s="139"/>
      <c r="C6" s="139"/>
      <c r="D6" s="139" t="s">
        <v>353</v>
      </c>
      <c r="E6" s="101">
        <f>SUM(E4:E5)</f>
        <v>0</v>
      </c>
      <c r="F6" s="101">
        <f>SUM(F4:F5)</f>
        <v>0</v>
      </c>
      <c r="G6" s="101">
        <f>SUM(G4:G5)</f>
        <v>0</v>
      </c>
      <c r="H6" s="101">
        <f>SUM(H4:H5)</f>
        <v>661.103895</v>
      </c>
      <c r="I6" s="101">
        <f>SUM(I4:I5)</f>
        <v>10200</v>
      </c>
      <c r="J6" s="141">
        <f t="shared" si="0"/>
        <v>0.0648141073529412</v>
      </c>
      <c r="K6" s="101">
        <v>2227.597542</v>
      </c>
      <c r="L6" s="141">
        <f t="shared" si="1"/>
        <v>-0.703221123863136</v>
      </c>
      <c r="M6" s="101">
        <f>SUM(M4:M5)</f>
        <v>0</v>
      </c>
      <c r="N6" s="101">
        <f>SUM(N4:N5)</f>
        <v>0</v>
      </c>
      <c r="O6" s="101">
        <f>SUM(O4:O5)</f>
        <v>1030.1088497</v>
      </c>
      <c r="P6" s="101">
        <f>SUM(P4:P5)</f>
        <v>1549.4187512</v>
      </c>
      <c r="Q6" s="101">
        <f>SUM(Q4:Q5)</f>
        <v>9200</v>
      </c>
      <c r="R6" s="141">
        <f t="shared" si="2"/>
        <v>0.168415081652174</v>
      </c>
      <c r="S6" s="101">
        <v>46.3061946</v>
      </c>
      <c r="T6" s="141">
        <f t="shared" si="3"/>
        <v>32.4602911032555</v>
      </c>
      <c r="U6" s="101">
        <v>0</v>
      </c>
      <c r="V6" s="101">
        <v>0</v>
      </c>
      <c r="W6" s="101">
        <f t="shared" ref="W6:Y6" si="6">SUM(W4:W5)</f>
        <v>382.01</v>
      </c>
      <c r="X6" s="101">
        <f t="shared" si="6"/>
        <v>1799.1278567</v>
      </c>
      <c r="Y6" s="101">
        <f t="shared" si="6"/>
        <v>6400</v>
      </c>
      <c r="Z6" s="141">
        <f t="shared" si="4"/>
        <v>0.281113727609375</v>
      </c>
      <c r="AA6" s="101">
        <v>4774.2430299</v>
      </c>
      <c r="AB6" s="141">
        <f t="shared" si="5"/>
        <v>-0.623159557351297</v>
      </c>
    </row>
    <row r="7" ht="43" hidden="1" customHeight="1" spans="1:30">
      <c r="A7" s="138">
        <v>4</v>
      </c>
      <c r="B7" s="139"/>
      <c r="C7" s="139" t="s">
        <v>354</v>
      </c>
      <c r="D7" s="140" t="s">
        <v>120</v>
      </c>
      <c r="E7" s="101">
        <v>0</v>
      </c>
      <c r="F7" s="101">
        <v>0</v>
      </c>
      <c r="G7" s="101">
        <v>3765</v>
      </c>
      <c r="H7" s="101">
        <v>3765</v>
      </c>
      <c r="I7" s="101">
        <v>7100</v>
      </c>
      <c r="J7" s="141">
        <f t="shared" si="0"/>
        <v>0.530281690140845</v>
      </c>
      <c r="K7" s="101">
        <v>0.039</v>
      </c>
      <c r="L7" s="141">
        <f t="shared" si="1"/>
        <v>96537.4615384615</v>
      </c>
      <c r="M7" s="101">
        <v>0</v>
      </c>
      <c r="N7" s="101">
        <v>0</v>
      </c>
      <c r="O7" s="101">
        <v>991.1504421</v>
      </c>
      <c r="P7" s="101">
        <v>991.1504421</v>
      </c>
      <c r="Q7" s="101">
        <v>10000</v>
      </c>
      <c r="R7" s="141">
        <f t="shared" si="2"/>
        <v>0.09911504421</v>
      </c>
      <c r="S7" s="101">
        <v>0</v>
      </c>
      <c r="T7" s="141" t="e">
        <f t="shared" si="3"/>
        <v>#DIV/0!</v>
      </c>
      <c r="U7" s="101">
        <v>0</v>
      </c>
      <c r="V7" s="101">
        <v>0</v>
      </c>
      <c r="W7" s="101">
        <v>409.15</v>
      </c>
      <c r="X7" s="11">
        <f>374.85+W7</f>
        <v>784</v>
      </c>
      <c r="Y7" s="101">
        <v>8200</v>
      </c>
      <c r="Z7" s="141">
        <f t="shared" si="4"/>
        <v>0.095609756097561</v>
      </c>
      <c r="AA7" s="101">
        <v>54.67</v>
      </c>
      <c r="AB7" s="141">
        <f t="shared" si="5"/>
        <v>13.3405889884763</v>
      </c>
    </row>
    <row r="8" ht="43" hidden="1" customHeight="1" spans="1:30">
      <c r="A8" s="138">
        <v>5</v>
      </c>
      <c r="B8" s="139"/>
      <c r="C8" s="139"/>
      <c r="D8" s="140" t="s">
        <v>36</v>
      </c>
      <c r="E8" s="101">
        <v>0</v>
      </c>
      <c r="F8" s="101">
        <v>0</v>
      </c>
      <c r="G8" s="101">
        <v>785.1</v>
      </c>
      <c r="H8" s="101">
        <f>105+G8</f>
        <v>890.1</v>
      </c>
      <c r="I8" s="101">
        <v>21700</v>
      </c>
      <c r="J8" s="141">
        <f t="shared" si="0"/>
        <v>0.0410184331797235</v>
      </c>
      <c r="K8" s="101">
        <v>87.22907</v>
      </c>
      <c r="L8" s="141">
        <f t="shared" si="1"/>
        <v>9.20416702826248</v>
      </c>
      <c r="M8" s="101">
        <v>0</v>
      </c>
      <c r="N8" s="101">
        <v>0</v>
      </c>
      <c r="O8" s="101">
        <v>984.9557523</v>
      </c>
      <c r="P8" s="101">
        <f>270.637168+O8</f>
        <v>1255.5929203</v>
      </c>
      <c r="Q8" s="101">
        <v>800</v>
      </c>
      <c r="R8" s="141">
        <f t="shared" si="2"/>
        <v>1.569491150375</v>
      </c>
      <c r="S8" s="101">
        <v>0</v>
      </c>
      <c r="T8" s="141" t="e">
        <f t="shared" si="3"/>
        <v>#DIV/0!</v>
      </c>
      <c r="U8" s="101">
        <v>0</v>
      </c>
      <c r="V8" s="101">
        <v>0</v>
      </c>
      <c r="W8" s="101">
        <v>157.02</v>
      </c>
      <c r="X8" s="101">
        <v>157.02</v>
      </c>
      <c r="Y8" s="101">
        <v>8400</v>
      </c>
      <c r="Z8" s="141">
        <f t="shared" si="4"/>
        <v>0.0186928571428571</v>
      </c>
      <c r="AA8" s="101">
        <v>869.234</v>
      </c>
      <c r="AB8" s="141">
        <f t="shared" si="5"/>
        <v>-0.819358193535918</v>
      </c>
    </row>
    <row r="9" ht="43" hidden="1" customHeight="1" spans="1:30">
      <c r="A9" s="138">
        <v>6</v>
      </c>
      <c r="B9" s="139"/>
      <c r="C9" s="139"/>
      <c r="D9" s="140" t="s">
        <v>60</v>
      </c>
      <c r="E9" s="101">
        <v>0</v>
      </c>
      <c r="F9" s="101">
        <v>0</v>
      </c>
      <c r="G9" s="101">
        <v>686</v>
      </c>
      <c r="H9" s="101">
        <f>215.8712+G9</f>
        <v>901.8712</v>
      </c>
      <c r="I9" s="101">
        <v>5000</v>
      </c>
      <c r="J9" s="141">
        <f t="shared" si="0"/>
        <v>0.18037424</v>
      </c>
      <c r="K9" s="101">
        <v>776.7889</v>
      </c>
      <c r="L9" s="141">
        <f t="shared" si="1"/>
        <v>0.161024829268286</v>
      </c>
      <c r="M9" s="101">
        <v>0</v>
      </c>
      <c r="N9" s="101">
        <v>0</v>
      </c>
      <c r="O9" s="101">
        <v>327.6106191</v>
      </c>
      <c r="P9" s="11">
        <f>452.9330509+O9</f>
        <v>780.54367</v>
      </c>
      <c r="Q9" s="101">
        <v>4000</v>
      </c>
      <c r="R9" s="141">
        <f t="shared" si="2"/>
        <v>0.1951359175</v>
      </c>
      <c r="S9" s="101">
        <v>687.423803</v>
      </c>
      <c r="T9" s="141">
        <f t="shared" si="3"/>
        <v>0.135462092807397</v>
      </c>
      <c r="U9" s="101">
        <v>0</v>
      </c>
      <c r="V9" s="101">
        <v>0</v>
      </c>
      <c r="W9" s="101">
        <v>0</v>
      </c>
      <c r="X9" s="11">
        <v>518.514</v>
      </c>
      <c r="Y9" s="101">
        <v>4000</v>
      </c>
      <c r="Z9" s="141">
        <f t="shared" si="4"/>
        <v>0.1296285</v>
      </c>
      <c r="AA9" s="101">
        <v>1098.5193</v>
      </c>
      <c r="AB9" s="141">
        <f t="shared" si="5"/>
        <v>-0.527988265659056</v>
      </c>
    </row>
    <row r="10" ht="43" customHeight="1" spans="1:30">
      <c r="A10" s="138">
        <v>7</v>
      </c>
      <c r="B10" s="139"/>
      <c r="C10" s="139"/>
      <c r="D10" s="139" t="s">
        <v>353</v>
      </c>
      <c r="E10" s="101">
        <f>SUM(E7:E9)</f>
        <v>0</v>
      </c>
      <c r="F10" s="101">
        <f>SUM(F7:F9)</f>
        <v>0</v>
      </c>
      <c r="G10" s="101">
        <f>SUM(G7:G9)</f>
        <v>5236.1</v>
      </c>
      <c r="H10" s="101">
        <f>SUM(H7:H9)</f>
        <v>5556.9712</v>
      </c>
      <c r="I10" s="101">
        <f>SUM(I7:I9)</f>
        <v>33800</v>
      </c>
      <c r="J10" s="141">
        <f t="shared" si="0"/>
        <v>0.164407431952663</v>
      </c>
      <c r="K10" s="101">
        <v>864.05697</v>
      </c>
      <c r="L10" s="141">
        <f t="shared" si="1"/>
        <v>5.43125556871557</v>
      </c>
      <c r="M10" s="101">
        <f>SUM(M7:M9)</f>
        <v>0</v>
      </c>
      <c r="N10" s="101">
        <f>SUM(N7:N9)</f>
        <v>0</v>
      </c>
      <c r="O10" s="101">
        <f>SUM(O7:O9)</f>
        <v>2303.7168135</v>
      </c>
      <c r="P10" s="101">
        <f>SUM(P7:P9)</f>
        <v>3027.2870324</v>
      </c>
      <c r="Q10" s="101">
        <f>SUM(Q7:Q9)</f>
        <v>14800</v>
      </c>
      <c r="R10" s="141">
        <f t="shared" si="2"/>
        <v>0.204546421108108</v>
      </c>
      <c r="S10" s="101">
        <v>687.423803</v>
      </c>
      <c r="T10" s="141">
        <f t="shared" si="3"/>
        <v>3.40381467617001</v>
      </c>
      <c r="U10" s="101">
        <v>0</v>
      </c>
      <c r="V10" s="101">
        <v>0</v>
      </c>
      <c r="W10" s="101">
        <f t="shared" ref="W10:Y10" si="7">SUM(W7:W9)</f>
        <v>566.17</v>
      </c>
      <c r="X10" s="101">
        <f t="shared" si="7"/>
        <v>1459.534</v>
      </c>
      <c r="Y10" s="101">
        <f t="shared" si="7"/>
        <v>20600</v>
      </c>
      <c r="Z10" s="141">
        <f t="shared" si="4"/>
        <v>0.0708511650485437</v>
      </c>
      <c r="AA10" s="101">
        <v>2022.4233</v>
      </c>
      <c r="AB10" s="141">
        <f t="shared" si="5"/>
        <v>-0.27832417674381</v>
      </c>
    </row>
    <row r="11" ht="43" customHeight="1" spans="1:30">
      <c r="A11" s="138">
        <v>8</v>
      </c>
      <c r="B11" s="139"/>
      <c r="C11" s="143" t="s">
        <v>225</v>
      </c>
      <c r="D11" s="143"/>
      <c r="E11" s="111">
        <f>SUM(E6,E10)</f>
        <v>0</v>
      </c>
      <c r="F11" s="111">
        <f>SUM(F6,F10)</f>
        <v>0</v>
      </c>
      <c r="G11" s="111">
        <f>SUM(G6,G10)</f>
        <v>5236.1</v>
      </c>
      <c r="H11" s="111">
        <f>SUM(H6,H10)</f>
        <v>6218.075095</v>
      </c>
      <c r="I11" s="111">
        <f>SUM(I6,I10)</f>
        <v>44000</v>
      </c>
      <c r="J11" s="144">
        <f t="shared" si="0"/>
        <v>0.141319888522727</v>
      </c>
      <c r="K11" s="111">
        <v>3091.654512</v>
      </c>
      <c r="L11" s="144">
        <f t="shared" si="1"/>
        <v>1.01124513455985</v>
      </c>
      <c r="M11" s="111">
        <f>SUM(M6,M10)</f>
        <v>0</v>
      </c>
      <c r="N11" s="111">
        <f>SUM(N6,N10)</f>
        <v>0</v>
      </c>
      <c r="O11" s="111">
        <f>SUM(O6,O10)</f>
        <v>3333.8256632</v>
      </c>
      <c r="P11" s="111">
        <f>SUM(P6,P10)</f>
        <v>4576.7057836</v>
      </c>
      <c r="Q11" s="111">
        <f>SUM(Q6,Q10)</f>
        <v>24000</v>
      </c>
      <c r="R11" s="144">
        <f t="shared" si="2"/>
        <v>0.190696074316667</v>
      </c>
      <c r="S11" s="111">
        <v>733.7299976</v>
      </c>
      <c r="T11" s="144">
        <f t="shared" si="3"/>
        <v>5.23758848427925</v>
      </c>
      <c r="U11" s="111">
        <f t="shared" ref="U11:Y11" si="8">SUM(U6,U10)</f>
        <v>0</v>
      </c>
      <c r="V11" s="111">
        <f t="shared" si="8"/>
        <v>0</v>
      </c>
      <c r="W11" s="111">
        <f t="shared" si="8"/>
        <v>948.18</v>
      </c>
      <c r="X11" s="111">
        <f t="shared" si="8"/>
        <v>3258.6618567</v>
      </c>
      <c r="Y11" s="111">
        <f t="shared" si="8"/>
        <v>27000</v>
      </c>
      <c r="Z11" s="144">
        <f t="shared" si="4"/>
        <v>0.120691179877778</v>
      </c>
      <c r="AA11" s="111">
        <v>6796.6663299</v>
      </c>
      <c r="AB11" s="144">
        <f t="shared" si="5"/>
        <v>-0.520549972805867</v>
      </c>
    </row>
    <row r="12" ht="43" hidden="1" customHeight="1" spans="1:30">
      <c r="A12" s="138">
        <v>9</v>
      </c>
      <c r="B12" s="139" t="s">
        <v>355</v>
      </c>
      <c r="C12" s="145" t="s">
        <v>356</v>
      </c>
      <c r="D12" s="140" t="s">
        <v>42</v>
      </c>
      <c r="E12" s="101">
        <v>0</v>
      </c>
      <c r="F12" s="101">
        <v>0</v>
      </c>
      <c r="G12" s="101">
        <v>443.88</v>
      </c>
      <c r="H12" s="101">
        <v>2648.5797</v>
      </c>
      <c r="I12" s="101">
        <v>3500</v>
      </c>
      <c r="J12" s="141">
        <f t="shared" si="0"/>
        <v>0.756737057142857</v>
      </c>
      <c r="K12" s="101">
        <v>5.7409</v>
      </c>
      <c r="L12" s="141">
        <f t="shared" si="1"/>
        <v>460.352697312268</v>
      </c>
      <c r="M12" s="101">
        <v>0</v>
      </c>
      <c r="N12" s="101">
        <v>0</v>
      </c>
      <c r="O12" s="101">
        <v>0</v>
      </c>
      <c r="P12" s="101">
        <v>0</v>
      </c>
      <c r="Q12" s="101">
        <v>4500</v>
      </c>
      <c r="R12" s="141">
        <f t="shared" si="2"/>
        <v>0</v>
      </c>
      <c r="S12" s="101">
        <v>6521.1504421</v>
      </c>
      <c r="T12" s="141">
        <f t="shared" si="3"/>
        <v>-1</v>
      </c>
      <c r="U12" s="101">
        <v>0</v>
      </c>
      <c r="V12" s="101">
        <v>0</v>
      </c>
      <c r="W12" s="101">
        <v>0</v>
      </c>
      <c r="X12" s="11">
        <v>889.4655492</v>
      </c>
      <c r="Y12" s="101">
        <v>4500</v>
      </c>
      <c r="Z12" s="141">
        <f t="shared" si="4"/>
        <v>0.197659010933333</v>
      </c>
      <c r="AA12" s="101">
        <v>3628.2366635</v>
      </c>
      <c r="AB12" s="141">
        <f t="shared" si="5"/>
        <v>-0.754849081883768</v>
      </c>
      <c r="AC12">
        <v>11.5331</v>
      </c>
      <c r="AD12">
        <f>H12-AC12</f>
        <v>2637.0466</v>
      </c>
    </row>
    <row r="13" ht="43" hidden="1" customHeight="1" spans="1:30">
      <c r="A13" s="138">
        <v>10</v>
      </c>
      <c r="B13" s="139"/>
      <c r="C13" s="146"/>
      <c r="D13" s="140" t="s">
        <v>41</v>
      </c>
      <c r="E13" s="101">
        <v>0</v>
      </c>
      <c r="F13" s="101">
        <v>0</v>
      </c>
      <c r="G13" s="101">
        <f>1044.81516-0.7478-0.3048</f>
        <v>1043.76256</v>
      </c>
      <c r="H13" s="101">
        <v>6215.32516</v>
      </c>
      <c r="I13" s="101">
        <v>9500</v>
      </c>
      <c r="J13" s="141">
        <f t="shared" si="0"/>
        <v>0.654244753684211</v>
      </c>
      <c r="K13" s="101">
        <v>4.9697</v>
      </c>
      <c r="L13" s="141">
        <f t="shared" si="1"/>
        <v>1249.6439342415</v>
      </c>
      <c r="M13" s="101">
        <v>0</v>
      </c>
      <c r="N13" s="101">
        <v>0</v>
      </c>
      <c r="O13" s="101">
        <v>280.2773579</v>
      </c>
      <c r="P13" s="11">
        <f>1399.170303+O13</f>
        <v>1679.4476609</v>
      </c>
      <c r="Q13" s="101">
        <v>10500</v>
      </c>
      <c r="R13" s="141">
        <f t="shared" si="2"/>
        <v>0.15994739627619</v>
      </c>
      <c r="S13" s="101">
        <v>3568.6699989</v>
      </c>
      <c r="T13" s="141">
        <f t="shared" si="3"/>
        <v>-0.529391156532358</v>
      </c>
      <c r="U13" s="101">
        <v>0</v>
      </c>
      <c r="V13" s="101">
        <v>0</v>
      </c>
      <c r="W13" s="101">
        <v>3.1147</v>
      </c>
      <c r="X13" s="11">
        <f>5161.87880305+W13</f>
        <v>5164.99350305</v>
      </c>
      <c r="Y13" s="101">
        <v>10500</v>
      </c>
      <c r="Z13" s="141">
        <f t="shared" si="4"/>
        <v>0.491904143147619</v>
      </c>
      <c r="AA13" s="101">
        <v>5095.1482015</v>
      </c>
      <c r="AB13" s="141">
        <f t="shared" si="5"/>
        <v>0.0137081982285496</v>
      </c>
      <c r="AC13">
        <v>5.993628</v>
      </c>
      <c r="AD13">
        <f>O13+AC13</f>
        <v>286.2709859</v>
      </c>
    </row>
    <row r="14" ht="43" customHeight="1" spans="1:30">
      <c r="A14" s="138">
        <v>11</v>
      </c>
      <c r="B14" s="139"/>
      <c r="C14" s="143" t="s">
        <v>225</v>
      </c>
      <c r="D14" s="143"/>
      <c r="E14" s="111">
        <f>SUM(E12:E13)</f>
        <v>0</v>
      </c>
      <c r="F14" s="111">
        <f>SUM(F12:F13)</f>
        <v>0</v>
      </c>
      <c r="G14" s="111">
        <f>SUM(G12:G13)</f>
        <v>1487.64256</v>
      </c>
      <c r="H14" s="111">
        <f>SUM(H12:H13)</f>
        <v>8863.90486</v>
      </c>
      <c r="I14" s="111">
        <f>SUM(I12:I13)</f>
        <v>13000</v>
      </c>
      <c r="J14" s="144">
        <f t="shared" si="0"/>
        <v>0.681838835384615</v>
      </c>
      <c r="K14" s="111">
        <v>10.7106</v>
      </c>
      <c r="L14" s="144">
        <f t="shared" si="1"/>
        <v>826.582475304838</v>
      </c>
      <c r="M14" s="111">
        <f>SUM(M12:M13)</f>
        <v>0</v>
      </c>
      <c r="N14" s="111">
        <f>SUM(N12:N13)</f>
        <v>0</v>
      </c>
      <c r="O14" s="111">
        <f>SUM(O12:O13)</f>
        <v>280.2773579</v>
      </c>
      <c r="P14" s="111">
        <f>SUM(P12:P13)</f>
        <v>1679.4476609</v>
      </c>
      <c r="Q14" s="111">
        <f>SUM(Q12:Q13)</f>
        <v>15000</v>
      </c>
      <c r="R14" s="144">
        <f t="shared" si="2"/>
        <v>0.111963177393333</v>
      </c>
      <c r="S14" s="111">
        <v>10089.820441</v>
      </c>
      <c r="T14" s="144">
        <f t="shared" ref="T14:Y14" si="9">SUM(T12:T13)</f>
        <v>-1.52939115653236</v>
      </c>
      <c r="U14" s="111">
        <f t="shared" si="9"/>
        <v>0</v>
      </c>
      <c r="V14" s="111">
        <f t="shared" si="9"/>
        <v>0</v>
      </c>
      <c r="W14" s="111">
        <f t="shared" si="9"/>
        <v>3.1147</v>
      </c>
      <c r="X14" s="111">
        <f t="shared" si="9"/>
        <v>6054.45905225</v>
      </c>
      <c r="Y14" s="111">
        <f t="shared" si="9"/>
        <v>15000</v>
      </c>
      <c r="Z14" s="144">
        <f t="shared" si="4"/>
        <v>0.403630603483333</v>
      </c>
      <c r="AA14" s="111">
        <v>8723.384865</v>
      </c>
      <c r="AB14" s="144">
        <f t="shared" si="5"/>
        <v>-0.305950712258297</v>
      </c>
    </row>
    <row r="15" ht="42" hidden="1" customHeight="1" spans="1:30">
      <c r="A15" s="138">
        <v>12</v>
      </c>
      <c r="B15" s="145" t="s">
        <v>357</v>
      </c>
      <c r="C15" s="145" t="s">
        <v>358</v>
      </c>
      <c r="D15" s="140" t="s">
        <v>54</v>
      </c>
      <c r="E15" s="101">
        <v>0</v>
      </c>
      <c r="F15" s="101">
        <v>0</v>
      </c>
      <c r="G15" s="101">
        <v>0</v>
      </c>
      <c r="H15" s="101">
        <f>4426+G15+447.2-1770.4</f>
        <v>3102.8</v>
      </c>
      <c r="I15" s="101">
        <v>6000</v>
      </c>
      <c r="J15" s="141">
        <f t="shared" si="0"/>
        <v>0.517133333333333</v>
      </c>
      <c r="K15" s="101">
        <v>82.824</v>
      </c>
      <c r="L15" s="141">
        <f t="shared" si="1"/>
        <v>36.4625712353907</v>
      </c>
      <c r="M15" s="101">
        <v>0</v>
      </c>
      <c r="N15" s="101">
        <v>0</v>
      </c>
      <c r="O15" s="101">
        <v>1773.467071</v>
      </c>
      <c r="P15" s="101">
        <f>4916.4601774+O15</f>
        <v>6689.9272484</v>
      </c>
      <c r="Q15" s="101">
        <v>10000</v>
      </c>
      <c r="R15" s="141">
        <f t="shared" si="2"/>
        <v>0.66899272484</v>
      </c>
      <c r="S15" s="101">
        <v>451.41035453</v>
      </c>
      <c r="T15" s="141">
        <f t="shared" ref="T15:T20" si="10">(P15-S15)/S15</f>
        <v>13.8200571415014</v>
      </c>
      <c r="U15" s="101">
        <v>0</v>
      </c>
      <c r="V15" s="101">
        <v>0</v>
      </c>
      <c r="W15" s="101">
        <v>19.7689</v>
      </c>
      <c r="X15" s="101">
        <f>82.5081+W15</f>
        <v>102.277</v>
      </c>
      <c r="Y15" s="101">
        <v>9500</v>
      </c>
      <c r="Z15" s="141">
        <f t="shared" si="4"/>
        <v>0.010766</v>
      </c>
      <c r="AA15" s="101">
        <v>387.6</v>
      </c>
      <c r="AB15" s="141">
        <f t="shared" si="5"/>
        <v>-0.736127450980392</v>
      </c>
    </row>
    <row r="16" ht="42" hidden="1" customHeight="1" spans="1:30">
      <c r="A16" s="138">
        <v>13</v>
      </c>
      <c r="B16" s="147"/>
      <c r="C16" s="147"/>
      <c r="D16" s="140" t="s">
        <v>55</v>
      </c>
      <c r="E16" s="101">
        <v>0</v>
      </c>
      <c r="F16" s="101">
        <v>0</v>
      </c>
      <c r="G16" s="101">
        <v>0</v>
      </c>
      <c r="H16" s="101">
        <f>29.4+1770.4</f>
        <v>1799.8</v>
      </c>
      <c r="I16" s="101">
        <v>3000</v>
      </c>
      <c r="J16" s="141">
        <f t="shared" si="0"/>
        <v>0.599933333333333</v>
      </c>
      <c r="K16" s="101">
        <v>0</v>
      </c>
      <c r="L16" s="141" t="e">
        <f t="shared" si="1"/>
        <v>#DIV/0!</v>
      </c>
      <c r="M16" s="101">
        <v>0</v>
      </c>
      <c r="N16" s="101">
        <v>0</v>
      </c>
      <c r="O16" s="101">
        <v>60.7079648</v>
      </c>
      <c r="P16" s="11">
        <f>121.4159296+O16</f>
        <v>182.1238944</v>
      </c>
      <c r="Q16" s="101">
        <v>12000</v>
      </c>
      <c r="R16" s="141">
        <f t="shared" si="2"/>
        <v>0.0151769912</v>
      </c>
      <c r="S16" s="101">
        <v>0</v>
      </c>
      <c r="T16" s="141" t="e">
        <f t="shared" si="10"/>
        <v>#DIV/0!</v>
      </c>
      <c r="U16" s="101">
        <v>0</v>
      </c>
      <c r="V16" s="101">
        <v>0</v>
      </c>
      <c r="W16" s="101">
        <v>0</v>
      </c>
      <c r="X16" s="11">
        <v>6892.43033475</v>
      </c>
      <c r="Y16" s="101">
        <v>15000</v>
      </c>
      <c r="Z16" s="141">
        <f t="shared" si="4"/>
        <v>0.45949535565</v>
      </c>
      <c r="AA16" s="101">
        <v>265.1973</v>
      </c>
      <c r="AB16" s="141">
        <f t="shared" si="5"/>
        <v>24.9898209172944</v>
      </c>
    </row>
    <row r="17" s="86" customFormat="1" ht="42" customHeight="1" spans="1:28">
      <c r="A17" s="138">
        <v>14</v>
      </c>
      <c r="B17" s="148"/>
      <c r="C17" s="149"/>
      <c r="D17" s="150" t="s">
        <v>353</v>
      </c>
      <c r="E17" s="113">
        <f>SUM(E15:E16)</f>
        <v>0</v>
      </c>
      <c r="F17" s="113">
        <f>SUM(F15:F16)</f>
        <v>0</v>
      </c>
      <c r="G17" s="113">
        <f>SUM(G15:G16)</f>
        <v>0</v>
      </c>
      <c r="H17" s="113">
        <f>SUM(H15:H16)</f>
        <v>4902.6</v>
      </c>
      <c r="I17" s="113">
        <f>SUM(I15:I16)</f>
        <v>9000</v>
      </c>
      <c r="J17" s="141">
        <f t="shared" si="0"/>
        <v>0.544733333333333</v>
      </c>
      <c r="K17" s="113">
        <v>82.824</v>
      </c>
      <c r="L17" s="141">
        <f t="shared" si="1"/>
        <v>58.1929875398435</v>
      </c>
      <c r="M17" s="113">
        <f>SUM(M15:M16)</f>
        <v>0</v>
      </c>
      <c r="N17" s="113">
        <f>SUM(N15:N16)</f>
        <v>0</v>
      </c>
      <c r="O17" s="113">
        <f>SUM(O15:O16)</f>
        <v>1834.1750358</v>
      </c>
      <c r="P17" s="113">
        <f>SUM(P15:P16)</f>
        <v>6872.0511428</v>
      </c>
      <c r="Q17" s="113">
        <f>SUM(Q15:Q16)</f>
        <v>22000</v>
      </c>
      <c r="R17" s="141">
        <f t="shared" si="2"/>
        <v>0.312365961036364</v>
      </c>
      <c r="S17" s="113">
        <v>451.41035453</v>
      </c>
      <c r="T17" s="141">
        <f t="shared" si="10"/>
        <v>14.2235124290737</v>
      </c>
      <c r="U17" s="113">
        <v>0</v>
      </c>
      <c r="V17" s="113">
        <v>0</v>
      </c>
      <c r="W17" s="113">
        <f t="shared" ref="W17:Y17" si="11">SUM(W15:W16)</f>
        <v>19.7689</v>
      </c>
      <c r="X17" s="113">
        <f t="shared" si="11"/>
        <v>6994.70733475</v>
      </c>
      <c r="Y17" s="113">
        <f t="shared" si="11"/>
        <v>24500</v>
      </c>
      <c r="Z17" s="141">
        <f t="shared" si="4"/>
        <v>0.285498258561225</v>
      </c>
      <c r="AA17" s="113">
        <v>652.7973</v>
      </c>
      <c r="AB17" s="141">
        <f t="shared" si="5"/>
        <v>9.71497589642298</v>
      </c>
    </row>
    <row r="18" ht="42" customHeight="1" spans="1:28">
      <c r="A18" s="138">
        <v>15</v>
      </c>
      <c r="B18" s="147"/>
      <c r="C18" s="145" t="s">
        <v>359</v>
      </c>
      <c r="D18" s="140" t="s">
        <v>47</v>
      </c>
      <c r="E18" s="101">
        <v>0</v>
      </c>
      <c r="F18" s="101">
        <v>0</v>
      </c>
      <c r="G18" s="101">
        <f>537.2+619.2-63</f>
        <v>1093.4</v>
      </c>
      <c r="H18" s="101">
        <f>1104.45+G18-447.2</f>
        <v>1750.65</v>
      </c>
      <c r="I18" s="101">
        <v>4000</v>
      </c>
      <c r="J18" s="141">
        <f t="shared" si="0"/>
        <v>0.4376625</v>
      </c>
      <c r="K18" s="101">
        <v>183.456</v>
      </c>
      <c r="L18" s="141">
        <f t="shared" si="1"/>
        <v>8.54261512297227</v>
      </c>
      <c r="M18" s="101">
        <v>0</v>
      </c>
      <c r="N18" s="101">
        <v>0</v>
      </c>
      <c r="O18" s="101">
        <v>132.743363</v>
      </c>
      <c r="P18" s="101">
        <f>2191.9469019+O18</f>
        <v>2324.6902649</v>
      </c>
      <c r="Q18" s="101">
        <v>10000</v>
      </c>
      <c r="R18" s="141">
        <f t="shared" si="2"/>
        <v>0.23246902649</v>
      </c>
      <c r="S18" s="101">
        <v>93.54336257</v>
      </c>
      <c r="T18" s="141">
        <f t="shared" si="10"/>
        <v>23.8514720984121</v>
      </c>
      <c r="U18" s="101">
        <v>0</v>
      </c>
      <c r="V18" s="101">
        <v>0</v>
      </c>
      <c r="W18" s="101">
        <v>0</v>
      </c>
      <c r="X18" s="101">
        <v>355</v>
      </c>
      <c r="Y18" s="101">
        <v>7500</v>
      </c>
      <c r="Z18" s="141">
        <f t="shared" si="4"/>
        <v>0.0473333333333333</v>
      </c>
      <c r="AA18" s="101">
        <v>0</v>
      </c>
      <c r="AB18" s="141" t="e">
        <f t="shared" si="5"/>
        <v>#DIV/0!</v>
      </c>
    </row>
    <row r="19" ht="42" customHeight="1" spans="1:28">
      <c r="A19" s="138">
        <v>16</v>
      </c>
      <c r="B19" s="146"/>
      <c r="C19" s="143" t="s">
        <v>225</v>
      </c>
      <c r="D19" s="143"/>
      <c r="E19" s="111">
        <f>SUM(E17,E18)</f>
        <v>0</v>
      </c>
      <c r="F19" s="111">
        <f>SUM(F17,F18)</f>
        <v>0</v>
      </c>
      <c r="G19" s="111">
        <f>SUM(G17,G18)</f>
        <v>1093.4</v>
      </c>
      <c r="H19" s="111">
        <f>SUM(H17,H18)</f>
        <v>6653.25</v>
      </c>
      <c r="I19" s="111">
        <f>SUM(I17,I18)</f>
        <v>13000</v>
      </c>
      <c r="J19" s="144">
        <f t="shared" si="0"/>
        <v>0.511788461538462</v>
      </c>
      <c r="K19" s="111">
        <v>266.28</v>
      </c>
      <c r="L19" s="144">
        <f t="shared" si="1"/>
        <v>23.9859170797657</v>
      </c>
      <c r="M19" s="111">
        <f>SUM(M17,M18)</f>
        <v>0</v>
      </c>
      <c r="N19" s="111">
        <f>SUM(N17,N18)</f>
        <v>0</v>
      </c>
      <c r="O19" s="111">
        <f>SUM(O17,O18)</f>
        <v>1966.9183988</v>
      </c>
      <c r="P19" s="111">
        <f>SUM(P17,P18)</f>
        <v>9196.7414077</v>
      </c>
      <c r="Q19" s="111">
        <f>SUM(Q17,Q18)</f>
        <v>32000</v>
      </c>
      <c r="R19" s="144">
        <f t="shared" si="2"/>
        <v>0.287398168990625</v>
      </c>
      <c r="S19" s="111">
        <v>544.9537171</v>
      </c>
      <c r="T19" s="144">
        <f t="shared" si="10"/>
        <v>15.8761880488511</v>
      </c>
      <c r="U19" s="111">
        <v>0</v>
      </c>
      <c r="V19" s="111">
        <v>0</v>
      </c>
      <c r="W19" s="111">
        <f t="shared" ref="W19:Y19" si="12">SUM(W17,W18)</f>
        <v>19.7689</v>
      </c>
      <c r="X19" s="111">
        <f t="shared" si="12"/>
        <v>7349.70733475</v>
      </c>
      <c r="Y19" s="111">
        <f t="shared" si="12"/>
        <v>32000</v>
      </c>
      <c r="Z19" s="144">
        <f t="shared" si="4"/>
        <v>0.229678354210937</v>
      </c>
      <c r="AA19" s="111">
        <v>652.7973</v>
      </c>
      <c r="AB19" s="144">
        <f t="shared" si="5"/>
        <v>10.2587894201615</v>
      </c>
    </row>
    <row r="20" ht="44" customHeight="1" spans="1:28">
      <c r="A20" s="151" t="s">
        <v>360</v>
      </c>
      <c r="B20" s="152"/>
      <c r="C20" s="152"/>
      <c r="D20" s="151"/>
      <c r="E20" s="153">
        <f t="shared" ref="E20:I20" si="13">SUM(E11,E14,E19)</f>
        <v>0</v>
      </c>
      <c r="F20" s="153">
        <f t="shared" si="13"/>
        <v>0</v>
      </c>
      <c r="G20" s="153">
        <f t="shared" si="13"/>
        <v>7817.14256</v>
      </c>
      <c r="H20" s="153">
        <f t="shared" si="13"/>
        <v>21735.229955</v>
      </c>
      <c r="I20" s="153">
        <f t="shared" si="13"/>
        <v>70000</v>
      </c>
      <c r="J20" s="144">
        <f t="shared" si="0"/>
        <v>0.310503285071429</v>
      </c>
      <c r="K20" s="153">
        <v>3368.645112</v>
      </c>
      <c r="L20" s="144">
        <f t="shared" si="1"/>
        <v>5.45221720672605</v>
      </c>
      <c r="M20" s="153">
        <f t="shared" ref="M20:Q20" si="14">SUM(M11,M14,M19)</f>
        <v>0</v>
      </c>
      <c r="N20" s="153">
        <f t="shared" si="14"/>
        <v>0</v>
      </c>
      <c r="O20" s="153">
        <f t="shared" si="14"/>
        <v>5581.0214199</v>
      </c>
      <c r="P20" s="153">
        <f t="shared" si="14"/>
        <v>15452.8948522</v>
      </c>
      <c r="Q20" s="153">
        <f t="shared" si="14"/>
        <v>71000</v>
      </c>
      <c r="R20" s="144">
        <f t="shared" si="2"/>
        <v>0.217646406369014</v>
      </c>
      <c r="S20" s="153">
        <v>11368.5041557</v>
      </c>
      <c r="T20" s="144">
        <f t="shared" si="10"/>
        <v>0.359272481283489</v>
      </c>
      <c r="U20" s="153">
        <v>0</v>
      </c>
      <c r="V20" s="153">
        <v>0</v>
      </c>
      <c r="W20" s="153">
        <f t="shared" ref="W20:Y20" si="15">SUM(W11,W14,W19)</f>
        <v>971.0636</v>
      </c>
      <c r="X20" s="153">
        <f t="shared" si="15"/>
        <v>16662.8282437</v>
      </c>
      <c r="Y20" s="153">
        <f t="shared" si="15"/>
        <v>74000</v>
      </c>
      <c r="Z20" s="144">
        <f t="shared" si="4"/>
        <v>0.225173354644595</v>
      </c>
      <c r="AA20" s="153">
        <v>16172.8484949</v>
      </c>
      <c r="AB20" s="144">
        <f t="shared" si="5"/>
        <v>0.030296440911724</v>
      </c>
    </row>
    <row r="21" spans="1:28">
      <c r="H21" s="123"/>
      <c r="X21" s="121"/>
      <c r="Y21" s="122"/>
      <c r="Z21" s="122"/>
      <c r="AA21" s="122"/>
    </row>
    <row r="22" spans="1:28">
      <c r="H22" s="123"/>
      <c r="I22" s="154"/>
      <c r="J22" s="154"/>
      <c r="K22" s="154"/>
      <c r="L22" s="154"/>
      <c r="Q22" s="154"/>
      <c r="R22" s="154"/>
      <c r="S22" s="154"/>
      <c r="T22" s="154"/>
      <c r="X22" s="121"/>
      <c r="Y22" s="155"/>
      <c r="Z22" s="155"/>
      <c r="AA22" s="155"/>
    </row>
    <row r="23" ht="14.5" spans="1:28">
      <c r="H23"/>
      <c r="I23" s="156"/>
      <c r="J23" s="156"/>
      <c r="K23" s="156"/>
      <c r="X23"/>
    </row>
    <row r="24" spans="1:28">
      <c r="H24" s="123"/>
      <c r="I24" s="124"/>
      <c r="J24" s="124"/>
      <c r="K24" s="124"/>
      <c r="L24" s="124"/>
      <c r="M24" s="90"/>
      <c r="N24" s="90"/>
      <c r="O24" s="90"/>
      <c r="P24" s="90"/>
      <c r="Q24" s="124"/>
      <c r="R24" s="124"/>
      <c r="S24" s="124"/>
      <c r="T24" s="124"/>
      <c r="U24" s="90"/>
      <c r="V24" s="90"/>
    </row>
    <row r="25" ht="14.5" spans="1:28">
      <c r="H25" s="123"/>
      <c r="I25" s="124"/>
      <c r="J25" s="124"/>
      <c r="K25" s="124"/>
      <c r="L25" s="124"/>
      <c r="M25" s="90"/>
      <c r="N25" s="90"/>
      <c r="O25" s="90"/>
      <c r="P25" s="157"/>
      <c r="Q25" s="158"/>
      <c r="R25" s="124"/>
      <c r="S25" s="124"/>
      <c r="T25" s="124"/>
      <c r="U25" s="90"/>
      <c r="V25" s="90"/>
    </row>
    <row r="26" spans="1:28">
      <c r="H26" s="123"/>
    </row>
    <row r="27" spans="1:28">
      <c r="H27" s="123"/>
      <c r="X27"/>
    </row>
    <row r="28" spans="1:28">
      <c r="H28" s="123"/>
    </row>
    <row r="29" spans="1:28">
      <c r="H29" s="123"/>
    </row>
    <row r="30" spans="1:28">
      <c r="H30" s="123"/>
    </row>
    <row r="31" spans="1:28">
      <c r="H31" s="123"/>
      <c r="I31" s="154"/>
      <c r="J31" s="154"/>
      <c r="K31" s="154"/>
      <c r="L31" s="154"/>
      <c r="Q31" s="154"/>
      <c r="R31" s="154"/>
      <c r="S31" s="154"/>
      <c r="T31" s="154"/>
    </row>
    <row r="32" spans="1:28">
      <c r="H32" s="123"/>
      <c r="M32" s="88">
        <v>10000</v>
      </c>
    </row>
    <row r="33" ht="14.5" spans="2:23">
      <c r="F33" s="159"/>
    </row>
    <row r="34" s="1" customFormat="1" ht="14.5" spans="2:23">
      <c r="B34" s="160"/>
      <c r="C34" s="160"/>
      <c r="E34" s="90"/>
      <c r="F34" s="161"/>
      <c r="G34" s="90"/>
      <c r="H34" s="123"/>
      <c r="I34" s="124"/>
      <c r="J34" s="124"/>
      <c r="K34" s="124"/>
      <c r="L34" s="124"/>
      <c r="M34" s="90"/>
      <c r="N34" s="90"/>
      <c r="O34" s="90"/>
      <c r="P34" s="90"/>
      <c r="Q34" s="124"/>
      <c r="R34" s="124"/>
      <c r="S34" s="124"/>
      <c r="T34" s="124"/>
      <c r="U34" s="90"/>
      <c r="V34" s="90"/>
      <c r="W34" s="90"/>
    </row>
    <row r="36" spans="2:23">
      <c r="D36" s="162"/>
      <c r="E36" s="163"/>
    </row>
  </sheetData>
  <autoFilter xmlns:etc="http://www.wps.cn/officeDocument/2017/etCustomData" ref="A3:AD20" etc:filterBottomFollowUsedRange="0">
    <filterColumn colId="3">
      <filters>
        <filter val="小计"/>
        <filter val="总计"/>
        <filter val="华东区域指挥部总计"/>
        <filter val="杨志胜"/>
      </filters>
    </filterColumn>
    <extLst/>
  </autoFilter>
  <mergeCells count="13">
    <mergeCell ref="A1:AB1"/>
    <mergeCell ref="A2:AB2"/>
    <mergeCell ref="C11:D11"/>
    <mergeCell ref="C14:D14"/>
    <mergeCell ref="C19:D19"/>
    <mergeCell ref="A20:D20"/>
    <mergeCell ref="B4:B11"/>
    <mergeCell ref="B12:B14"/>
    <mergeCell ref="B15:B19"/>
    <mergeCell ref="C4:C6"/>
    <mergeCell ref="C7:C10"/>
    <mergeCell ref="C12:C13"/>
    <mergeCell ref="C15:C17"/>
  </mergeCells>
  <pageMargins left="0.75" right="0.75" top="1" bottom="1" header="0.5" footer="0.5"/>
  <pageSetup paperSize="9" orientation="portrait"/>
  <headerFooter/>
  <ignoredErrors>
    <ignoredError sqref="L8" evalError="1"/>
    <ignoredError sqref="L6 L2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opLeftCell="A3" workbookViewId="0">
      <selection activeCell="C3" sqref="C3"/>
    </sheetView>
  </sheetViews>
  <sheetFormatPr defaultColWidth="8.72727272727273" defaultRowHeight="14" outlineLevelCol="3"/>
  <cols>
    <col min="1" max="1" width="12.4545454545455" customWidth="1"/>
    <col min="2" max="2" width="12.4545454545455" style="1" customWidth="1"/>
    <col min="3" max="4" width="12.4545454545455" customWidth="1"/>
  </cols>
  <sheetData>
    <row r="1" ht="56" customHeight="1" spans="1:4">
      <c r="A1" s="77" t="s">
        <v>0</v>
      </c>
      <c r="B1" s="77" t="s">
        <v>361</v>
      </c>
      <c r="C1" s="77" t="s">
        <v>28</v>
      </c>
      <c r="D1" s="77" t="s">
        <v>362</v>
      </c>
    </row>
    <row r="2" ht="56" customHeight="1" spans="1:4">
      <c r="A2" s="77">
        <v>1</v>
      </c>
      <c r="B2" s="77" t="s">
        <v>37</v>
      </c>
      <c r="C2" s="11">
        <f>(SUMIF(新签!B3:B9,B2,新签!Y3:Y9))/10000</f>
        <v>7347.15</v>
      </c>
      <c r="D2" s="120">
        <f>C2/C4</f>
        <v>0.565922850584629</v>
      </c>
    </row>
    <row r="3" ht="56" customHeight="1" spans="1:4">
      <c r="A3" s="77">
        <v>2</v>
      </c>
      <c r="B3" s="77" t="s">
        <v>29</v>
      </c>
      <c r="C3" s="11">
        <f>(SUMIF(新签!B3:B9,B3,新签!Y3:Y9))/10000</f>
        <v>5635.45</v>
      </c>
      <c r="D3" s="120">
        <f>C3/C4</f>
        <v>0.434077149415371</v>
      </c>
    </row>
    <row r="4" ht="56" customHeight="1" spans="1:4">
      <c r="A4" s="77"/>
      <c r="B4" s="77" t="s">
        <v>363</v>
      </c>
      <c r="C4" s="11">
        <f>SUM(C2:C3)</f>
        <v>12982.6</v>
      </c>
      <c r="D4" s="77"/>
    </row>
    <row r="5" spans="1:4">
      <c r="D5" s="1"/>
    </row>
    <row r="8" ht="56" customHeight="1" spans="1:4">
      <c r="A8" s="77" t="s">
        <v>0</v>
      </c>
      <c r="B8" s="77" t="s">
        <v>5</v>
      </c>
      <c r="C8" s="77" t="s">
        <v>28</v>
      </c>
      <c r="D8" s="77" t="s">
        <v>362</v>
      </c>
    </row>
    <row r="9" ht="56" customHeight="1" spans="1:4">
      <c r="A9" s="77">
        <v>1</v>
      </c>
      <c r="B9" s="77" t="s">
        <v>33</v>
      </c>
      <c r="C9" s="11">
        <f>(SUMIF(新签!F3:F9,B9,新签!Y3:Y9))/10000</f>
        <v>6822.6</v>
      </c>
      <c r="D9" s="120">
        <f>C9/C11</f>
        <v>0.52551877127848</v>
      </c>
    </row>
    <row r="10" ht="56" customHeight="1" spans="1:4">
      <c r="A10" s="77">
        <v>2</v>
      </c>
      <c r="B10" s="77" t="s">
        <v>50</v>
      </c>
      <c r="C10" s="11">
        <f>(SUMIF(新签!F3:F9,B10,新签!Y3:Y9))/10000</f>
        <v>6160</v>
      </c>
      <c r="D10" s="120">
        <f>C10/C11</f>
        <v>0.47448122872152</v>
      </c>
    </row>
    <row r="11" ht="56" customHeight="1" spans="1:4">
      <c r="A11" s="77"/>
      <c r="B11" s="77" t="s">
        <v>363</v>
      </c>
      <c r="C11" s="11">
        <f>SUM(C9:C10)</f>
        <v>12982.6</v>
      </c>
      <c r="D11" s="12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A17" sqref="A17"/>
    </sheetView>
  </sheetViews>
  <sheetFormatPr defaultColWidth="8.72727272727273" defaultRowHeight="14" outlineLevelCol="1"/>
  <cols>
    <col min="1" max="1" width="7.72727272727273"/>
    <col min="2" max="2" width="13.5454545454545"/>
  </cols>
  <sheetData>
    <row r="3" spans="1:2">
      <c r="A3" t="s">
        <v>326</v>
      </c>
      <c r="B3" t="s">
        <v>364</v>
      </c>
    </row>
    <row r="4" spans="1:2">
      <c r="A4" t="s">
        <v>55</v>
      </c>
      <c r="B4">
        <v>2222202</v>
      </c>
    </row>
    <row r="5" spans="1:2">
      <c r="A5" t="s">
        <v>65</v>
      </c>
      <c r="B5" s="119">
        <v>585000</v>
      </c>
    </row>
    <row r="6" spans="1:2">
      <c r="A6" t="s">
        <v>365</v>
      </c>
      <c r="B6">
        <v>640000</v>
      </c>
    </row>
    <row r="7" spans="1:2">
      <c r="A7" t="s">
        <v>42</v>
      </c>
      <c r="B7">
        <v>658249.836</v>
      </c>
    </row>
    <row r="8" spans="1:2">
      <c r="A8" t="s">
        <v>120</v>
      </c>
      <c r="B8">
        <v>723090</v>
      </c>
    </row>
    <row r="9" spans="1:2">
      <c r="A9" t="s">
        <v>36</v>
      </c>
      <c r="B9">
        <v>320760</v>
      </c>
    </row>
    <row r="10" spans="1:2">
      <c r="A10" t="s">
        <v>41</v>
      </c>
      <c r="B10">
        <v>-1749000</v>
      </c>
    </row>
    <row r="11" spans="1:2">
      <c r="A11" t="s">
        <v>366</v>
      </c>
      <c r="B11">
        <v>1535916.284</v>
      </c>
    </row>
    <row r="12" spans="1:2">
      <c r="A12" t="s">
        <v>54</v>
      </c>
      <c r="B12">
        <v>1500400</v>
      </c>
    </row>
    <row r="13" spans="1:2">
      <c r="A13" t="s">
        <v>224</v>
      </c>
    </row>
    <row r="14" spans="1:2">
      <c r="A14" t="s">
        <v>225</v>
      </c>
      <c r="B14">
        <v>6436618.12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C1" sqref="A$1:C$1048576"/>
    </sheetView>
  </sheetViews>
  <sheetFormatPr defaultColWidth="8.72727272727273" defaultRowHeight="14" outlineLevelCol="2"/>
  <sheetData>
    <row r="1" spans="1:3">
      <c r="A1" t="s">
        <v>326</v>
      </c>
      <c r="B1" t="s">
        <v>27</v>
      </c>
      <c r="C1" t="s">
        <v>28</v>
      </c>
    </row>
    <row r="2" spans="1:3">
      <c r="A2" t="s">
        <v>55</v>
      </c>
      <c r="B2">
        <v>1</v>
      </c>
      <c r="C2">
        <v>80000</v>
      </c>
    </row>
    <row r="3" spans="1:3">
      <c r="A3" t="s">
        <v>41</v>
      </c>
      <c r="B3">
        <v>1</v>
      </c>
      <c r="C3">
        <v>-1749000</v>
      </c>
    </row>
    <row r="4" spans="1:3">
      <c r="A4" t="s">
        <v>36</v>
      </c>
      <c r="B4">
        <v>0.6</v>
      </c>
      <c r="C4">
        <v>320760</v>
      </c>
    </row>
    <row r="5" spans="1:3">
      <c r="A5" t="s">
        <v>366</v>
      </c>
      <c r="B5">
        <v>0.7</v>
      </c>
      <c r="C5">
        <v>-334896.576</v>
      </c>
    </row>
    <row r="6" spans="1:3">
      <c r="A6" t="s">
        <v>120</v>
      </c>
      <c r="B6">
        <v>1</v>
      </c>
      <c r="C6">
        <v>509250</v>
      </c>
    </row>
    <row r="7" spans="1:3">
      <c r="A7" t="s">
        <v>366</v>
      </c>
      <c r="B7">
        <v>0.7</v>
      </c>
      <c r="C7">
        <v>1870812.86</v>
      </c>
    </row>
    <row r="8" spans="1:3">
      <c r="A8" t="s">
        <v>54</v>
      </c>
      <c r="B8">
        <v>1</v>
      </c>
      <c r="C8">
        <v>1100000</v>
      </c>
    </row>
    <row r="9" spans="1:3">
      <c r="A9" t="s">
        <v>54</v>
      </c>
      <c r="B9">
        <v>0.7</v>
      </c>
      <c r="C9">
        <v>400400</v>
      </c>
    </row>
    <row r="10" spans="1:3">
      <c r="A10" t="s">
        <v>55</v>
      </c>
      <c r="B10">
        <v>0.5</v>
      </c>
      <c r="C10">
        <v>585000</v>
      </c>
    </row>
    <row r="11" spans="1:3">
      <c r="A11" t="s">
        <v>55</v>
      </c>
      <c r="B11">
        <v>1</v>
      </c>
      <c r="C11">
        <v>230000</v>
      </c>
    </row>
    <row r="12" spans="1:3">
      <c r="A12" t="s">
        <v>55</v>
      </c>
      <c r="B12">
        <v>1</v>
      </c>
      <c r="C12">
        <v>575400</v>
      </c>
    </row>
    <row r="13" spans="1:3">
      <c r="A13" t="s">
        <v>365</v>
      </c>
      <c r="B13">
        <v>1</v>
      </c>
      <c r="C13">
        <v>240000</v>
      </c>
    </row>
    <row r="14" spans="1:3">
      <c r="A14" t="s">
        <v>365</v>
      </c>
      <c r="B14">
        <v>1</v>
      </c>
      <c r="C14">
        <v>400000</v>
      </c>
    </row>
    <row r="15" spans="1:3">
      <c r="A15" t="s">
        <v>55</v>
      </c>
      <c r="B15">
        <v>1</v>
      </c>
      <c r="C15">
        <v>580202</v>
      </c>
    </row>
    <row r="16" spans="1:3">
      <c r="A16" t="s">
        <v>120</v>
      </c>
      <c r="B16">
        <v>0.4</v>
      </c>
      <c r="C16">
        <v>213840</v>
      </c>
    </row>
    <row r="17" spans="1:3">
      <c r="A17" t="s">
        <v>42</v>
      </c>
      <c r="B17">
        <v>0.3</v>
      </c>
      <c r="C17">
        <v>-143527.104</v>
      </c>
    </row>
    <row r="19" spans="1:3">
      <c r="A19" t="s">
        <v>42</v>
      </c>
      <c r="B19">
        <v>0.3</v>
      </c>
      <c r="C19">
        <v>801776.94</v>
      </c>
    </row>
    <row r="21" spans="1:3">
      <c r="A21" t="s">
        <v>55</v>
      </c>
      <c r="B21">
        <v>0.3</v>
      </c>
      <c r="C21">
        <v>171600</v>
      </c>
    </row>
    <row r="22" spans="1:3">
      <c r="A22" t="s">
        <v>65</v>
      </c>
      <c r="B22">
        <v>0.5</v>
      </c>
      <c r="C22">
        <v>585000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27" workbookViewId="0">
      <selection activeCell="G34" sqref="G34"/>
    </sheetView>
  </sheetViews>
  <sheetFormatPr defaultColWidth="8.72727272727273" defaultRowHeight="14" outlineLevelCol="6"/>
  <cols>
    <col min="6" max="6" width="10.9090909090909"/>
    <col min="7" max="7" width="13.5454545454545"/>
  </cols>
  <sheetData>
    <row r="1" ht="30" spans="1:3">
      <c r="A1" s="117" t="s">
        <v>230</v>
      </c>
      <c r="B1" s="118" t="s">
        <v>27</v>
      </c>
      <c r="C1" s="118" t="s">
        <v>28</v>
      </c>
    </row>
    <row r="2" spans="1:3">
      <c r="A2" t="s">
        <v>366</v>
      </c>
      <c r="B2">
        <v>0.7</v>
      </c>
      <c r="C2">
        <v>1870812.86</v>
      </c>
    </row>
    <row r="3" spans="1:3">
      <c r="A3" t="s">
        <v>54</v>
      </c>
      <c r="B3">
        <v>1</v>
      </c>
      <c r="C3">
        <v>1100000</v>
      </c>
    </row>
    <row r="4" spans="1:3">
      <c r="A4" t="s">
        <v>54</v>
      </c>
      <c r="B4">
        <v>0.7</v>
      </c>
      <c r="C4">
        <v>400400</v>
      </c>
    </row>
    <row r="5" spans="1:3">
      <c r="A5" t="s">
        <v>55</v>
      </c>
      <c r="B5">
        <v>0.5</v>
      </c>
      <c r="C5">
        <v>585000</v>
      </c>
    </row>
    <row r="6" spans="1:3">
      <c r="A6" t="s">
        <v>55</v>
      </c>
      <c r="B6">
        <v>1</v>
      </c>
      <c r="C6">
        <v>230000</v>
      </c>
    </row>
    <row r="7" spans="1:3">
      <c r="A7" t="s">
        <v>55</v>
      </c>
      <c r="B7">
        <v>1</v>
      </c>
      <c r="C7">
        <v>575400</v>
      </c>
    </row>
    <row r="8" spans="1:3">
      <c r="A8" t="s">
        <v>365</v>
      </c>
      <c r="B8">
        <v>1</v>
      </c>
      <c r="C8">
        <v>240000</v>
      </c>
    </row>
    <row r="9" spans="1:3">
      <c r="A9" t="s">
        <v>365</v>
      </c>
      <c r="B9">
        <v>1</v>
      </c>
      <c r="C9">
        <v>400000</v>
      </c>
    </row>
    <row r="10" spans="1:3">
      <c r="A10" t="s">
        <v>42</v>
      </c>
      <c r="B10">
        <v>0.3</v>
      </c>
      <c r="C10">
        <v>801776.94</v>
      </c>
    </row>
    <row r="11" spans="1:3">
      <c r="A11" t="s">
        <v>55</v>
      </c>
      <c r="B11">
        <v>0.3</v>
      </c>
      <c r="C11">
        <v>171600</v>
      </c>
    </row>
    <row r="12" spans="1:3">
      <c r="A12" t="s">
        <v>65</v>
      </c>
      <c r="B12">
        <v>0.5</v>
      </c>
      <c r="C12">
        <v>585000</v>
      </c>
    </row>
    <row r="28" spans="6:7">
      <c r="F28" t="s">
        <v>230</v>
      </c>
      <c r="G28" t="s">
        <v>364</v>
      </c>
    </row>
    <row r="29" spans="6:7">
      <c r="F29" t="s">
        <v>55</v>
      </c>
      <c r="G29">
        <v>1562000</v>
      </c>
    </row>
    <row r="30" spans="6:7">
      <c r="F30" t="s">
        <v>65</v>
      </c>
      <c r="G30">
        <v>585000</v>
      </c>
    </row>
    <row r="31" spans="6:7">
      <c r="F31" t="s">
        <v>365</v>
      </c>
      <c r="G31">
        <v>640000</v>
      </c>
    </row>
    <row r="32" spans="6:7">
      <c r="F32" t="s">
        <v>42</v>
      </c>
      <c r="G32">
        <v>801776.94</v>
      </c>
    </row>
    <row r="33" spans="6:7">
      <c r="F33" t="s">
        <v>366</v>
      </c>
      <c r="G33">
        <v>1870812.86</v>
      </c>
    </row>
    <row r="34" spans="6:7">
      <c r="F34" t="s">
        <v>54</v>
      </c>
      <c r="G34">
        <v>1500400</v>
      </c>
    </row>
    <row r="35" spans="6:7">
      <c r="F35" t="s">
        <v>225</v>
      </c>
      <c r="G35">
        <v>6959989.8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0"/>
  <sheetViews>
    <sheetView workbookViewId="0">
      <selection activeCell="H85" sqref="H85"/>
    </sheetView>
  </sheetViews>
  <sheetFormatPr defaultColWidth="8.72727272727273" defaultRowHeight="14" outlineLevelCol="2"/>
  <sheetData>
    <row r="1" spans="1:3">
      <c r="A1" t="s">
        <v>230</v>
      </c>
      <c r="B1" t="s">
        <v>27</v>
      </c>
      <c r="C1" t="s">
        <v>28</v>
      </c>
    </row>
    <row r="2" spans="1:3">
      <c r="A2" t="s">
        <v>47</v>
      </c>
      <c r="B2">
        <v>1</v>
      </c>
      <c r="C2">
        <v>150000</v>
      </c>
    </row>
    <row r="3" spans="1:3">
      <c r="A3" t="s">
        <v>367</v>
      </c>
      <c r="B3">
        <v>0.7</v>
      </c>
      <c r="C3">
        <v>1470000</v>
      </c>
    </row>
    <row r="4" spans="1:3">
      <c r="A4" t="s">
        <v>47</v>
      </c>
      <c r="B4">
        <v>1</v>
      </c>
      <c r="C4">
        <v>359000</v>
      </c>
    </row>
    <row r="5" spans="1:3">
      <c r="A5" t="s">
        <v>367</v>
      </c>
      <c r="B5">
        <v>0.7</v>
      </c>
      <c r="C5">
        <v>2450000</v>
      </c>
    </row>
    <row r="6" spans="1:3">
      <c r="A6" t="s">
        <v>367</v>
      </c>
      <c r="B6">
        <v>0.7</v>
      </c>
      <c r="C6">
        <v>2205000</v>
      </c>
    </row>
    <row r="7" spans="1:3">
      <c r="A7" t="s">
        <v>367</v>
      </c>
      <c r="B7">
        <v>0.7</v>
      </c>
      <c r="C7">
        <v>2205000</v>
      </c>
    </row>
    <row r="8" spans="1:3">
      <c r="A8" t="s">
        <v>55</v>
      </c>
      <c r="B8">
        <v>1</v>
      </c>
      <c r="C8">
        <v>45000</v>
      </c>
    </row>
    <row r="9" spans="1:3">
      <c r="A9" t="s">
        <v>36</v>
      </c>
      <c r="B9">
        <v>1</v>
      </c>
      <c r="C9">
        <v>700000</v>
      </c>
    </row>
    <row r="10" spans="1:3">
      <c r="A10" t="s">
        <v>55</v>
      </c>
      <c r="B10">
        <v>1</v>
      </c>
      <c r="C10">
        <v>364000</v>
      </c>
    </row>
    <row r="11" spans="1:3">
      <c r="A11" t="s">
        <v>367</v>
      </c>
      <c r="B11">
        <v>0.7</v>
      </c>
      <c r="C11">
        <v>1372000</v>
      </c>
    </row>
    <row r="12" spans="1:3">
      <c r="A12" t="s">
        <v>47</v>
      </c>
      <c r="B12">
        <v>1</v>
      </c>
      <c r="C12">
        <v>126000</v>
      </c>
    </row>
    <row r="13" spans="1:3">
      <c r="A13" t="s">
        <v>55</v>
      </c>
      <c r="B13">
        <v>1</v>
      </c>
      <c r="C13">
        <v>210000</v>
      </c>
    </row>
    <row r="14" spans="1:3">
      <c r="A14" t="s">
        <v>36</v>
      </c>
      <c r="B14">
        <v>1</v>
      </c>
      <c r="C14">
        <v>1143000</v>
      </c>
    </row>
    <row r="15" spans="1:3">
      <c r="A15" t="s">
        <v>367</v>
      </c>
      <c r="B15">
        <v>0.5</v>
      </c>
      <c r="C15">
        <v>75000</v>
      </c>
    </row>
    <row r="16" spans="1:3">
      <c r="A16" t="s">
        <v>55</v>
      </c>
      <c r="B16">
        <v>1</v>
      </c>
      <c r="C16">
        <v>3337039.9</v>
      </c>
    </row>
    <row r="17" spans="1:3">
      <c r="A17" t="s">
        <v>60</v>
      </c>
      <c r="B17">
        <v>0.6</v>
      </c>
      <c r="C17">
        <v>653400</v>
      </c>
    </row>
    <row r="18" spans="1:3">
      <c r="A18" t="s">
        <v>47</v>
      </c>
      <c r="B18">
        <v>1</v>
      </c>
      <c r="C18">
        <v>300000</v>
      </c>
    </row>
    <row r="19" spans="1:3">
      <c r="A19" t="s">
        <v>47</v>
      </c>
      <c r="B19">
        <v>1</v>
      </c>
      <c r="C19">
        <v>12320</v>
      </c>
    </row>
    <row r="20" spans="1:3">
      <c r="A20" t="s">
        <v>42</v>
      </c>
      <c r="B20">
        <v>1</v>
      </c>
      <c r="C20">
        <v>238000</v>
      </c>
    </row>
    <row r="21" spans="1:3">
      <c r="A21" t="s">
        <v>55</v>
      </c>
      <c r="B21">
        <v>1</v>
      </c>
      <c r="C21">
        <v>245000</v>
      </c>
    </row>
    <row r="22" spans="1:3">
      <c r="A22" t="s">
        <v>367</v>
      </c>
      <c r="B22">
        <v>0.7</v>
      </c>
      <c r="C22">
        <v>2450000</v>
      </c>
    </row>
    <row r="23" spans="1:3">
      <c r="A23" t="s">
        <v>42</v>
      </c>
      <c r="B23">
        <v>0.7</v>
      </c>
      <c r="C23">
        <v>490000</v>
      </c>
    </row>
    <row r="24" spans="1:3">
      <c r="A24" t="s">
        <v>55</v>
      </c>
      <c r="B24">
        <v>1</v>
      </c>
      <c r="C24">
        <v>539000</v>
      </c>
    </row>
    <row r="25" spans="1:3">
      <c r="A25" t="s">
        <v>55</v>
      </c>
      <c r="B25">
        <v>1</v>
      </c>
      <c r="C25">
        <v>67500</v>
      </c>
    </row>
    <row r="26" spans="1:3">
      <c r="A26" t="s">
        <v>47</v>
      </c>
      <c r="B26">
        <v>1</v>
      </c>
      <c r="C26">
        <v>172000</v>
      </c>
    </row>
    <row r="27" spans="1:3">
      <c r="A27" t="s">
        <v>41</v>
      </c>
      <c r="B27">
        <v>0.7</v>
      </c>
      <c r="C27">
        <v>198450</v>
      </c>
    </row>
    <row r="28" spans="1:3">
      <c r="A28" t="s">
        <v>42</v>
      </c>
      <c r="B28">
        <v>0.7</v>
      </c>
      <c r="C28">
        <v>297836.4879</v>
      </c>
    </row>
    <row r="29" spans="1:3">
      <c r="A29" t="s">
        <v>42</v>
      </c>
      <c r="B29">
        <v>0.7</v>
      </c>
      <c r="C29">
        <v>17163.5121</v>
      </c>
    </row>
    <row r="30" spans="1:3">
      <c r="A30" t="s">
        <v>367</v>
      </c>
      <c r="B30">
        <v>0.7</v>
      </c>
      <c r="C30">
        <v>147000</v>
      </c>
    </row>
    <row r="31" spans="1:3">
      <c r="A31" t="s">
        <v>36</v>
      </c>
      <c r="B31">
        <v>0.5</v>
      </c>
      <c r="C31">
        <v>2178000</v>
      </c>
    </row>
    <row r="32" spans="1:3">
      <c r="A32" t="s">
        <v>36</v>
      </c>
      <c r="B32">
        <v>1</v>
      </c>
      <c r="C32">
        <v>400000</v>
      </c>
    </row>
    <row r="33" spans="1:3">
      <c r="A33" t="s">
        <v>367</v>
      </c>
      <c r="B33">
        <v>0.7</v>
      </c>
      <c r="C33">
        <v>420000</v>
      </c>
    </row>
    <row r="34" spans="1:3">
      <c r="A34" t="s">
        <v>368</v>
      </c>
      <c r="B34">
        <v>1</v>
      </c>
      <c r="C34">
        <v>170000</v>
      </c>
    </row>
    <row r="35" spans="1:3">
      <c r="A35" t="s">
        <v>47</v>
      </c>
      <c r="B35">
        <v>1</v>
      </c>
      <c r="C35">
        <v>184128</v>
      </c>
    </row>
    <row r="36" spans="1:3">
      <c r="A36" t="s">
        <v>47</v>
      </c>
      <c r="B36">
        <v>1</v>
      </c>
      <c r="C36">
        <v>75000</v>
      </c>
    </row>
    <row r="37" spans="1:3">
      <c r="A37" t="s">
        <v>47</v>
      </c>
      <c r="B37">
        <v>1</v>
      </c>
      <c r="C37">
        <v>120000</v>
      </c>
    </row>
    <row r="38" spans="1:3">
      <c r="A38" t="s">
        <v>54</v>
      </c>
      <c r="B38">
        <v>0.6</v>
      </c>
      <c r="C38">
        <v>1680000</v>
      </c>
    </row>
    <row r="39" spans="1:3">
      <c r="A39" t="s">
        <v>54</v>
      </c>
      <c r="B39">
        <v>0.6</v>
      </c>
      <c r="C39">
        <v>375816</v>
      </c>
    </row>
    <row r="40" spans="1:3">
      <c r="A40" t="s">
        <v>367</v>
      </c>
      <c r="B40">
        <v>0.7</v>
      </c>
      <c r="C40">
        <v>172200</v>
      </c>
    </row>
    <row r="41" spans="1:3">
      <c r="A41" t="s">
        <v>120</v>
      </c>
      <c r="B41">
        <v>1</v>
      </c>
      <c r="C41">
        <v>1390000</v>
      </c>
    </row>
    <row r="42" spans="1:3">
      <c r="A42" t="s">
        <v>47</v>
      </c>
      <c r="B42">
        <v>0.25</v>
      </c>
      <c r="C42">
        <v>51250</v>
      </c>
    </row>
    <row r="43" spans="1:3">
      <c r="A43" t="s">
        <v>367</v>
      </c>
      <c r="B43">
        <v>0.7</v>
      </c>
      <c r="C43">
        <v>2254000</v>
      </c>
    </row>
    <row r="44" spans="1:3">
      <c r="A44" t="s">
        <v>55</v>
      </c>
      <c r="B44">
        <v>1</v>
      </c>
      <c r="C44">
        <v>364000</v>
      </c>
    </row>
    <row r="45" spans="1:3">
      <c r="A45" t="s">
        <v>47</v>
      </c>
      <c r="B45">
        <v>0.25</v>
      </c>
      <c r="C45">
        <v>698750</v>
      </c>
    </row>
    <row r="46" spans="1:3">
      <c r="A46" t="s">
        <v>367</v>
      </c>
      <c r="B46">
        <v>0.7</v>
      </c>
      <c r="C46">
        <v>1960000</v>
      </c>
    </row>
    <row r="47" spans="1:3">
      <c r="A47" t="s">
        <v>55</v>
      </c>
      <c r="B47">
        <v>1</v>
      </c>
      <c r="C47">
        <v>443280</v>
      </c>
    </row>
    <row r="48" spans="1:3">
      <c r="A48" t="s">
        <v>120</v>
      </c>
      <c r="B48">
        <v>1</v>
      </c>
      <c r="C48">
        <v>783200</v>
      </c>
    </row>
    <row r="49" spans="1:3">
      <c r="A49" t="s">
        <v>120</v>
      </c>
      <c r="B49">
        <v>1</v>
      </c>
      <c r="C49">
        <v>75000</v>
      </c>
    </row>
    <row r="50" spans="1:3">
      <c r="A50" t="s">
        <v>47</v>
      </c>
      <c r="B50">
        <v>1</v>
      </c>
      <c r="C50">
        <v>529600</v>
      </c>
    </row>
    <row r="51" spans="1:3">
      <c r="A51" t="s">
        <v>47</v>
      </c>
      <c r="B51">
        <v>1</v>
      </c>
      <c r="C51">
        <v>70400</v>
      </c>
    </row>
    <row r="52" spans="1:3">
      <c r="A52" t="s">
        <v>41</v>
      </c>
      <c r="B52">
        <v>0.7</v>
      </c>
      <c r="C52">
        <v>198450</v>
      </c>
    </row>
    <row r="53" spans="1:3">
      <c r="A53" t="s">
        <v>42</v>
      </c>
      <c r="B53">
        <v>0.7</v>
      </c>
      <c r="C53">
        <v>490000</v>
      </c>
    </row>
    <row r="54" spans="1:3">
      <c r="A54" t="s">
        <v>42</v>
      </c>
      <c r="B54">
        <v>0.7</v>
      </c>
      <c r="C54">
        <v>9271500</v>
      </c>
    </row>
    <row r="55" spans="1:3">
      <c r="A55" t="s">
        <v>47</v>
      </c>
      <c r="B55">
        <v>1</v>
      </c>
      <c r="C55">
        <v>180000</v>
      </c>
    </row>
    <row r="56" spans="1:3">
      <c r="A56" t="s">
        <v>367</v>
      </c>
      <c r="B56">
        <v>0.7</v>
      </c>
      <c r="C56">
        <v>1050000</v>
      </c>
    </row>
    <row r="57" spans="1:3">
      <c r="A57" t="s">
        <v>47</v>
      </c>
      <c r="B57">
        <v>0.25</v>
      </c>
      <c r="C57">
        <v>543750</v>
      </c>
    </row>
    <row r="58" spans="1:3">
      <c r="A58" t="s">
        <v>47</v>
      </c>
      <c r="B58">
        <v>0.25</v>
      </c>
      <c r="C58">
        <v>456250</v>
      </c>
    </row>
    <row r="59" spans="1:3">
      <c r="A59" t="s">
        <v>367</v>
      </c>
      <c r="B59">
        <v>0.7</v>
      </c>
      <c r="C59">
        <v>11200000</v>
      </c>
    </row>
    <row r="60" spans="1:3">
      <c r="A60" t="s">
        <v>55</v>
      </c>
      <c r="B60">
        <v>1</v>
      </c>
      <c r="C60">
        <v>652000</v>
      </c>
    </row>
    <row r="61" spans="1:3">
      <c r="A61" t="s">
        <v>55</v>
      </c>
      <c r="B61">
        <v>1</v>
      </c>
      <c r="C61">
        <v>348000</v>
      </c>
    </row>
    <row r="62" spans="1:3">
      <c r="A62" t="s">
        <v>55</v>
      </c>
      <c r="B62">
        <v>1</v>
      </c>
      <c r="C62">
        <v>100000</v>
      </c>
    </row>
    <row r="63" spans="1:3">
      <c r="A63" t="s">
        <v>55</v>
      </c>
      <c r="B63">
        <v>1</v>
      </c>
      <c r="C63">
        <v>200000</v>
      </c>
    </row>
    <row r="64" spans="1:3">
      <c r="A64" t="s">
        <v>42</v>
      </c>
      <c r="B64">
        <v>1</v>
      </c>
      <c r="C64">
        <v>70000</v>
      </c>
    </row>
    <row r="65" spans="1:3">
      <c r="A65" t="s">
        <v>120</v>
      </c>
      <c r="B65">
        <v>1</v>
      </c>
      <c r="C65">
        <v>587400</v>
      </c>
    </row>
    <row r="66" spans="1:3">
      <c r="A66" t="s">
        <v>55</v>
      </c>
      <c r="B66">
        <v>1</v>
      </c>
      <c r="C66">
        <v>22500</v>
      </c>
    </row>
    <row r="67" spans="1:3">
      <c r="A67" t="s">
        <v>120</v>
      </c>
      <c r="B67">
        <v>0.6</v>
      </c>
      <c r="C67">
        <v>899942.4</v>
      </c>
    </row>
    <row r="68" spans="1:3">
      <c r="A68" t="s">
        <v>55</v>
      </c>
      <c r="B68">
        <v>1</v>
      </c>
      <c r="C68">
        <v>203000</v>
      </c>
    </row>
    <row r="69" spans="1:3">
      <c r="A69" t="s">
        <v>120</v>
      </c>
      <c r="B69">
        <v>0.6</v>
      </c>
      <c r="C69">
        <v>754790.4</v>
      </c>
    </row>
    <row r="70" spans="1:3">
      <c r="A70" t="s">
        <v>55</v>
      </c>
      <c r="B70">
        <v>0.7</v>
      </c>
      <c r="C70">
        <v>4214000</v>
      </c>
    </row>
    <row r="71" spans="1:3">
      <c r="A71" t="s">
        <v>55</v>
      </c>
      <c r="B71">
        <v>0.7</v>
      </c>
      <c r="C71">
        <v>646800</v>
      </c>
    </row>
    <row r="72" spans="1:3">
      <c r="A72" t="s">
        <v>55</v>
      </c>
      <c r="B72">
        <v>0.7</v>
      </c>
      <c r="C72">
        <v>1323000</v>
      </c>
    </row>
    <row r="73" spans="1:3">
      <c r="A73" t="s">
        <v>55</v>
      </c>
      <c r="B73">
        <v>0.7</v>
      </c>
      <c r="C73">
        <v>427770</v>
      </c>
    </row>
    <row r="74" spans="1:3">
      <c r="A74" t="s">
        <v>55</v>
      </c>
      <c r="B74">
        <v>0.7</v>
      </c>
      <c r="C74">
        <v>427770</v>
      </c>
    </row>
    <row r="75" spans="1:3">
      <c r="A75" t="s">
        <v>55</v>
      </c>
      <c r="B75">
        <v>1</v>
      </c>
      <c r="C75">
        <v>148000</v>
      </c>
    </row>
    <row r="76" spans="1:3">
      <c r="A76" t="s">
        <v>47</v>
      </c>
      <c r="B76">
        <v>1</v>
      </c>
      <c r="C76">
        <v>200000</v>
      </c>
    </row>
    <row r="77" spans="1:3">
      <c r="A77" t="s">
        <v>47</v>
      </c>
      <c r="B77">
        <v>1</v>
      </c>
      <c r="C77">
        <v>1600000</v>
      </c>
    </row>
    <row r="78" spans="1:3">
      <c r="A78" t="s">
        <v>47</v>
      </c>
      <c r="B78">
        <v>1</v>
      </c>
      <c r="C78">
        <v>60000</v>
      </c>
    </row>
    <row r="79" spans="1:3">
      <c r="A79" t="s">
        <v>42</v>
      </c>
      <c r="B79">
        <v>1</v>
      </c>
      <c r="C79">
        <v>150000</v>
      </c>
    </row>
    <row r="80" spans="1:3">
      <c r="A80" t="s">
        <v>367</v>
      </c>
      <c r="B80">
        <v>0.7</v>
      </c>
      <c r="C80">
        <v>184439.1052</v>
      </c>
    </row>
    <row r="81" spans="1:3">
      <c r="A81" t="s">
        <v>367</v>
      </c>
      <c r="B81">
        <v>0.7</v>
      </c>
      <c r="C81">
        <v>208960.8948</v>
      </c>
    </row>
    <row r="82" spans="1:3">
      <c r="A82" t="s">
        <v>369</v>
      </c>
      <c r="B82">
        <v>0.6</v>
      </c>
      <c r="C82">
        <v>5429818.8</v>
      </c>
    </row>
    <row r="83" spans="1:3">
      <c r="A83" t="s">
        <v>54</v>
      </c>
      <c r="B83">
        <v>0.6</v>
      </c>
      <c r="C83">
        <v>747129.6</v>
      </c>
    </row>
    <row r="84" spans="1:3">
      <c r="A84" t="s">
        <v>55</v>
      </c>
      <c r="B84">
        <v>1</v>
      </c>
      <c r="C84">
        <v>1200000</v>
      </c>
    </row>
    <row r="85" spans="1:3">
      <c r="A85" t="s">
        <v>55</v>
      </c>
      <c r="B85">
        <v>1</v>
      </c>
      <c r="C85">
        <v>870303</v>
      </c>
    </row>
    <row r="86" spans="1:3">
      <c r="A86" t="s">
        <v>55</v>
      </c>
      <c r="B86">
        <v>1</v>
      </c>
      <c r="C86">
        <v>870303</v>
      </c>
    </row>
    <row r="87" spans="1:3">
      <c r="A87" t="s">
        <v>369</v>
      </c>
      <c r="B87">
        <v>1</v>
      </c>
      <c r="C87">
        <v>400000</v>
      </c>
    </row>
    <row r="88" spans="1:3">
      <c r="A88" t="s">
        <v>36</v>
      </c>
      <c r="B88">
        <v>1</v>
      </c>
      <c r="C88">
        <v>740000</v>
      </c>
    </row>
    <row r="89" spans="1:3">
      <c r="A89" t="s">
        <v>368</v>
      </c>
      <c r="B89">
        <v>1</v>
      </c>
      <c r="C89">
        <v>119000</v>
      </c>
    </row>
    <row r="90" spans="1:3">
      <c r="A90" t="s">
        <v>55</v>
      </c>
      <c r="B90">
        <v>1</v>
      </c>
      <c r="C90">
        <v>203000</v>
      </c>
    </row>
    <row r="91" spans="1:3">
      <c r="A91" t="s">
        <v>367</v>
      </c>
      <c r="B91">
        <v>0.7</v>
      </c>
      <c r="C91">
        <v>105000</v>
      </c>
    </row>
    <row r="92" spans="1:3">
      <c r="A92" t="s">
        <v>367</v>
      </c>
      <c r="B92">
        <v>0.7</v>
      </c>
      <c r="C92">
        <v>245000</v>
      </c>
    </row>
    <row r="93" spans="1:3">
      <c r="A93" t="s">
        <v>55</v>
      </c>
      <c r="B93">
        <v>1</v>
      </c>
      <c r="C93">
        <v>2076000</v>
      </c>
    </row>
    <row r="94" spans="1:3">
      <c r="A94" t="s">
        <v>368</v>
      </c>
      <c r="B94">
        <v>1</v>
      </c>
      <c r="C94">
        <v>272160</v>
      </c>
    </row>
    <row r="95" spans="1:3">
      <c r="A95" t="s">
        <v>47</v>
      </c>
      <c r="B95">
        <v>1</v>
      </c>
      <c r="C95">
        <v>70000</v>
      </c>
    </row>
    <row r="96" spans="1:3">
      <c r="A96" t="s">
        <v>55</v>
      </c>
      <c r="B96">
        <v>1</v>
      </c>
      <c r="C96">
        <v>1260000</v>
      </c>
    </row>
    <row r="97" spans="1:3">
      <c r="A97" t="s">
        <v>66</v>
      </c>
      <c r="B97">
        <v>1</v>
      </c>
      <c r="C97">
        <v>15000</v>
      </c>
    </row>
    <row r="98" spans="1:3">
      <c r="A98" t="s">
        <v>42</v>
      </c>
      <c r="B98">
        <v>0.7</v>
      </c>
      <c r="C98">
        <v>147000</v>
      </c>
    </row>
    <row r="99" spans="1:3">
      <c r="A99" t="s">
        <v>367</v>
      </c>
      <c r="B99">
        <v>0.7</v>
      </c>
      <c r="C99">
        <v>254020.8804</v>
      </c>
    </row>
    <row r="100" spans="1:3">
      <c r="A100" t="s">
        <v>367</v>
      </c>
      <c r="B100">
        <v>0.7</v>
      </c>
      <c r="C100">
        <v>253572.7068</v>
      </c>
    </row>
    <row r="101" spans="1:3">
      <c r="A101" t="s">
        <v>65</v>
      </c>
      <c r="B101">
        <v>1</v>
      </c>
      <c r="C101">
        <v>168000</v>
      </c>
    </row>
    <row r="102" spans="1:3">
      <c r="A102" t="s">
        <v>367</v>
      </c>
      <c r="B102">
        <v>0.7</v>
      </c>
      <c r="C102">
        <v>840000</v>
      </c>
    </row>
    <row r="103" spans="1:3">
      <c r="A103" t="s">
        <v>47</v>
      </c>
      <c r="B103">
        <v>1</v>
      </c>
      <c r="C103">
        <v>95715.212</v>
      </c>
    </row>
    <row r="104" spans="1:3">
      <c r="A104" t="s">
        <v>367</v>
      </c>
      <c r="B104">
        <v>0.7</v>
      </c>
      <c r="C104">
        <v>35196700</v>
      </c>
    </row>
    <row r="105" spans="1:3">
      <c r="A105" t="s">
        <v>367</v>
      </c>
      <c r="B105">
        <v>0.7</v>
      </c>
      <c r="C105">
        <v>33600000</v>
      </c>
    </row>
    <row r="106" spans="1:3">
      <c r="A106" t="s">
        <v>55</v>
      </c>
      <c r="B106">
        <v>1</v>
      </c>
      <c r="C106">
        <v>530000</v>
      </c>
    </row>
    <row r="107" spans="1:3">
      <c r="A107" t="s">
        <v>42</v>
      </c>
      <c r="B107">
        <v>1</v>
      </c>
      <c r="C107">
        <v>60000</v>
      </c>
    </row>
    <row r="108" spans="1:3">
      <c r="A108" t="s">
        <v>367</v>
      </c>
      <c r="B108">
        <v>0.7</v>
      </c>
      <c r="C108">
        <v>67070.1927</v>
      </c>
    </row>
    <row r="109" spans="1:3">
      <c r="A109" t="s">
        <v>47</v>
      </c>
      <c r="B109">
        <v>1</v>
      </c>
      <c r="C109">
        <v>337317.948</v>
      </c>
    </row>
    <row r="110" spans="1:3">
      <c r="A110" t="s">
        <v>367</v>
      </c>
      <c r="B110">
        <v>0.7</v>
      </c>
      <c r="C110">
        <v>490000</v>
      </c>
    </row>
    <row r="111" spans="1:3">
      <c r="A111" t="s">
        <v>120</v>
      </c>
      <c r="B111">
        <v>1</v>
      </c>
      <c r="C111">
        <v>2100000</v>
      </c>
    </row>
    <row r="112" spans="1:3">
      <c r="A112" t="s">
        <v>47</v>
      </c>
      <c r="B112">
        <v>0.25</v>
      </c>
      <c r="C112">
        <v>1153750</v>
      </c>
    </row>
    <row r="113" spans="1:3">
      <c r="A113" t="s">
        <v>47</v>
      </c>
      <c r="B113">
        <v>0.25</v>
      </c>
      <c r="C113">
        <v>67375</v>
      </c>
    </row>
    <row r="114" spans="1:3">
      <c r="A114" t="s">
        <v>55</v>
      </c>
      <c r="B114">
        <v>1</v>
      </c>
      <c r="C114">
        <v>100000</v>
      </c>
    </row>
    <row r="115" spans="1:3">
      <c r="A115" t="s">
        <v>47</v>
      </c>
      <c r="B115">
        <v>1</v>
      </c>
      <c r="C115">
        <v>900000</v>
      </c>
    </row>
    <row r="116" spans="1:3">
      <c r="A116" t="s">
        <v>120</v>
      </c>
      <c r="B116">
        <v>0.33</v>
      </c>
      <c r="C116">
        <v>310000</v>
      </c>
    </row>
    <row r="117" spans="1:3">
      <c r="A117" t="s">
        <v>367</v>
      </c>
      <c r="B117">
        <v>0.7</v>
      </c>
      <c r="C117">
        <v>280000</v>
      </c>
    </row>
    <row r="118" spans="1:3">
      <c r="A118" t="s">
        <v>42</v>
      </c>
      <c r="B118">
        <v>1</v>
      </c>
      <c r="C118">
        <v>25160000</v>
      </c>
    </row>
    <row r="119" spans="1:3">
      <c r="A119" t="s">
        <v>65</v>
      </c>
      <c r="B119">
        <v>1</v>
      </c>
      <c r="C119">
        <v>900000</v>
      </c>
    </row>
    <row r="120" spans="1:3">
      <c r="A120" t="s">
        <v>41</v>
      </c>
      <c r="B120">
        <v>0.7</v>
      </c>
      <c r="C120">
        <v>44100</v>
      </c>
    </row>
    <row r="121" spans="1:3">
      <c r="A121" t="s">
        <v>369</v>
      </c>
      <c r="B121">
        <v>1</v>
      </c>
      <c r="C121">
        <v>1750000</v>
      </c>
    </row>
    <row r="122" spans="1:3">
      <c r="A122" t="s">
        <v>369</v>
      </c>
      <c r="B122">
        <v>1</v>
      </c>
      <c r="C122">
        <v>870000</v>
      </c>
    </row>
    <row r="123" spans="1:3">
      <c r="A123" t="s">
        <v>55</v>
      </c>
      <c r="B123">
        <v>1</v>
      </c>
      <c r="C123">
        <v>200000</v>
      </c>
    </row>
    <row r="124" spans="1:3">
      <c r="A124" t="s">
        <v>42</v>
      </c>
      <c r="B124">
        <v>1</v>
      </c>
      <c r="C124">
        <v>600000</v>
      </c>
    </row>
    <row r="125" spans="1:3">
      <c r="A125" t="s">
        <v>367</v>
      </c>
      <c r="B125">
        <v>0.7</v>
      </c>
      <c r="C125">
        <v>735000</v>
      </c>
    </row>
    <row r="126" spans="1:3">
      <c r="A126" t="s">
        <v>42</v>
      </c>
      <c r="B126">
        <v>0.7</v>
      </c>
      <c r="C126">
        <v>440413.89</v>
      </c>
    </row>
    <row r="127" spans="1:3">
      <c r="A127" t="s">
        <v>120</v>
      </c>
      <c r="B127">
        <v>1</v>
      </c>
      <c r="C127">
        <v>1130000</v>
      </c>
    </row>
    <row r="128" spans="1:3">
      <c r="A128" t="s">
        <v>55</v>
      </c>
      <c r="B128">
        <v>0.7</v>
      </c>
      <c r="C128">
        <v>4116000</v>
      </c>
    </row>
    <row r="129" spans="1:3">
      <c r="A129" t="s">
        <v>368</v>
      </c>
      <c r="B129">
        <v>1</v>
      </c>
      <c r="C129">
        <v>544320</v>
      </c>
    </row>
    <row r="130" spans="1:3">
      <c r="A130" t="s">
        <v>47</v>
      </c>
      <c r="B130">
        <v>1</v>
      </c>
      <c r="C130">
        <v>93711.856</v>
      </c>
    </row>
    <row r="131" spans="1:3">
      <c r="A131" t="s">
        <v>368</v>
      </c>
      <c r="B131">
        <v>1</v>
      </c>
      <c r="C131">
        <v>103600</v>
      </c>
    </row>
    <row r="132" spans="1:3">
      <c r="A132" t="s">
        <v>368</v>
      </c>
      <c r="B132">
        <v>1</v>
      </c>
      <c r="C132">
        <v>262500</v>
      </c>
    </row>
    <row r="133" spans="1:3">
      <c r="A133" t="s">
        <v>47</v>
      </c>
      <c r="B133">
        <v>1</v>
      </c>
      <c r="C133">
        <v>1970000</v>
      </c>
    </row>
    <row r="134" spans="1:3">
      <c r="A134" t="s">
        <v>42</v>
      </c>
      <c r="B134">
        <v>1</v>
      </c>
      <c r="C134">
        <v>25160000</v>
      </c>
    </row>
    <row r="135" spans="1:3">
      <c r="A135" t="s">
        <v>55</v>
      </c>
      <c r="B135">
        <v>1</v>
      </c>
      <c r="C135">
        <v>2460000</v>
      </c>
    </row>
    <row r="136" spans="1:3">
      <c r="A136" t="s">
        <v>120</v>
      </c>
      <c r="B136">
        <v>1</v>
      </c>
      <c r="C136">
        <v>20000</v>
      </c>
    </row>
    <row r="137" spans="1:3">
      <c r="A137" t="s">
        <v>368</v>
      </c>
      <c r="B137">
        <v>1</v>
      </c>
      <c r="C137">
        <v>5785631.1</v>
      </c>
    </row>
    <row r="138" spans="1:3">
      <c r="A138" t="s">
        <v>47</v>
      </c>
      <c r="B138">
        <v>1</v>
      </c>
      <c r="C138">
        <v>780000</v>
      </c>
    </row>
    <row r="139" spans="1:3">
      <c r="A139" t="s">
        <v>367</v>
      </c>
      <c r="B139">
        <v>0.7</v>
      </c>
      <c r="C139">
        <v>490000</v>
      </c>
    </row>
    <row r="140" spans="1:3">
      <c r="A140" t="s">
        <v>42</v>
      </c>
      <c r="B140">
        <v>1</v>
      </c>
      <c r="C140">
        <v>30000</v>
      </c>
    </row>
    <row r="141" spans="1:3">
      <c r="A141" t="s">
        <v>55</v>
      </c>
      <c r="B141">
        <v>1</v>
      </c>
      <c r="C141">
        <v>80000</v>
      </c>
    </row>
    <row r="142" spans="1:3">
      <c r="A142" t="s">
        <v>120</v>
      </c>
      <c r="B142">
        <v>1</v>
      </c>
      <c r="C142">
        <v>509271</v>
      </c>
    </row>
    <row r="143" spans="1:3">
      <c r="A143" t="s">
        <v>55</v>
      </c>
      <c r="B143">
        <v>0.7</v>
      </c>
      <c r="C143">
        <v>1200990</v>
      </c>
    </row>
    <row r="144" spans="1:3">
      <c r="A144" t="s">
        <v>42</v>
      </c>
      <c r="B144">
        <v>0.7</v>
      </c>
      <c r="C144">
        <v>84000</v>
      </c>
    </row>
    <row r="145" spans="1:3">
      <c r="A145" t="s">
        <v>42</v>
      </c>
      <c r="B145">
        <v>0.7</v>
      </c>
      <c r="C145">
        <v>6639500</v>
      </c>
    </row>
    <row r="146" spans="1:3">
      <c r="A146" t="s">
        <v>55</v>
      </c>
      <c r="B146">
        <v>1</v>
      </c>
      <c r="C146">
        <v>221200</v>
      </c>
    </row>
    <row r="147" spans="1:3">
      <c r="A147" t="s">
        <v>47</v>
      </c>
      <c r="B147">
        <v>0.25</v>
      </c>
      <c r="C147">
        <v>525000</v>
      </c>
    </row>
    <row r="148" spans="1:3">
      <c r="A148" t="s">
        <v>47</v>
      </c>
      <c r="B148">
        <v>1</v>
      </c>
      <c r="C148">
        <v>266220</v>
      </c>
    </row>
    <row r="149" spans="1:3">
      <c r="A149" t="s">
        <v>47</v>
      </c>
      <c r="B149">
        <v>1</v>
      </c>
      <c r="C149">
        <v>333780</v>
      </c>
    </row>
    <row r="150" spans="1:3">
      <c r="A150" t="s">
        <v>42</v>
      </c>
      <c r="B150">
        <v>0.7</v>
      </c>
      <c r="C150">
        <v>315000</v>
      </c>
    </row>
    <row r="151" spans="1:3">
      <c r="A151" t="s">
        <v>42</v>
      </c>
      <c r="B151">
        <v>0.7</v>
      </c>
      <c r="C151">
        <v>7278600</v>
      </c>
    </row>
    <row r="152" spans="1:3">
      <c r="A152" t="s">
        <v>367</v>
      </c>
      <c r="B152">
        <v>0.7</v>
      </c>
      <c r="C152">
        <v>365285.34</v>
      </c>
    </row>
    <row r="153" spans="1:3">
      <c r="A153" t="s">
        <v>367</v>
      </c>
      <c r="B153">
        <v>0.7</v>
      </c>
      <c r="C153">
        <v>19950</v>
      </c>
    </row>
    <row r="154" spans="1:3">
      <c r="A154" t="s">
        <v>367</v>
      </c>
      <c r="B154">
        <v>0.7</v>
      </c>
      <c r="C154">
        <v>20475</v>
      </c>
    </row>
    <row r="155" spans="1:3">
      <c r="A155" t="s">
        <v>42</v>
      </c>
      <c r="B155">
        <v>0.7</v>
      </c>
      <c r="C155">
        <v>247753.8</v>
      </c>
    </row>
    <row r="156" spans="1:3">
      <c r="A156" t="s">
        <v>120</v>
      </c>
      <c r="B156">
        <v>0.33</v>
      </c>
      <c r="C156">
        <v>1550000</v>
      </c>
    </row>
    <row r="157" spans="1:3">
      <c r="A157" t="s">
        <v>42</v>
      </c>
      <c r="B157">
        <v>0.7</v>
      </c>
      <c r="C157">
        <v>105000</v>
      </c>
    </row>
    <row r="158" spans="1:3">
      <c r="A158" t="s">
        <v>120</v>
      </c>
      <c r="B158">
        <v>1</v>
      </c>
      <c r="C158">
        <v>1000000</v>
      </c>
    </row>
    <row r="159" spans="1:3">
      <c r="A159" t="s">
        <v>60</v>
      </c>
      <c r="B159">
        <v>1</v>
      </c>
      <c r="C159">
        <v>1089000</v>
      </c>
    </row>
    <row r="160" spans="1:3">
      <c r="A160" t="s">
        <v>47</v>
      </c>
      <c r="B160">
        <v>1</v>
      </c>
      <c r="C160">
        <v>400000</v>
      </c>
    </row>
    <row r="161" spans="1:3">
      <c r="A161" t="s">
        <v>47</v>
      </c>
      <c r="B161">
        <v>1</v>
      </c>
      <c r="C161">
        <v>400000</v>
      </c>
    </row>
    <row r="162" spans="1:3">
      <c r="A162" t="s">
        <v>120</v>
      </c>
      <c r="B162">
        <v>1</v>
      </c>
      <c r="C162">
        <v>314496</v>
      </c>
    </row>
    <row r="163" spans="1:3">
      <c r="A163" t="s">
        <v>120</v>
      </c>
      <c r="B163">
        <v>0.5</v>
      </c>
      <c r="C163">
        <v>26500000</v>
      </c>
    </row>
    <row r="164" spans="1:3">
      <c r="A164" t="s">
        <v>36</v>
      </c>
      <c r="B164">
        <v>1</v>
      </c>
      <c r="C164">
        <v>4112000</v>
      </c>
    </row>
    <row r="165" spans="1:3">
      <c r="A165" t="s">
        <v>47</v>
      </c>
      <c r="B165">
        <v>1</v>
      </c>
      <c r="C165">
        <v>70000</v>
      </c>
    </row>
    <row r="166" spans="1:3">
      <c r="A166" t="s">
        <v>66</v>
      </c>
      <c r="B166">
        <v>1</v>
      </c>
      <c r="C166">
        <v>1190000</v>
      </c>
    </row>
    <row r="167" spans="1:3">
      <c r="A167" t="s">
        <v>66</v>
      </c>
      <c r="B167">
        <v>1</v>
      </c>
      <c r="C167">
        <v>1125129.306</v>
      </c>
    </row>
    <row r="168" spans="1:3">
      <c r="A168" t="s">
        <v>65</v>
      </c>
      <c r="B168">
        <v>1</v>
      </c>
      <c r="C168">
        <v>2076000</v>
      </c>
    </row>
    <row r="169" spans="1:3">
      <c r="A169" t="s">
        <v>54</v>
      </c>
      <c r="B169">
        <v>1</v>
      </c>
      <c r="C169">
        <v>20000</v>
      </c>
    </row>
    <row r="170" spans="1:3">
      <c r="A170" t="s">
        <v>368</v>
      </c>
      <c r="B170">
        <v>1</v>
      </c>
      <c r="C170">
        <v>250000</v>
      </c>
    </row>
    <row r="171" spans="1:3">
      <c r="A171" t="s">
        <v>42</v>
      </c>
      <c r="B171">
        <v>0.7</v>
      </c>
      <c r="C171">
        <v>9271500</v>
      </c>
    </row>
    <row r="172" spans="1:3">
      <c r="A172" t="s">
        <v>47</v>
      </c>
      <c r="B172">
        <v>0.25</v>
      </c>
      <c r="C172">
        <v>525000</v>
      </c>
    </row>
    <row r="173" spans="1:3">
      <c r="A173" t="s">
        <v>55</v>
      </c>
      <c r="B173">
        <v>1</v>
      </c>
      <c r="C173">
        <v>1740606</v>
      </c>
    </row>
    <row r="174" spans="1:3">
      <c r="A174" t="s">
        <v>55</v>
      </c>
      <c r="B174">
        <v>1</v>
      </c>
      <c r="C174">
        <v>1740606</v>
      </c>
    </row>
    <row r="175" spans="1:3">
      <c r="A175" t="s">
        <v>367</v>
      </c>
      <c r="B175">
        <v>0.7</v>
      </c>
      <c r="C175">
        <v>661029.6882</v>
      </c>
    </row>
    <row r="176" spans="1:3">
      <c r="A176" t="s">
        <v>66</v>
      </c>
      <c r="B176">
        <v>1</v>
      </c>
      <c r="C176">
        <v>8000</v>
      </c>
    </row>
    <row r="177" spans="1:3">
      <c r="A177" t="s">
        <v>120</v>
      </c>
      <c r="B177">
        <v>1</v>
      </c>
      <c r="C177">
        <v>166040</v>
      </c>
    </row>
    <row r="178" spans="1:3">
      <c r="A178" t="s">
        <v>369</v>
      </c>
      <c r="B178">
        <v>1</v>
      </c>
      <c r="C178">
        <v>367500</v>
      </c>
    </row>
    <row r="179" spans="1:3">
      <c r="A179" t="s">
        <v>55</v>
      </c>
      <c r="B179">
        <v>1</v>
      </c>
      <c r="C179">
        <v>1992000</v>
      </c>
    </row>
    <row r="180" spans="1:3">
      <c r="A180" t="s">
        <v>47</v>
      </c>
      <c r="B180">
        <v>0.25</v>
      </c>
      <c r="C180">
        <v>350000</v>
      </c>
    </row>
    <row r="181" spans="1:3">
      <c r="A181" t="s">
        <v>120</v>
      </c>
      <c r="B181">
        <v>1</v>
      </c>
      <c r="C181">
        <v>1256693.7</v>
      </c>
    </row>
    <row r="182" spans="1:3">
      <c r="A182" t="s">
        <v>42</v>
      </c>
      <c r="B182">
        <v>1</v>
      </c>
      <c r="C182">
        <v>300000</v>
      </c>
    </row>
    <row r="183" spans="1:3">
      <c r="A183" t="s">
        <v>55</v>
      </c>
      <c r="B183">
        <v>0.7</v>
      </c>
      <c r="C183">
        <v>855540</v>
      </c>
    </row>
    <row r="184" spans="1:3">
      <c r="A184" t="s">
        <v>55</v>
      </c>
      <c r="B184">
        <v>0.7</v>
      </c>
      <c r="C184">
        <v>855540</v>
      </c>
    </row>
    <row r="185" spans="1:3">
      <c r="A185" t="s">
        <v>47</v>
      </c>
      <c r="B185">
        <v>1</v>
      </c>
      <c r="C185">
        <v>210000</v>
      </c>
    </row>
    <row r="186" spans="1:3">
      <c r="A186" t="s">
        <v>55</v>
      </c>
      <c r="B186">
        <v>1</v>
      </c>
      <c r="C186">
        <v>1000000</v>
      </c>
    </row>
    <row r="187" spans="1:3">
      <c r="A187" t="s">
        <v>47</v>
      </c>
      <c r="B187">
        <v>0.7</v>
      </c>
      <c r="C187">
        <v>1447887.1785</v>
      </c>
    </row>
    <row r="188" spans="1:3">
      <c r="A188" t="s">
        <v>55</v>
      </c>
      <c r="B188">
        <v>1</v>
      </c>
      <c r="C188">
        <v>13800</v>
      </c>
    </row>
    <row r="189" spans="1:3">
      <c r="A189" t="s">
        <v>60</v>
      </c>
      <c r="B189">
        <v>1</v>
      </c>
      <c r="C189">
        <v>6902000</v>
      </c>
    </row>
    <row r="190" spans="1:3">
      <c r="A190" t="s">
        <v>120</v>
      </c>
      <c r="B190">
        <v>0.5</v>
      </c>
      <c r="C190">
        <v>26500000</v>
      </c>
    </row>
    <row r="191" spans="1:3">
      <c r="A191" t="s">
        <v>55</v>
      </c>
      <c r="B191">
        <v>1</v>
      </c>
      <c r="C191">
        <v>923440</v>
      </c>
    </row>
    <row r="192" spans="1:3">
      <c r="A192" t="s">
        <v>367</v>
      </c>
      <c r="B192">
        <v>0.7</v>
      </c>
      <c r="C192">
        <v>3905300</v>
      </c>
    </row>
    <row r="193" spans="1:3">
      <c r="A193" t="s">
        <v>367</v>
      </c>
      <c r="B193">
        <v>0.7</v>
      </c>
      <c r="C193">
        <v>2451856.12</v>
      </c>
    </row>
    <row r="194" spans="1:3">
      <c r="A194" t="s">
        <v>55</v>
      </c>
      <c r="B194">
        <v>1</v>
      </c>
      <c r="C194">
        <v>212000</v>
      </c>
    </row>
    <row r="195" spans="1:3">
      <c r="A195" t="s">
        <v>47</v>
      </c>
      <c r="B195">
        <v>1</v>
      </c>
      <c r="C195">
        <v>859700</v>
      </c>
    </row>
    <row r="196" spans="1:3">
      <c r="A196" t="s">
        <v>47</v>
      </c>
      <c r="B196">
        <v>1</v>
      </c>
      <c r="C196">
        <v>138700</v>
      </c>
    </row>
    <row r="197" spans="1:3">
      <c r="A197" t="s">
        <v>55</v>
      </c>
      <c r="B197">
        <v>1</v>
      </c>
      <c r="C197">
        <v>680000</v>
      </c>
    </row>
    <row r="198" spans="1:3">
      <c r="A198" t="s">
        <v>367</v>
      </c>
      <c r="B198">
        <v>0.7</v>
      </c>
      <c r="C198">
        <v>1150348.92</v>
      </c>
    </row>
    <row r="199" spans="1:3">
      <c r="A199" t="s">
        <v>47</v>
      </c>
      <c r="B199">
        <v>1</v>
      </c>
      <c r="C199">
        <v>667800</v>
      </c>
    </row>
    <row r="200" spans="1:3">
      <c r="A200" t="s">
        <v>368</v>
      </c>
      <c r="B200">
        <v>1</v>
      </c>
      <c r="C200">
        <v>525000</v>
      </c>
    </row>
    <row r="201" spans="1:3">
      <c r="A201" t="s">
        <v>367</v>
      </c>
      <c r="B201">
        <v>0.7</v>
      </c>
      <c r="C201">
        <v>245000</v>
      </c>
    </row>
    <row r="202" spans="1:3">
      <c r="A202" t="s">
        <v>368</v>
      </c>
      <c r="B202">
        <v>1</v>
      </c>
      <c r="C202">
        <v>1000000</v>
      </c>
    </row>
    <row r="203" spans="1:3">
      <c r="A203" t="s">
        <v>47</v>
      </c>
      <c r="B203">
        <v>1</v>
      </c>
      <c r="C203">
        <v>780000</v>
      </c>
    </row>
    <row r="204" spans="1:3">
      <c r="A204" t="s">
        <v>55</v>
      </c>
      <c r="B204">
        <v>1</v>
      </c>
      <c r="C204">
        <v>446220</v>
      </c>
    </row>
    <row r="205" spans="1:3">
      <c r="A205" t="s">
        <v>42</v>
      </c>
      <c r="B205">
        <v>1</v>
      </c>
      <c r="C205">
        <v>150000</v>
      </c>
    </row>
    <row r="206" spans="1:3">
      <c r="A206" t="s">
        <v>41</v>
      </c>
      <c r="B206">
        <v>1</v>
      </c>
      <c r="C206">
        <v>50320000</v>
      </c>
    </row>
    <row r="207" spans="1:3">
      <c r="A207" t="s">
        <v>54</v>
      </c>
      <c r="B207">
        <v>0.6</v>
      </c>
      <c r="C207">
        <v>168000</v>
      </c>
    </row>
    <row r="208" spans="1:3">
      <c r="A208" t="s">
        <v>47</v>
      </c>
      <c r="B208">
        <v>0.25</v>
      </c>
      <c r="C208">
        <v>700000</v>
      </c>
    </row>
    <row r="209" spans="1:3">
      <c r="A209" t="s">
        <v>120</v>
      </c>
      <c r="B209">
        <v>0.6</v>
      </c>
      <c r="C209">
        <v>224985.6</v>
      </c>
    </row>
    <row r="210" spans="1:3">
      <c r="A210" t="s">
        <v>41</v>
      </c>
      <c r="B210">
        <v>1</v>
      </c>
      <c r="C210">
        <v>300000</v>
      </c>
    </row>
    <row r="211" spans="1:3">
      <c r="A211" t="s">
        <v>42</v>
      </c>
      <c r="B211">
        <v>0.7</v>
      </c>
      <c r="C211">
        <v>280000</v>
      </c>
    </row>
    <row r="212" spans="1:3">
      <c r="A212" t="s">
        <v>55</v>
      </c>
      <c r="B212">
        <v>1</v>
      </c>
      <c r="C212">
        <v>270900</v>
      </c>
    </row>
    <row r="213" spans="1:3">
      <c r="A213" t="s">
        <v>55</v>
      </c>
      <c r="B213">
        <v>1</v>
      </c>
      <c r="C213">
        <v>1050000</v>
      </c>
    </row>
    <row r="214" spans="1:3">
      <c r="A214" t="s">
        <v>41</v>
      </c>
      <c r="B214">
        <v>0.7</v>
      </c>
      <c r="C214">
        <v>357210</v>
      </c>
    </row>
    <row r="215" spans="1:3">
      <c r="A215" t="s">
        <v>47</v>
      </c>
      <c r="B215">
        <v>1</v>
      </c>
      <c r="C215">
        <v>267060</v>
      </c>
    </row>
    <row r="216" spans="1:3">
      <c r="A216" t="s">
        <v>369</v>
      </c>
      <c r="B216">
        <v>1</v>
      </c>
      <c r="C216">
        <v>735000</v>
      </c>
    </row>
    <row r="217" spans="1:3">
      <c r="A217" t="s">
        <v>60</v>
      </c>
      <c r="B217">
        <v>0.6</v>
      </c>
      <c r="C217">
        <v>773438.4</v>
      </c>
    </row>
    <row r="218" spans="1:3">
      <c r="A218" t="s">
        <v>367</v>
      </c>
      <c r="B218">
        <v>0.7</v>
      </c>
      <c r="C218">
        <v>8400000</v>
      </c>
    </row>
    <row r="219" spans="1:3">
      <c r="A219" t="s">
        <v>54</v>
      </c>
      <c r="B219">
        <v>1</v>
      </c>
      <c r="C219">
        <v>315000</v>
      </c>
    </row>
    <row r="220" spans="1:3">
      <c r="A220" t="s">
        <v>47</v>
      </c>
      <c r="B220">
        <v>0.25</v>
      </c>
      <c r="C220">
        <v>525000</v>
      </c>
    </row>
    <row r="221" spans="1:3">
      <c r="A221" t="s">
        <v>47</v>
      </c>
      <c r="B221">
        <v>1</v>
      </c>
      <c r="C221">
        <v>250000</v>
      </c>
    </row>
    <row r="222" spans="1:3">
      <c r="A222" t="s">
        <v>47</v>
      </c>
      <c r="B222">
        <v>1</v>
      </c>
      <c r="C222">
        <v>389200</v>
      </c>
    </row>
    <row r="223" spans="1:3">
      <c r="A223" t="s">
        <v>66</v>
      </c>
      <c r="B223">
        <v>0.7</v>
      </c>
      <c r="C223">
        <v>10765300</v>
      </c>
    </row>
    <row r="224" spans="1:3">
      <c r="A224" t="s">
        <v>66</v>
      </c>
      <c r="B224">
        <v>0.7</v>
      </c>
      <c r="C224">
        <v>1323000</v>
      </c>
    </row>
    <row r="225" spans="1:3">
      <c r="A225" t="s">
        <v>66</v>
      </c>
      <c r="B225">
        <v>0.7</v>
      </c>
      <c r="C225">
        <v>11200000</v>
      </c>
    </row>
    <row r="226" spans="1:3">
      <c r="A226" t="s">
        <v>42</v>
      </c>
      <c r="B226">
        <v>0.7</v>
      </c>
      <c r="C226">
        <v>560000</v>
      </c>
    </row>
    <row r="227" spans="1:3">
      <c r="A227" t="s">
        <v>42</v>
      </c>
      <c r="B227">
        <v>0.7</v>
      </c>
      <c r="C227">
        <v>80850</v>
      </c>
    </row>
    <row r="228" spans="1:3">
      <c r="A228" t="s">
        <v>42</v>
      </c>
      <c r="B228">
        <v>0.7</v>
      </c>
      <c r="C228">
        <v>127050</v>
      </c>
    </row>
    <row r="229" spans="1:3">
      <c r="A229" t="s">
        <v>42</v>
      </c>
      <c r="B229">
        <v>0.7</v>
      </c>
      <c r="C229">
        <v>485100</v>
      </c>
    </row>
    <row r="230" spans="1:3">
      <c r="A230" t="s">
        <v>36</v>
      </c>
      <c r="B230">
        <v>1</v>
      </c>
      <c r="C230">
        <v>359800</v>
      </c>
    </row>
    <row r="231" spans="1:3">
      <c r="A231" t="s">
        <v>41</v>
      </c>
      <c r="B231">
        <v>1</v>
      </c>
      <c r="C231">
        <v>300000</v>
      </c>
    </row>
    <row r="232" spans="1:3">
      <c r="A232" t="s">
        <v>120</v>
      </c>
      <c r="B232">
        <v>0.3</v>
      </c>
      <c r="C232">
        <v>25050000</v>
      </c>
    </row>
    <row r="233" spans="1:3">
      <c r="A233" t="s">
        <v>54</v>
      </c>
      <c r="B233">
        <v>0.7</v>
      </c>
      <c r="C233">
        <v>4200000</v>
      </c>
    </row>
    <row r="234" spans="1:3">
      <c r="A234" t="s">
        <v>42</v>
      </c>
      <c r="B234">
        <v>0.7</v>
      </c>
      <c r="C234">
        <v>14834400</v>
      </c>
    </row>
    <row r="235" spans="1:3">
      <c r="A235" t="s">
        <v>55</v>
      </c>
      <c r="B235">
        <v>1</v>
      </c>
      <c r="C235">
        <v>4430000</v>
      </c>
    </row>
    <row r="236" spans="1:3">
      <c r="A236" t="s">
        <v>66</v>
      </c>
      <c r="B236">
        <v>0.7</v>
      </c>
      <c r="C236">
        <v>490000</v>
      </c>
    </row>
    <row r="237" spans="1:3">
      <c r="A237" t="s">
        <v>42</v>
      </c>
      <c r="B237">
        <v>0.7</v>
      </c>
      <c r="C237">
        <v>2992272.1038</v>
      </c>
    </row>
    <row r="238" spans="1:3">
      <c r="A238" t="s">
        <v>55</v>
      </c>
      <c r="B238">
        <v>1</v>
      </c>
      <c r="C238">
        <v>212000</v>
      </c>
    </row>
    <row r="239" spans="1:3">
      <c r="A239" t="s">
        <v>368</v>
      </c>
      <c r="B239">
        <v>1</v>
      </c>
      <c r="C239">
        <v>3857087.4</v>
      </c>
    </row>
    <row r="240" spans="1:3">
      <c r="A240" t="s">
        <v>55</v>
      </c>
      <c r="B240">
        <v>1</v>
      </c>
      <c r="C240">
        <v>485100</v>
      </c>
    </row>
    <row r="241" spans="1:3">
      <c r="A241" t="s">
        <v>369</v>
      </c>
      <c r="B241">
        <v>1</v>
      </c>
      <c r="C241">
        <v>150000</v>
      </c>
    </row>
    <row r="242" spans="1:3">
      <c r="A242" t="s">
        <v>65</v>
      </c>
      <c r="B242">
        <v>1</v>
      </c>
      <c r="C242">
        <v>105000</v>
      </c>
    </row>
    <row r="243" spans="1:3">
      <c r="A243" t="s">
        <v>41</v>
      </c>
      <c r="B243">
        <v>1</v>
      </c>
      <c r="C243">
        <v>61650</v>
      </c>
    </row>
    <row r="244" spans="1:3">
      <c r="A244" t="s">
        <v>41</v>
      </c>
      <c r="B244">
        <v>0.7</v>
      </c>
      <c r="C244">
        <v>4084500</v>
      </c>
    </row>
    <row r="245" spans="1:3">
      <c r="A245" t="s">
        <v>42</v>
      </c>
      <c r="B245">
        <v>0.7</v>
      </c>
      <c r="C245">
        <v>1433600</v>
      </c>
    </row>
    <row r="246" spans="1:3">
      <c r="A246" t="s">
        <v>66</v>
      </c>
      <c r="B246">
        <v>0.3</v>
      </c>
      <c r="C246">
        <v>630000</v>
      </c>
    </row>
    <row r="247" spans="1:3">
      <c r="A247" t="s">
        <v>66</v>
      </c>
      <c r="B247">
        <v>0.3</v>
      </c>
      <c r="C247">
        <v>1050000</v>
      </c>
    </row>
    <row r="248" spans="1:3">
      <c r="A248" t="s">
        <v>66</v>
      </c>
      <c r="B248">
        <v>0.3</v>
      </c>
      <c r="C248">
        <v>945000</v>
      </c>
    </row>
    <row r="249" spans="1:3">
      <c r="A249" t="s">
        <v>66</v>
      </c>
      <c r="B249">
        <v>0.3</v>
      </c>
      <c r="C249">
        <v>945000</v>
      </c>
    </row>
    <row r="250" spans="1:3">
      <c r="A250" t="s">
        <v>66</v>
      </c>
      <c r="B250">
        <v>0.3</v>
      </c>
      <c r="C250">
        <v>588000</v>
      </c>
    </row>
    <row r="251" spans="1:3">
      <c r="A251" t="s">
        <v>120</v>
      </c>
      <c r="B251">
        <v>0.5</v>
      </c>
      <c r="C251">
        <v>75000</v>
      </c>
    </row>
    <row r="252" spans="1:3">
      <c r="A252" t="s">
        <v>365</v>
      </c>
      <c r="B252">
        <v>0.4</v>
      </c>
      <c r="C252">
        <v>435600</v>
      </c>
    </row>
    <row r="253" spans="1:3">
      <c r="A253" t="s">
        <v>66</v>
      </c>
      <c r="B253">
        <v>0.3</v>
      </c>
      <c r="C253">
        <v>1050000</v>
      </c>
    </row>
    <row r="254" spans="1:3">
      <c r="A254" t="s">
        <v>41</v>
      </c>
      <c r="B254">
        <v>0.3</v>
      </c>
      <c r="C254">
        <v>210000</v>
      </c>
    </row>
    <row r="255" spans="1:3">
      <c r="A255" t="s">
        <v>42</v>
      </c>
      <c r="B255">
        <v>0.3</v>
      </c>
      <c r="C255">
        <v>85050</v>
      </c>
    </row>
    <row r="256" spans="1:3">
      <c r="A256" t="s">
        <v>41</v>
      </c>
      <c r="B256">
        <v>0.3</v>
      </c>
      <c r="C256">
        <v>127644.2091</v>
      </c>
    </row>
    <row r="257" spans="1:3">
      <c r="A257" t="s">
        <v>41</v>
      </c>
      <c r="B257">
        <v>0.3</v>
      </c>
      <c r="C257">
        <v>7355.7909</v>
      </c>
    </row>
    <row r="258" spans="1:3">
      <c r="A258" t="s">
        <v>66</v>
      </c>
      <c r="B258">
        <v>0.3</v>
      </c>
      <c r="C258">
        <v>63000</v>
      </c>
    </row>
    <row r="259" spans="1:3">
      <c r="A259" t="s">
        <v>47</v>
      </c>
      <c r="B259">
        <v>0.5</v>
      </c>
      <c r="C259">
        <v>2178000</v>
      </c>
    </row>
    <row r="260" spans="1:3">
      <c r="A260" t="s">
        <v>66</v>
      </c>
      <c r="B260">
        <v>0.3</v>
      </c>
      <c r="C260">
        <v>180000</v>
      </c>
    </row>
    <row r="261" spans="1:3">
      <c r="A261" t="s">
        <v>60</v>
      </c>
      <c r="B261">
        <v>0.4</v>
      </c>
      <c r="C261">
        <v>1120000</v>
      </c>
    </row>
    <row r="262" spans="1:3">
      <c r="A262" t="s">
        <v>365</v>
      </c>
      <c r="B262">
        <v>0.2</v>
      </c>
      <c r="C262">
        <v>125272</v>
      </c>
    </row>
    <row r="263" spans="1:3">
      <c r="A263" t="s">
        <v>66</v>
      </c>
      <c r="B263">
        <v>0.3</v>
      </c>
      <c r="C263">
        <v>73800</v>
      </c>
    </row>
    <row r="264" spans="1:3">
      <c r="A264" t="s">
        <v>54</v>
      </c>
      <c r="B264">
        <v>0.25</v>
      </c>
      <c r="C264">
        <v>51250</v>
      </c>
    </row>
    <row r="265" spans="1:3">
      <c r="A265" t="s">
        <v>66</v>
      </c>
      <c r="B265">
        <v>0.3</v>
      </c>
      <c r="C265">
        <v>966000</v>
      </c>
    </row>
    <row r="266" spans="1:3">
      <c r="A266" t="s">
        <v>54</v>
      </c>
      <c r="B266">
        <v>0.25</v>
      </c>
      <c r="C266">
        <v>698750</v>
      </c>
    </row>
    <row r="267" spans="1:3">
      <c r="A267" t="s">
        <v>66</v>
      </c>
      <c r="B267">
        <v>0.3</v>
      </c>
      <c r="C267">
        <v>840000</v>
      </c>
    </row>
    <row r="268" spans="1:3">
      <c r="A268" t="s">
        <v>42</v>
      </c>
      <c r="B268">
        <v>0.3</v>
      </c>
      <c r="C268">
        <v>85050</v>
      </c>
    </row>
    <row r="269" spans="1:3">
      <c r="A269" t="s">
        <v>54</v>
      </c>
      <c r="B269">
        <v>0.3</v>
      </c>
      <c r="C269">
        <v>210000</v>
      </c>
    </row>
    <row r="270" spans="1:3">
      <c r="A270" t="s">
        <v>41</v>
      </c>
      <c r="B270">
        <v>0.3</v>
      </c>
      <c r="C270">
        <v>3973500</v>
      </c>
    </row>
    <row r="271" spans="1:3">
      <c r="A271" t="s">
        <v>66</v>
      </c>
      <c r="B271">
        <v>0.3</v>
      </c>
      <c r="C271">
        <v>450000</v>
      </c>
    </row>
    <row r="272" spans="1:3">
      <c r="A272" t="s">
        <v>54</v>
      </c>
      <c r="B272">
        <v>0.25</v>
      </c>
      <c r="C272">
        <v>543750</v>
      </c>
    </row>
    <row r="273" spans="1:3">
      <c r="A273" t="s">
        <v>54</v>
      </c>
      <c r="B273">
        <v>0.25</v>
      </c>
      <c r="C273">
        <v>456250</v>
      </c>
    </row>
    <row r="274" spans="1:3">
      <c r="A274" t="s">
        <v>66</v>
      </c>
      <c r="B274">
        <v>0.3</v>
      </c>
      <c r="C274">
        <v>4800000</v>
      </c>
    </row>
    <row r="275" spans="1:3">
      <c r="A275" t="s">
        <v>36</v>
      </c>
      <c r="B275">
        <v>0.4</v>
      </c>
      <c r="C275">
        <v>599961.6</v>
      </c>
    </row>
    <row r="276" spans="1:3">
      <c r="A276" t="s">
        <v>36</v>
      </c>
      <c r="B276">
        <v>0.4</v>
      </c>
      <c r="C276">
        <v>503193.6</v>
      </c>
    </row>
    <row r="277" spans="1:3">
      <c r="A277" t="s">
        <v>369</v>
      </c>
      <c r="B277">
        <v>0.3</v>
      </c>
      <c r="C277">
        <v>1806000</v>
      </c>
    </row>
    <row r="278" spans="1:3">
      <c r="A278" t="s">
        <v>369</v>
      </c>
      <c r="B278">
        <v>0.3</v>
      </c>
      <c r="C278">
        <v>277200</v>
      </c>
    </row>
    <row r="279" spans="1:3">
      <c r="A279" t="s">
        <v>369</v>
      </c>
      <c r="B279">
        <v>0.3</v>
      </c>
      <c r="C279">
        <v>567000</v>
      </c>
    </row>
    <row r="280" spans="1:3">
      <c r="A280" t="s">
        <v>369</v>
      </c>
      <c r="B280">
        <v>0.3</v>
      </c>
      <c r="C280">
        <v>183330</v>
      </c>
    </row>
    <row r="281" spans="1:3">
      <c r="A281" t="s">
        <v>369</v>
      </c>
      <c r="B281">
        <v>0.3</v>
      </c>
      <c r="C281">
        <v>183330</v>
      </c>
    </row>
    <row r="282" spans="1:3">
      <c r="A282" t="s">
        <v>66</v>
      </c>
      <c r="B282">
        <v>0.3</v>
      </c>
      <c r="C282">
        <v>79045.3308</v>
      </c>
    </row>
    <row r="283" spans="1:3">
      <c r="A283" t="s">
        <v>66</v>
      </c>
      <c r="B283">
        <v>0.3</v>
      </c>
      <c r="C283">
        <v>89554.6692</v>
      </c>
    </row>
    <row r="284" spans="1:3">
      <c r="A284" t="s">
        <v>365</v>
      </c>
      <c r="B284">
        <v>0.4</v>
      </c>
      <c r="C284">
        <v>3619879.2</v>
      </c>
    </row>
    <row r="285" spans="1:3">
      <c r="A285" t="s">
        <v>365</v>
      </c>
      <c r="B285">
        <v>0.2</v>
      </c>
      <c r="C285">
        <v>249043.2</v>
      </c>
    </row>
    <row r="286" spans="1:3">
      <c r="A286" t="s">
        <v>66</v>
      </c>
      <c r="B286">
        <v>0.3</v>
      </c>
      <c r="C286">
        <v>45000</v>
      </c>
    </row>
    <row r="287" spans="1:3">
      <c r="A287" t="s">
        <v>66</v>
      </c>
      <c r="B287">
        <v>0.3</v>
      </c>
      <c r="C287">
        <v>105000</v>
      </c>
    </row>
    <row r="288" spans="1:3">
      <c r="A288" t="s">
        <v>41</v>
      </c>
      <c r="B288">
        <v>0.3</v>
      </c>
      <c r="C288">
        <v>63000</v>
      </c>
    </row>
    <row r="289" spans="1:3">
      <c r="A289" t="s">
        <v>66</v>
      </c>
      <c r="B289">
        <v>0.3</v>
      </c>
      <c r="C289">
        <v>108866.0916</v>
      </c>
    </row>
    <row r="290" spans="1:3">
      <c r="A290" t="s">
        <v>66</v>
      </c>
      <c r="B290">
        <v>0.3</v>
      </c>
      <c r="C290">
        <v>108674.0172</v>
      </c>
    </row>
    <row r="291" spans="1:3">
      <c r="A291" t="s">
        <v>66</v>
      </c>
      <c r="B291">
        <v>0.3</v>
      </c>
      <c r="C291">
        <v>360000</v>
      </c>
    </row>
    <row r="292" spans="1:3">
      <c r="A292" t="s">
        <v>66</v>
      </c>
      <c r="B292">
        <v>0.3</v>
      </c>
      <c r="C292">
        <v>15084300</v>
      </c>
    </row>
    <row r="293" spans="1:3">
      <c r="A293" t="s">
        <v>66</v>
      </c>
      <c r="B293">
        <v>0.3</v>
      </c>
      <c r="C293">
        <v>14400000</v>
      </c>
    </row>
    <row r="294" spans="1:3">
      <c r="A294" t="s">
        <v>66</v>
      </c>
      <c r="B294">
        <v>0.3</v>
      </c>
      <c r="C294">
        <v>28744.3683</v>
      </c>
    </row>
    <row r="295" spans="1:3">
      <c r="A295" t="s">
        <v>66</v>
      </c>
      <c r="B295">
        <v>0.3</v>
      </c>
      <c r="C295">
        <v>210000</v>
      </c>
    </row>
    <row r="296" spans="1:3">
      <c r="A296" t="s">
        <v>54</v>
      </c>
      <c r="B296">
        <v>0.25</v>
      </c>
      <c r="C296">
        <v>1153750</v>
      </c>
    </row>
    <row r="297" spans="1:3">
      <c r="A297" t="s">
        <v>54</v>
      </c>
      <c r="B297">
        <v>0.25</v>
      </c>
      <c r="C297">
        <v>67375</v>
      </c>
    </row>
    <row r="298" spans="1:3">
      <c r="A298" t="s">
        <v>60</v>
      </c>
      <c r="B298">
        <v>0.333333333333333</v>
      </c>
      <c r="C298">
        <v>310000</v>
      </c>
    </row>
    <row r="299" spans="1:3">
      <c r="A299" t="s">
        <v>66</v>
      </c>
      <c r="B299">
        <v>0.3</v>
      </c>
      <c r="C299">
        <v>120000</v>
      </c>
    </row>
    <row r="300" spans="1:3">
      <c r="A300" t="s">
        <v>42</v>
      </c>
      <c r="B300">
        <v>0.3</v>
      </c>
      <c r="C300">
        <v>18900</v>
      </c>
    </row>
    <row r="301" spans="1:3">
      <c r="A301" t="s">
        <v>66</v>
      </c>
      <c r="B301">
        <v>0.3</v>
      </c>
      <c r="C301">
        <v>315000</v>
      </c>
    </row>
    <row r="302" spans="1:3">
      <c r="A302" t="s">
        <v>41</v>
      </c>
      <c r="B302">
        <v>0.3</v>
      </c>
      <c r="C302">
        <v>188748.81</v>
      </c>
    </row>
    <row r="303" spans="1:3">
      <c r="A303" t="s">
        <v>369</v>
      </c>
      <c r="B303">
        <v>0.3</v>
      </c>
      <c r="C303">
        <v>1764000</v>
      </c>
    </row>
    <row r="304" spans="1:3">
      <c r="A304" t="s">
        <v>66</v>
      </c>
      <c r="B304">
        <v>0.3</v>
      </c>
      <c r="C304">
        <v>210000</v>
      </c>
    </row>
    <row r="305" spans="1:3">
      <c r="A305" t="s">
        <v>41</v>
      </c>
      <c r="B305">
        <v>0.3</v>
      </c>
      <c r="C305">
        <v>514710</v>
      </c>
    </row>
    <row r="306" spans="1:3">
      <c r="A306" t="s">
        <v>41</v>
      </c>
      <c r="B306">
        <v>0.3</v>
      </c>
      <c r="C306">
        <v>36000</v>
      </c>
    </row>
    <row r="307" spans="1:3">
      <c r="A307" t="s">
        <v>41</v>
      </c>
      <c r="B307">
        <v>0.3</v>
      </c>
      <c r="C307">
        <v>2845500</v>
      </c>
    </row>
    <row r="308" spans="1:3">
      <c r="A308" t="s">
        <v>54</v>
      </c>
      <c r="B308">
        <v>0.25</v>
      </c>
      <c r="C308">
        <v>525000</v>
      </c>
    </row>
    <row r="309" spans="1:3">
      <c r="A309" t="s">
        <v>41</v>
      </c>
      <c r="B309">
        <v>0.3</v>
      </c>
      <c r="C309">
        <v>135000</v>
      </c>
    </row>
    <row r="310" spans="1:3">
      <c r="A310" t="s">
        <v>41</v>
      </c>
      <c r="B310">
        <v>0.3</v>
      </c>
      <c r="C310">
        <v>3119400</v>
      </c>
    </row>
    <row r="311" spans="1:3">
      <c r="A311" t="s">
        <v>66</v>
      </c>
      <c r="B311">
        <v>0.3</v>
      </c>
      <c r="C311">
        <v>156550.86</v>
      </c>
    </row>
    <row r="312" spans="1:3">
      <c r="A312" t="s">
        <v>66</v>
      </c>
      <c r="B312">
        <v>0.3</v>
      </c>
      <c r="C312">
        <v>8550</v>
      </c>
    </row>
    <row r="313" spans="1:3">
      <c r="A313" t="s">
        <v>66</v>
      </c>
      <c r="B313">
        <v>0.3</v>
      </c>
      <c r="C313">
        <v>8775</v>
      </c>
    </row>
    <row r="314" spans="1:3">
      <c r="A314" t="s">
        <v>41</v>
      </c>
      <c r="B314">
        <v>0.3</v>
      </c>
      <c r="C314">
        <v>106180.2</v>
      </c>
    </row>
    <row r="315" spans="1:3">
      <c r="A315" t="s">
        <v>60</v>
      </c>
      <c r="B315">
        <v>0.333333333333333</v>
      </c>
      <c r="C315">
        <v>1550000</v>
      </c>
    </row>
    <row r="316" spans="1:3">
      <c r="A316" t="s">
        <v>41</v>
      </c>
      <c r="B316">
        <v>0.3</v>
      </c>
      <c r="C316">
        <v>45000</v>
      </c>
    </row>
    <row r="317" spans="1:3">
      <c r="A317" t="s">
        <v>60</v>
      </c>
      <c r="B317">
        <v>0.25</v>
      </c>
      <c r="C317">
        <v>13250000</v>
      </c>
    </row>
    <row r="318" spans="1:3">
      <c r="A318" t="s">
        <v>41</v>
      </c>
      <c r="B318">
        <v>0.3</v>
      </c>
      <c r="C318">
        <v>3973500</v>
      </c>
    </row>
    <row r="319" spans="1:3">
      <c r="A319" t="s">
        <v>54</v>
      </c>
      <c r="B319">
        <v>0.25</v>
      </c>
      <c r="C319">
        <v>525000</v>
      </c>
    </row>
    <row r="320" spans="1:3">
      <c r="A320" t="s">
        <v>66</v>
      </c>
      <c r="B320">
        <v>0.3</v>
      </c>
      <c r="C320">
        <v>283298.4378</v>
      </c>
    </row>
    <row r="321" spans="1:3">
      <c r="A321" t="s">
        <v>54</v>
      </c>
      <c r="B321">
        <v>0.25</v>
      </c>
      <c r="C321">
        <v>350000</v>
      </c>
    </row>
    <row r="322" spans="1:3">
      <c r="A322" t="s">
        <v>369</v>
      </c>
      <c r="B322">
        <v>0.3</v>
      </c>
      <c r="C322">
        <v>366660</v>
      </c>
    </row>
    <row r="323" spans="1:3">
      <c r="A323" t="s">
        <v>369</v>
      </c>
      <c r="B323">
        <v>0.3</v>
      </c>
      <c r="C323">
        <v>366660</v>
      </c>
    </row>
    <row r="324" spans="1:3">
      <c r="A324" t="s">
        <v>365</v>
      </c>
      <c r="B324">
        <v>0.3</v>
      </c>
      <c r="C324">
        <v>620523.0765</v>
      </c>
    </row>
    <row r="325" spans="1:3">
      <c r="A325" t="s">
        <v>60</v>
      </c>
      <c r="B325">
        <v>0.25</v>
      </c>
      <c r="C325">
        <v>13250000</v>
      </c>
    </row>
    <row r="326" spans="1:3">
      <c r="A326" t="s">
        <v>66</v>
      </c>
      <c r="B326">
        <v>0.3</v>
      </c>
      <c r="C326">
        <v>1673700</v>
      </c>
    </row>
    <row r="327" spans="1:3">
      <c r="A327" t="s">
        <v>66</v>
      </c>
      <c r="B327">
        <v>0.3</v>
      </c>
      <c r="C327">
        <v>1050795.48</v>
      </c>
    </row>
    <row r="328" spans="1:3">
      <c r="A328" t="s">
        <v>66</v>
      </c>
      <c r="B328">
        <v>0.3</v>
      </c>
      <c r="C328">
        <v>493006.68</v>
      </c>
    </row>
    <row r="329" spans="1:3">
      <c r="A329" t="s">
        <v>66</v>
      </c>
      <c r="B329">
        <v>0.3</v>
      </c>
      <c r="C329">
        <v>105000</v>
      </c>
    </row>
    <row r="330" spans="1:3">
      <c r="A330" t="s">
        <v>60</v>
      </c>
      <c r="B330">
        <v>0.4</v>
      </c>
      <c r="C330">
        <v>112000</v>
      </c>
    </row>
    <row r="331" spans="1:3">
      <c r="A331" t="s">
        <v>54</v>
      </c>
      <c r="B331">
        <v>0.25</v>
      </c>
      <c r="C331">
        <v>700000</v>
      </c>
    </row>
    <row r="332" spans="1:3">
      <c r="A332" t="s">
        <v>36</v>
      </c>
      <c r="B332">
        <v>0.4</v>
      </c>
      <c r="C332">
        <v>149990.4</v>
      </c>
    </row>
    <row r="333" spans="1:3">
      <c r="A333" t="s">
        <v>41</v>
      </c>
      <c r="B333">
        <v>0.3</v>
      </c>
      <c r="C333">
        <v>120000</v>
      </c>
    </row>
    <row r="334" spans="1:3">
      <c r="A334" t="s">
        <v>42</v>
      </c>
      <c r="B334">
        <v>0.3</v>
      </c>
      <c r="C334">
        <v>153090</v>
      </c>
    </row>
    <row r="335" spans="1:3">
      <c r="A335" t="s">
        <v>36</v>
      </c>
      <c r="B335">
        <v>0.4</v>
      </c>
      <c r="C335">
        <v>515625.6</v>
      </c>
    </row>
    <row r="336" spans="1:3">
      <c r="A336" t="s">
        <v>66</v>
      </c>
      <c r="B336">
        <v>0.3</v>
      </c>
      <c r="C336">
        <v>3600000</v>
      </c>
    </row>
    <row r="337" spans="1:3">
      <c r="A337" t="s">
        <v>54</v>
      </c>
      <c r="B337">
        <v>0.25</v>
      </c>
      <c r="C337">
        <v>525000</v>
      </c>
    </row>
    <row r="338" spans="1:3">
      <c r="A338" t="s">
        <v>65</v>
      </c>
      <c r="B338">
        <v>0.3</v>
      </c>
      <c r="C338">
        <v>4613700</v>
      </c>
    </row>
    <row r="339" spans="1:3">
      <c r="A339" t="s">
        <v>65</v>
      </c>
      <c r="B339">
        <v>0.3</v>
      </c>
      <c r="C339">
        <v>567000</v>
      </c>
    </row>
    <row r="340" spans="1:3">
      <c r="A340" t="s">
        <v>65</v>
      </c>
      <c r="B340">
        <v>0.3</v>
      </c>
      <c r="C340">
        <v>4800000</v>
      </c>
    </row>
    <row r="341" spans="1:3">
      <c r="A341" t="s">
        <v>41</v>
      </c>
      <c r="B341">
        <v>0.3</v>
      </c>
      <c r="C341">
        <v>240000</v>
      </c>
    </row>
    <row r="342" spans="1:3">
      <c r="A342" t="s">
        <v>41</v>
      </c>
      <c r="B342">
        <v>0.3</v>
      </c>
      <c r="C342">
        <v>34650</v>
      </c>
    </row>
    <row r="343" spans="1:3">
      <c r="A343" t="s">
        <v>41</v>
      </c>
      <c r="B343">
        <v>0.3</v>
      </c>
      <c r="C343">
        <v>54450</v>
      </c>
    </row>
    <row r="344" spans="1:3">
      <c r="A344" t="s">
        <v>41</v>
      </c>
      <c r="B344">
        <v>0.3</v>
      </c>
      <c r="C344">
        <v>207900</v>
      </c>
    </row>
    <row r="345" spans="1:3">
      <c r="A345" t="s">
        <v>60</v>
      </c>
      <c r="B345">
        <v>0.279341317365269</v>
      </c>
      <c r="C345">
        <v>23325000</v>
      </c>
    </row>
    <row r="346" spans="1:3">
      <c r="A346" t="s">
        <v>365</v>
      </c>
      <c r="B346">
        <v>0.3</v>
      </c>
      <c r="C346">
        <v>1800000</v>
      </c>
    </row>
    <row r="347" spans="1:3">
      <c r="A347" t="s">
        <v>41</v>
      </c>
      <c r="B347">
        <v>0.3</v>
      </c>
      <c r="C347">
        <v>6357600</v>
      </c>
    </row>
    <row r="348" spans="1:3">
      <c r="A348" t="s">
        <v>65</v>
      </c>
      <c r="B348">
        <v>0.3</v>
      </c>
      <c r="C348">
        <v>210000</v>
      </c>
    </row>
    <row r="349" spans="1:3">
      <c r="A349" t="s">
        <v>41</v>
      </c>
      <c r="B349">
        <v>0.3</v>
      </c>
      <c r="C349">
        <v>1282402.3302</v>
      </c>
    </row>
    <row r="350" spans="1:3">
      <c r="A350" t="s">
        <v>42</v>
      </c>
      <c r="B350">
        <v>0.3</v>
      </c>
      <c r="C350">
        <v>1750500</v>
      </c>
    </row>
    <row r="351" spans="1:3">
      <c r="A351" t="s">
        <v>41</v>
      </c>
      <c r="B351">
        <v>0.3</v>
      </c>
      <c r="C351">
        <v>614400</v>
      </c>
    </row>
    <row r="352" spans="1:3">
      <c r="A352" t="s">
        <v>369</v>
      </c>
      <c r="B352">
        <v>0.2</v>
      </c>
      <c r="C352">
        <v>125272</v>
      </c>
    </row>
    <row r="353" spans="1:3">
      <c r="A353" t="s">
        <v>365</v>
      </c>
      <c r="B353">
        <v>0.25</v>
      </c>
      <c r="C353">
        <v>51250</v>
      </c>
    </row>
    <row r="354" spans="1:3">
      <c r="A354" t="s">
        <v>365</v>
      </c>
      <c r="B354">
        <v>0.25</v>
      </c>
      <c r="C354">
        <v>698750</v>
      </c>
    </row>
    <row r="355" spans="1:3">
      <c r="A355" t="s">
        <v>365</v>
      </c>
      <c r="B355">
        <v>0.25</v>
      </c>
      <c r="C355">
        <v>543750</v>
      </c>
    </row>
    <row r="356" spans="1:3">
      <c r="A356" t="s">
        <v>365</v>
      </c>
      <c r="B356">
        <v>0.25</v>
      </c>
      <c r="C356">
        <v>456250</v>
      </c>
    </row>
    <row r="357" spans="1:3">
      <c r="A357" t="s">
        <v>369</v>
      </c>
      <c r="B357">
        <v>0.2</v>
      </c>
      <c r="C357">
        <v>249043.2</v>
      </c>
    </row>
    <row r="358" spans="1:3">
      <c r="A358" t="s">
        <v>365</v>
      </c>
      <c r="B358">
        <v>0.25</v>
      </c>
      <c r="C358">
        <v>1153750</v>
      </c>
    </row>
    <row r="359" spans="1:3">
      <c r="A359" t="s">
        <v>365</v>
      </c>
      <c r="B359">
        <v>0.25</v>
      </c>
      <c r="C359">
        <v>67375</v>
      </c>
    </row>
    <row r="360" spans="1:3">
      <c r="A360" t="s">
        <v>65</v>
      </c>
      <c r="B360">
        <v>0.333333333333333</v>
      </c>
      <c r="C360">
        <v>310000</v>
      </c>
    </row>
    <row r="361" spans="1:3">
      <c r="A361" t="s">
        <v>365</v>
      </c>
      <c r="B361">
        <v>0.25</v>
      </c>
      <c r="C361">
        <v>525000</v>
      </c>
    </row>
    <row r="362" spans="1:3">
      <c r="A362" t="s">
        <v>65</v>
      </c>
      <c r="B362">
        <v>0.333333333333333</v>
      </c>
      <c r="C362">
        <v>1550000</v>
      </c>
    </row>
    <row r="363" spans="1:3">
      <c r="A363" t="s">
        <v>36</v>
      </c>
      <c r="B363">
        <v>0.25</v>
      </c>
      <c r="C363">
        <v>13250000</v>
      </c>
    </row>
    <row r="364" spans="1:3">
      <c r="A364" t="s">
        <v>365</v>
      </c>
      <c r="B364">
        <v>0.25</v>
      </c>
      <c r="C364">
        <v>525000</v>
      </c>
    </row>
    <row r="365" spans="1:3">
      <c r="A365" t="s">
        <v>365</v>
      </c>
      <c r="B365">
        <v>0.25</v>
      </c>
      <c r="C365">
        <v>350000</v>
      </c>
    </row>
    <row r="366" spans="1:3">
      <c r="A366" t="s">
        <v>36</v>
      </c>
      <c r="B366">
        <v>0.25</v>
      </c>
      <c r="C366">
        <v>13250000</v>
      </c>
    </row>
    <row r="367" spans="1:3">
      <c r="A367" t="s">
        <v>365</v>
      </c>
      <c r="B367">
        <v>0.25</v>
      </c>
      <c r="C367">
        <v>700000</v>
      </c>
    </row>
    <row r="368" spans="1:3">
      <c r="A368" t="s">
        <v>365</v>
      </c>
      <c r="B368">
        <v>0.25</v>
      </c>
      <c r="C368">
        <v>525000</v>
      </c>
    </row>
    <row r="369" spans="1:3">
      <c r="A369" t="s">
        <v>36</v>
      </c>
      <c r="B369">
        <v>0.420658682634731</v>
      </c>
      <c r="C369">
        <v>35125000</v>
      </c>
    </row>
    <row r="370" spans="1:3">
      <c r="A370" t="s">
        <v>369</v>
      </c>
      <c r="B370">
        <v>0.25</v>
      </c>
      <c r="C370">
        <v>51250</v>
      </c>
    </row>
    <row r="371" spans="1:3">
      <c r="A371" t="s">
        <v>369</v>
      </c>
      <c r="B371">
        <v>0.25</v>
      </c>
      <c r="C371">
        <v>698750</v>
      </c>
    </row>
    <row r="372" spans="1:3">
      <c r="A372" t="s">
        <v>369</v>
      </c>
      <c r="B372">
        <v>0.25</v>
      </c>
      <c r="C372">
        <v>543750</v>
      </c>
    </row>
    <row r="373" spans="1:3">
      <c r="A373" t="s">
        <v>369</v>
      </c>
      <c r="B373">
        <v>0.25</v>
      </c>
      <c r="C373">
        <v>456250</v>
      </c>
    </row>
    <row r="374" spans="1:3">
      <c r="A374" t="s">
        <v>369</v>
      </c>
      <c r="B374">
        <v>0.25</v>
      </c>
      <c r="C374">
        <v>1153750</v>
      </c>
    </row>
    <row r="375" spans="1:3">
      <c r="A375" t="s">
        <v>369</v>
      </c>
      <c r="B375">
        <v>0.25</v>
      </c>
      <c r="C375">
        <v>67375</v>
      </c>
    </row>
    <row r="376" spans="1:3">
      <c r="A376" t="s">
        <v>369</v>
      </c>
      <c r="B376">
        <v>0.25</v>
      </c>
      <c r="C376">
        <v>525000</v>
      </c>
    </row>
    <row r="377" spans="1:3">
      <c r="A377" t="s">
        <v>369</v>
      </c>
      <c r="B377">
        <v>0.25</v>
      </c>
      <c r="C377">
        <v>525000</v>
      </c>
    </row>
    <row r="378" spans="1:3">
      <c r="A378" t="s">
        <v>369</v>
      </c>
      <c r="B378">
        <v>0.25</v>
      </c>
      <c r="C378">
        <v>350000</v>
      </c>
    </row>
    <row r="379" spans="1:3">
      <c r="A379" t="s">
        <v>369</v>
      </c>
      <c r="B379">
        <v>0.25</v>
      </c>
      <c r="C379">
        <v>700000</v>
      </c>
    </row>
    <row r="380" spans="1:3">
      <c r="A380" t="s">
        <v>369</v>
      </c>
      <c r="B380">
        <v>0.25</v>
      </c>
      <c r="C380">
        <v>525000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5"/>
  <sheetViews>
    <sheetView zoomScale="55" zoomScaleNormal="55" workbookViewId="0">
      <pane xSplit="5" ySplit="3" topLeftCell="F17" activePane="bottomRight" state="frozen"/>
      <selection/>
      <selection pane="topRight"/>
      <selection pane="bottomLeft"/>
      <selection pane="bottomRight" activeCell="B4" sqref="B4:B12"/>
    </sheetView>
  </sheetViews>
  <sheetFormatPr defaultColWidth="8.72727272727273" defaultRowHeight="14"/>
  <cols>
    <col min="2" max="2" width="8.54545454545454" customWidth="1"/>
    <col min="3" max="3" width="15.9090909090909" style="2" customWidth="1"/>
    <col min="4" max="4" width="10.2272727272727" style="1" customWidth="1"/>
    <col min="5" max="6" width="22.1545454545455" style="1" customWidth="1"/>
    <col min="7" max="8" width="22.1545454545455" customWidth="1"/>
    <col min="9" max="9" width="15.5454545454545" style="88" customWidth="1"/>
    <col min="10" max="10" width="18.6363636363636" customWidth="1"/>
    <col min="11" max="12" width="15.5454545454545" customWidth="1"/>
    <col min="13" max="13" width="15.5454545454545" style="88" customWidth="1"/>
    <col min="14" max="14" width="18.1090909090909" style="2" customWidth="1"/>
    <col min="15" max="15" width="15.5454545454545" style="89" customWidth="1"/>
    <col min="16" max="16" width="18.6363636363636" style="86" customWidth="1"/>
    <col min="17" max="17" width="17.9636363636364" style="86" customWidth="1"/>
    <col min="18" max="18" width="17.9636363636364" style="89" customWidth="1"/>
    <col min="19" max="19" width="17.9636363636364" style="88" customWidth="1"/>
    <col min="20" max="21" width="18.6363636363636" customWidth="1"/>
    <col min="22" max="24" width="18.6363636363636" style="1" customWidth="1"/>
    <col min="25" max="25" width="18.6363636363636" customWidth="1"/>
    <col min="26" max="27" width="18.6363636363636" style="1" customWidth="1"/>
    <col min="28" max="28" width="15.5454545454545" style="90" customWidth="1"/>
    <col min="29" max="29" width="14"/>
    <col min="30" max="30" width="12.8181818181818"/>
    <col min="33" max="33" width="12.8181818181818"/>
  </cols>
  <sheetData>
    <row r="1" s="1" customFormat="1" ht="44" customHeight="1" spans="1:29">
      <c r="A1" s="91" t="s">
        <v>370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 ht="20" customHeight="1" spans="1:29">
      <c r="A2" s="92" t="s">
        <v>322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 s="2" customFormat="1" ht="35.75" customHeight="1" spans="1:29">
      <c r="A3" s="93" t="s">
        <v>323</v>
      </c>
      <c r="B3" s="93" t="s">
        <v>371</v>
      </c>
      <c r="C3" s="93" t="s">
        <v>325</v>
      </c>
      <c r="D3" s="94" t="s">
        <v>326</v>
      </c>
      <c r="E3" s="93" t="s">
        <v>331</v>
      </c>
      <c r="F3" s="93" t="s">
        <v>372</v>
      </c>
      <c r="G3" s="93" t="s">
        <v>329</v>
      </c>
      <c r="H3" s="93" t="s">
        <v>373</v>
      </c>
      <c r="I3" s="93" t="s">
        <v>330</v>
      </c>
      <c r="J3" s="93" t="s">
        <v>374</v>
      </c>
      <c r="K3" s="94" t="s">
        <v>339</v>
      </c>
      <c r="L3" s="93" t="s">
        <v>375</v>
      </c>
      <c r="M3" s="93" t="s">
        <v>337</v>
      </c>
      <c r="N3" s="93" t="s">
        <v>376</v>
      </c>
      <c r="O3" s="93" t="s">
        <v>338</v>
      </c>
      <c r="P3" s="93" t="s">
        <v>377</v>
      </c>
      <c r="Q3" s="93" t="s">
        <v>378</v>
      </c>
      <c r="R3" s="93" t="s">
        <v>379</v>
      </c>
      <c r="S3" s="93" t="s">
        <v>338</v>
      </c>
      <c r="T3" s="95" t="s">
        <v>380</v>
      </c>
      <c r="U3" s="95" t="s">
        <v>381</v>
      </c>
      <c r="V3" s="95" t="s">
        <v>382</v>
      </c>
      <c r="W3" s="95" t="s">
        <v>383</v>
      </c>
      <c r="X3" s="95" t="s">
        <v>384</v>
      </c>
      <c r="Y3" s="95" t="s">
        <v>385</v>
      </c>
      <c r="Z3" s="95" t="s">
        <v>386</v>
      </c>
      <c r="AA3" s="95" t="s">
        <v>387</v>
      </c>
      <c r="AB3" s="93" t="s">
        <v>346</v>
      </c>
    </row>
    <row r="4" ht="47" customHeight="1" spans="1:29">
      <c r="A4" s="96">
        <v>1</v>
      </c>
      <c r="B4" s="97" t="s">
        <v>351</v>
      </c>
      <c r="C4" s="98" t="s">
        <v>352</v>
      </c>
      <c r="D4" s="99" t="s">
        <v>367</v>
      </c>
      <c r="E4" s="100" t="s">
        <v>218</v>
      </c>
      <c r="F4" s="100" t="s">
        <v>218</v>
      </c>
      <c r="G4" s="101">
        <v>0</v>
      </c>
      <c r="H4" s="100" t="s">
        <v>218</v>
      </c>
      <c r="I4" s="101">
        <v>0</v>
      </c>
      <c r="J4" s="100"/>
      <c r="K4" s="100" t="s">
        <v>218</v>
      </c>
      <c r="L4" s="100" t="s">
        <v>218</v>
      </c>
      <c r="M4" s="11">
        <v>0</v>
      </c>
      <c r="N4" s="102" t="s">
        <v>218</v>
      </c>
      <c r="O4" s="103">
        <v>6592.76443896</v>
      </c>
      <c r="P4" s="100" t="s">
        <v>218</v>
      </c>
      <c r="Q4" s="11">
        <v>0</v>
      </c>
      <c r="R4" s="104">
        <v>0</v>
      </c>
      <c r="S4" s="104">
        <v>6592.76443896</v>
      </c>
      <c r="T4" s="104">
        <v>5392.39474885892</v>
      </c>
      <c r="U4" s="104">
        <f>T4*0.7/12</f>
        <v>314.556360350104</v>
      </c>
      <c r="V4" s="104">
        <v>0</v>
      </c>
      <c r="W4" s="105">
        <f>V4/U4</f>
        <v>0</v>
      </c>
      <c r="X4" s="100">
        <v>3494.06006297</v>
      </c>
      <c r="Y4" s="106">
        <v>0.602817083403967</v>
      </c>
      <c r="Z4" s="104">
        <v>840</v>
      </c>
      <c r="AA4" s="104">
        <f>AB4-X4</f>
        <v>8647.91987375</v>
      </c>
      <c r="AB4" s="101">
        <v>12141.97993672</v>
      </c>
    </row>
    <row r="5" ht="47" customHeight="1" spans="1:29">
      <c r="A5" s="96">
        <v>2</v>
      </c>
      <c r="B5" s="97"/>
      <c r="C5" s="98"/>
      <c r="D5" s="99" t="s">
        <v>65</v>
      </c>
      <c r="E5" s="100" t="s">
        <v>218</v>
      </c>
      <c r="F5" s="100" t="s">
        <v>218</v>
      </c>
      <c r="G5" s="101">
        <v>0</v>
      </c>
      <c r="H5" s="100" t="s">
        <v>218</v>
      </c>
      <c r="I5" s="101">
        <v>623.6</v>
      </c>
      <c r="J5" s="100" t="s">
        <v>218</v>
      </c>
      <c r="K5" s="100" t="s">
        <v>218</v>
      </c>
      <c r="L5" s="100" t="s">
        <v>218</v>
      </c>
      <c r="M5" s="11">
        <v>0</v>
      </c>
      <c r="N5" s="102" t="s">
        <v>218</v>
      </c>
      <c r="O5" s="103">
        <v>719.1150445</v>
      </c>
      <c r="P5" s="100" t="s">
        <v>218</v>
      </c>
      <c r="Q5" s="11">
        <v>93.8053094999999</v>
      </c>
      <c r="R5" s="104">
        <v>719.1150445</v>
      </c>
      <c r="S5" s="104">
        <v>719.1150445</v>
      </c>
      <c r="T5" s="100" t="s">
        <v>218</v>
      </c>
      <c r="U5" s="100" t="s">
        <v>218</v>
      </c>
      <c r="V5" s="100" t="s">
        <v>218</v>
      </c>
      <c r="W5" s="100" t="s">
        <v>218</v>
      </c>
      <c r="X5" s="100" t="s">
        <v>218</v>
      </c>
      <c r="Y5" s="100" t="s">
        <v>218</v>
      </c>
      <c r="Z5" s="104">
        <v>0</v>
      </c>
      <c r="AA5" s="104">
        <v>0</v>
      </c>
      <c r="AB5" s="101">
        <v>469.4</v>
      </c>
    </row>
    <row r="6" ht="47" customHeight="1" spans="1:29">
      <c r="A6" s="96">
        <v>3</v>
      </c>
      <c r="B6" s="97"/>
      <c r="C6" s="98"/>
      <c r="D6" s="99" t="s">
        <v>66</v>
      </c>
      <c r="E6" s="100" t="s">
        <v>218</v>
      </c>
      <c r="F6" s="100" t="s">
        <v>218</v>
      </c>
      <c r="G6" s="101">
        <v>0</v>
      </c>
      <c r="H6" s="100" t="s">
        <v>218</v>
      </c>
      <c r="I6" s="101">
        <v>556.5298776</v>
      </c>
      <c r="J6" s="100" t="s">
        <v>218</v>
      </c>
      <c r="K6" s="100" t="s">
        <v>218</v>
      </c>
      <c r="L6" s="100" t="s">
        <v>218</v>
      </c>
      <c r="M6" s="11">
        <v>0</v>
      </c>
      <c r="N6" s="102" t="s">
        <v>218</v>
      </c>
      <c r="O6" s="103">
        <v>2825.47047384</v>
      </c>
      <c r="P6" s="100" t="s">
        <v>218</v>
      </c>
      <c r="Q6" s="11">
        <v>0</v>
      </c>
      <c r="R6" s="104">
        <v>0</v>
      </c>
      <c r="S6" s="104">
        <v>2825.47047384</v>
      </c>
      <c r="T6" s="104">
        <v>2216.87964739668</v>
      </c>
      <c r="U6" s="104">
        <f t="shared" ref="U6:U19" si="0">T6*0.7/12</f>
        <v>129.317979431473</v>
      </c>
      <c r="V6" s="104">
        <v>0</v>
      </c>
      <c r="W6" s="105">
        <f t="shared" ref="W6:W20" si="1">V6/U6</f>
        <v>0</v>
      </c>
      <c r="X6" s="104">
        <v>1452.64020573</v>
      </c>
      <c r="Y6" s="107">
        <v>0.625436557486651</v>
      </c>
      <c r="Z6" s="104">
        <v>360</v>
      </c>
      <c r="AA6" s="104">
        <f>AB6-X6</f>
        <v>3950.79269775</v>
      </c>
      <c r="AB6" s="101">
        <v>5403.43290348</v>
      </c>
    </row>
    <row r="7" ht="47" customHeight="1" spans="1:29">
      <c r="A7" s="96">
        <v>4</v>
      </c>
      <c r="B7" s="97"/>
      <c r="C7" s="98"/>
      <c r="D7" s="99" t="s">
        <v>363</v>
      </c>
      <c r="E7" s="100">
        <v>22500</v>
      </c>
      <c r="F7" s="100">
        <f>E7/12</f>
        <v>1875</v>
      </c>
      <c r="G7" s="101">
        <f>SUM(G4:G6)</f>
        <v>0</v>
      </c>
      <c r="H7" s="106">
        <f>G7/F7</f>
        <v>0</v>
      </c>
      <c r="I7" s="101">
        <f>SUM(I4:I6)</f>
        <v>1180.1298776</v>
      </c>
      <c r="J7" s="106">
        <f>I7/E7</f>
        <v>0.0524502167822222</v>
      </c>
      <c r="K7" s="100">
        <v>13000</v>
      </c>
      <c r="L7" s="100">
        <f>K7/12</f>
        <v>1083.33333333333</v>
      </c>
      <c r="M7" s="101">
        <f>SUM(M4:M6)</f>
        <v>0</v>
      </c>
      <c r="N7" s="106">
        <f>M7/L7</f>
        <v>0</v>
      </c>
      <c r="O7" s="101">
        <f>SUM(O4:O6)</f>
        <v>10137.3499573</v>
      </c>
      <c r="P7" s="106">
        <f>O7/K7</f>
        <v>0.779796150561539</v>
      </c>
      <c r="Q7" s="101">
        <f>SUM(Q4:Q6)</f>
        <v>93.8053094999999</v>
      </c>
      <c r="R7" s="104">
        <v>458.0530972</v>
      </c>
      <c r="S7" s="101">
        <v>10137.3499573</v>
      </c>
      <c r="T7" s="104">
        <v>7609.2743962556</v>
      </c>
      <c r="U7" s="104">
        <f t="shared" si="0"/>
        <v>443.874339781577</v>
      </c>
      <c r="V7" s="104">
        <f>SUM(V4:V6)</f>
        <v>0</v>
      </c>
      <c r="W7" s="105">
        <f t="shared" si="1"/>
        <v>0</v>
      </c>
      <c r="X7" s="104">
        <v>4946.7002687</v>
      </c>
      <c r="Y7" s="107">
        <f>X7/T7</f>
        <v>0.650088301603921</v>
      </c>
      <c r="Z7" s="104">
        <v>1200</v>
      </c>
      <c r="AA7" s="104">
        <v>1400.933234</v>
      </c>
      <c r="AB7" s="101">
        <v>18014.8128402</v>
      </c>
    </row>
    <row r="8" ht="47" customHeight="1" spans="1:29">
      <c r="A8" s="96">
        <v>5</v>
      </c>
      <c r="B8" s="97"/>
      <c r="C8" s="98" t="s">
        <v>354</v>
      </c>
      <c r="D8" s="99" t="s">
        <v>120</v>
      </c>
      <c r="E8" s="100" t="s">
        <v>218</v>
      </c>
      <c r="F8" s="100" t="s">
        <v>218</v>
      </c>
      <c r="G8" s="101">
        <v>1325</v>
      </c>
      <c r="H8" s="100" t="s">
        <v>218</v>
      </c>
      <c r="I8" s="101">
        <v>7153.259</v>
      </c>
      <c r="J8" s="100" t="s">
        <v>218</v>
      </c>
      <c r="K8" s="100" t="s">
        <v>218</v>
      </c>
      <c r="L8" s="100" t="s">
        <v>218</v>
      </c>
      <c r="M8" s="11">
        <v>0</v>
      </c>
      <c r="N8" s="102" t="s">
        <v>218</v>
      </c>
      <c r="O8" s="103">
        <v>1210.0061945</v>
      </c>
      <c r="P8" s="100" t="s">
        <v>218</v>
      </c>
      <c r="Q8" s="11">
        <v>450.6823006</v>
      </c>
      <c r="R8" s="104">
        <v>1210.0061945</v>
      </c>
      <c r="S8" s="104">
        <v>1210.0061945</v>
      </c>
      <c r="T8" s="104">
        <v>621.368843</v>
      </c>
      <c r="U8" s="104">
        <f t="shared" si="0"/>
        <v>36.2465158416667</v>
      </c>
      <c r="V8" s="104">
        <v>0</v>
      </c>
      <c r="W8" s="105">
        <f t="shared" si="1"/>
        <v>0</v>
      </c>
      <c r="X8" s="104">
        <v>363.139968</v>
      </c>
      <c r="Y8" s="107">
        <v>0.474243282906285</v>
      </c>
      <c r="Z8" s="104">
        <v>0</v>
      </c>
      <c r="AA8" s="104">
        <f>AB8-X8</f>
        <v>6198.043382</v>
      </c>
      <c r="AB8" s="101">
        <v>6561.18335</v>
      </c>
    </row>
    <row r="9" ht="47" customHeight="1" spans="1:29">
      <c r="A9" s="96">
        <v>6</v>
      </c>
      <c r="B9" s="97"/>
      <c r="C9" s="98"/>
      <c r="D9" s="99" t="s">
        <v>36</v>
      </c>
      <c r="E9" s="100" t="s">
        <v>218</v>
      </c>
      <c r="F9" s="100" t="s">
        <v>218</v>
      </c>
      <c r="G9" s="101">
        <v>834.3752</v>
      </c>
      <c r="H9" s="100" t="s">
        <v>218</v>
      </c>
      <c r="I9" s="101">
        <v>3965.9752</v>
      </c>
      <c r="J9" s="100" t="s">
        <v>218</v>
      </c>
      <c r="K9" s="100" t="s">
        <v>218</v>
      </c>
      <c r="L9" s="100" t="s">
        <v>218</v>
      </c>
      <c r="M9" s="11">
        <v>0</v>
      </c>
      <c r="N9" s="102" t="s">
        <v>218</v>
      </c>
      <c r="O9" s="103">
        <v>432.5663719</v>
      </c>
      <c r="P9" s="100" t="s">
        <v>218</v>
      </c>
      <c r="Q9" s="11">
        <v>0</v>
      </c>
      <c r="R9" s="104">
        <v>432.5663719</v>
      </c>
      <c r="S9" s="104">
        <v>432.5663719</v>
      </c>
      <c r="T9" s="104">
        <v>126</v>
      </c>
      <c r="U9" s="104">
        <f t="shared" si="0"/>
        <v>7.35</v>
      </c>
      <c r="V9" s="104">
        <v>0</v>
      </c>
      <c r="W9" s="105">
        <f t="shared" si="1"/>
        <v>0</v>
      </c>
      <c r="X9" s="104">
        <v>0</v>
      </c>
      <c r="Y9" s="107">
        <v>0</v>
      </c>
      <c r="Z9" s="104">
        <v>51.5625600000003</v>
      </c>
      <c r="AA9" s="104">
        <f>AB9-X9</f>
        <v>3739.17808</v>
      </c>
      <c r="AB9" s="101">
        <v>3739.17808</v>
      </c>
    </row>
    <row r="10" ht="47" customHeight="1" spans="1:29">
      <c r="A10" s="96">
        <v>7</v>
      </c>
      <c r="B10" s="97"/>
      <c r="C10" s="98"/>
      <c r="D10" s="99" t="s">
        <v>60</v>
      </c>
      <c r="E10" s="100" t="s">
        <v>218</v>
      </c>
      <c r="F10" s="100" t="s">
        <v>218</v>
      </c>
      <c r="G10" s="101">
        <v>920.3128</v>
      </c>
      <c r="H10" s="100" t="s">
        <v>218</v>
      </c>
      <c r="I10" s="101">
        <v>5140.3128</v>
      </c>
      <c r="J10" s="100" t="s">
        <v>218</v>
      </c>
      <c r="K10" s="100" t="s">
        <v>218</v>
      </c>
      <c r="L10" s="100" t="s">
        <v>218</v>
      </c>
      <c r="M10" s="11">
        <v>0</v>
      </c>
      <c r="N10" s="102" t="s">
        <v>218</v>
      </c>
      <c r="O10" s="103">
        <v>1438.82822517699</v>
      </c>
      <c r="P10" s="100" t="s">
        <v>218</v>
      </c>
      <c r="Q10" s="11">
        <v>0</v>
      </c>
      <c r="R10" s="104">
        <v>107.079646</v>
      </c>
      <c r="S10" s="104">
        <v>1438.82822517699</v>
      </c>
      <c r="T10" s="104">
        <v>85.648864</v>
      </c>
      <c r="U10" s="104">
        <f t="shared" si="0"/>
        <v>4.99618373333333</v>
      </c>
      <c r="V10" s="104">
        <v>0</v>
      </c>
      <c r="W10" s="105">
        <f t="shared" si="1"/>
        <v>0</v>
      </c>
      <c r="X10" s="104">
        <v>85.648864</v>
      </c>
      <c r="Y10" s="107">
        <v>1</v>
      </c>
      <c r="Z10" s="104">
        <v>46.34384</v>
      </c>
      <c r="AA10" s="104">
        <f>AB10-X10</f>
        <v>3776.634976</v>
      </c>
      <c r="AB10" s="101">
        <v>3862.28384</v>
      </c>
    </row>
    <row r="11" s="86" customFormat="1" ht="47" customHeight="1" spans="1:29">
      <c r="A11" s="96">
        <v>9</v>
      </c>
      <c r="B11" s="97"/>
      <c r="C11" s="98"/>
      <c r="D11" s="99" t="s">
        <v>363</v>
      </c>
      <c r="E11" s="100">
        <v>22500</v>
      </c>
      <c r="F11" s="100">
        <f t="shared" ref="F11:F17" si="2">E11/12</f>
        <v>1875</v>
      </c>
      <c r="G11" s="108">
        <f>SUM(G8:G10)</f>
        <v>3079.688</v>
      </c>
      <c r="H11" s="106">
        <f>G11/F11</f>
        <v>1.64250026666667</v>
      </c>
      <c r="I11" s="108">
        <f>SUM(I8:I10)</f>
        <v>16259.547</v>
      </c>
      <c r="J11" s="106">
        <f>I11/E11</f>
        <v>0.722646533333333</v>
      </c>
      <c r="K11" s="100">
        <v>5000</v>
      </c>
      <c r="L11" s="100">
        <f t="shared" ref="L11:L17" si="3">K11/12</f>
        <v>416.666666666667</v>
      </c>
      <c r="M11" s="108">
        <f>SUM(M8:M10)</f>
        <v>0</v>
      </c>
      <c r="N11" s="106">
        <f>M11/L11</f>
        <v>0</v>
      </c>
      <c r="O11" s="101">
        <f>SUM(O8:O10)</f>
        <v>3081.40079157699</v>
      </c>
      <c r="P11" s="106">
        <f>O11/K11</f>
        <v>0.616280158315398</v>
      </c>
      <c r="Q11" s="108">
        <f>SUM(Q8:Q10)</f>
        <v>450.6823006</v>
      </c>
      <c r="R11" s="101">
        <f>SUM(R8:R10)</f>
        <v>1749.6522124</v>
      </c>
      <c r="S11" s="101">
        <v>3081.40079157699</v>
      </c>
      <c r="T11" s="104">
        <v>833.017707</v>
      </c>
      <c r="U11" s="104">
        <f t="shared" si="0"/>
        <v>48.592699575</v>
      </c>
      <c r="V11" s="104">
        <v>0</v>
      </c>
      <c r="W11" s="105">
        <f t="shared" si="1"/>
        <v>0</v>
      </c>
      <c r="X11" s="104">
        <v>448.788832</v>
      </c>
      <c r="Y11" s="107">
        <f>X11/T11</f>
        <v>0.538750651071094</v>
      </c>
      <c r="Z11" s="104">
        <v>97.9064000000003</v>
      </c>
      <c r="AA11" s="104">
        <v>534.291136</v>
      </c>
      <c r="AB11" s="101">
        <v>14162.64527</v>
      </c>
      <c r="AC11"/>
    </row>
    <row r="12" ht="47" customHeight="1" spans="1:29">
      <c r="A12" s="96">
        <v>10</v>
      </c>
      <c r="B12" s="97"/>
      <c r="C12" s="109" t="s">
        <v>353</v>
      </c>
      <c r="D12" s="109"/>
      <c r="E12" s="100">
        <f>SUM(E7,E11)</f>
        <v>45000</v>
      </c>
      <c r="F12" s="100">
        <f t="shared" si="2"/>
        <v>3750</v>
      </c>
      <c r="G12" s="110">
        <f>SUM(G7,G11)</f>
        <v>3079.688</v>
      </c>
      <c r="H12" s="106">
        <f>G12/F12</f>
        <v>0.821250133333333</v>
      </c>
      <c r="I12" s="110">
        <f>SUM(I7,I11)</f>
        <v>17439.6768776</v>
      </c>
      <c r="J12" s="106">
        <f>I12/E12</f>
        <v>0.387548375057778</v>
      </c>
      <c r="K12" s="100">
        <v>18000</v>
      </c>
      <c r="L12" s="100">
        <f t="shared" si="3"/>
        <v>1500</v>
      </c>
      <c r="M12" s="110">
        <f>SUM(M7,M11)</f>
        <v>0</v>
      </c>
      <c r="N12" s="106">
        <f>M12/L12</f>
        <v>0</v>
      </c>
      <c r="O12" s="111">
        <f>SUM(O7,O11)</f>
        <v>13218.750748877</v>
      </c>
      <c r="P12" s="106">
        <f>O12/K12</f>
        <v>0.734375041604277</v>
      </c>
      <c r="Q12" s="110">
        <f>SUM(Q7,Q11)</f>
        <v>544.4876101</v>
      </c>
      <c r="R12" s="111">
        <f>SUM(R7,R11)</f>
        <v>2207.7053096</v>
      </c>
      <c r="S12" s="109">
        <v>13218.750748877</v>
      </c>
      <c r="T12" s="109">
        <v>8442.2921032556</v>
      </c>
      <c r="U12" s="104">
        <f t="shared" si="0"/>
        <v>492.467039356577</v>
      </c>
      <c r="V12" s="109">
        <f>SUM(V7,V11)</f>
        <v>0</v>
      </c>
      <c r="W12" s="105">
        <f t="shared" si="1"/>
        <v>0</v>
      </c>
      <c r="X12" s="109">
        <v>5395.4891007</v>
      </c>
      <c r="Y12" s="107">
        <f>X12/T12</f>
        <v>0.639102394789128</v>
      </c>
      <c r="Z12" s="112">
        <v>1297.9064</v>
      </c>
      <c r="AA12" s="104">
        <f>AB12-X12</f>
        <v>26781.9690095</v>
      </c>
      <c r="AB12" s="111">
        <v>32177.4581102</v>
      </c>
    </row>
    <row r="13" ht="47" customHeight="1" spans="1:29">
      <c r="A13" s="96">
        <v>11</v>
      </c>
      <c r="B13" s="97" t="s">
        <v>355</v>
      </c>
      <c r="C13" s="98" t="s">
        <v>388</v>
      </c>
      <c r="D13" s="99" t="s">
        <v>42</v>
      </c>
      <c r="E13" s="100">
        <v>18500</v>
      </c>
      <c r="F13" s="100">
        <f t="shared" si="2"/>
        <v>1541.66666666667</v>
      </c>
      <c r="G13" s="104">
        <v>0</v>
      </c>
      <c r="H13" s="100" t="s">
        <v>218</v>
      </c>
      <c r="I13" s="108">
        <v>17207.9894268</v>
      </c>
      <c r="J13" s="100" t="s">
        <v>218</v>
      </c>
      <c r="K13" s="100">
        <v>18400</v>
      </c>
      <c r="L13" s="100">
        <f t="shared" si="3"/>
        <v>1533.33333333333</v>
      </c>
      <c r="M13" s="100">
        <v>0</v>
      </c>
      <c r="N13" s="102" t="s">
        <v>218</v>
      </c>
      <c r="O13" s="103">
        <v>16133.39315958</v>
      </c>
      <c r="P13" s="106">
        <v>0.785233662071196</v>
      </c>
      <c r="Q13" s="100">
        <v>0</v>
      </c>
      <c r="R13" s="104">
        <v>146.61504501</v>
      </c>
      <c r="S13" s="104">
        <v>16133.39315958</v>
      </c>
      <c r="T13" s="104">
        <v>897.33097163</v>
      </c>
      <c r="U13" s="104">
        <f t="shared" si="0"/>
        <v>52.3443066784167</v>
      </c>
      <c r="V13" s="104">
        <v>0</v>
      </c>
      <c r="W13" s="105">
        <f t="shared" si="1"/>
        <v>0</v>
      </c>
      <c r="X13" s="104">
        <v>117.99594365</v>
      </c>
      <c r="Y13" s="107">
        <v>0.400431157076076</v>
      </c>
      <c r="Z13" s="104">
        <v>15.3089999999993</v>
      </c>
      <c r="AA13" s="104">
        <f>AB13-X13</f>
        <v>8645.53982535</v>
      </c>
      <c r="AB13" s="100">
        <v>8763.535769</v>
      </c>
    </row>
    <row r="14" s="86" customFormat="1" ht="47" customHeight="1" spans="1:29">
      <c r="A14" s="96">
        <v>12</v>
      </c>
      <c r="B14" s="97"/>
      <c r="C14" s="98"/>
      <c r="D14" s="99" t="s">
        <v>363</v>
      </c>
      <c r="E14" s="100">
        <v>18500</v>
      </c>
      <c r="F14" s="100">
        <f t="shared" si="2"/>
        <v>1541.66666666667</v>
      </c>
      <c r="G14" s="104">
        <v>0</v>
      </c>
      <c r="H14" s="106">
        <f>G14/F14</f>
        <v>0</v>
      </c>
      <c r="I14" s="104">
        <f>SUM(I13)</f>
        <v>17207.9894268</v>
      </c>
      <c r="J14" s="106">
        <f>I14/E14</f>
        <v>0.930161590637838</v>
      </c>
      <c r="K14" s="100">
        <v>18400</v>
      </c>
      <c r="L14" s="100">
        <f t="shared" si="3"/>
        <v>1533.33333333333</v>
      </c>
      <c r="M14" s="104">
        <f>SUM(M13)</f>
        <v>0</v>
      </c>
      <c r="N14" s="106">
        <f>M14/L14</f>
        <v>0</v>
      </c>
      <c r="O14" s="100">
        <v>16133.39315958</v>
      </c>
      <c r="P14" s="106">
        <f>O14/K14</f>
        <v>0.876814845629348</v>
      </c>
      <c r="Q14" s="104">
        <f>SUM(Q13)</f>
        <v>0</v>
      </c>
      <c r="R14" s="104">
        <v>146.61504501</v>
      </c>
      <c r="S14" s="104">
        <v>16133.39315958</v>
      </c>
      <c r="T14" s="104">
        <v>897.33097163</v>
      </c>
      <c r="U14" s="104">
        <f t="shared" si="0"/>
        <v>52.3443066784167</v>
      </c>
      <c r="V14" s="104">
        <v>0</v>
      </c>
      <c r="W14" s="105">
        <f t="shared" si="1"/>
        <v>0</v>
      </c>
      <c r="X14" s="104">
        <v>117.99594365</v>
      </c>
      <c r="Y14" s="107">
        <f>X14/T14</f>
        <v>0.131496568580109</v>
      </c>
      <c r="Z14" s="104">
        <v>15.3089999999993</v>
      </c>
      <c r="AA14" s="104">
        <v>0</v>
      </c>
      <c r="AB14" s="104">
        <v>8763.535769</v>
      </c>
      <c r="AC14"/>
    </row>
    <row r="15" s="86" customFormat="1" ht="47" customHeight="1" spans="1:29">
      <c r="A15" s="96">
        <v>13</v>
      </c>
      <c r="B15" s="97"/>
      <c r="C15" s="98" t="s">
        <v>389</v>
      </c>
      <c r="D15" s="99" t="s">
        <v>41</v>
      </c>
      <c r="E15" s="100">
        <v>12500</v>
      </c>
      <c r="F15" s="100">
        <f t="shared" si="2"/>
        <v>1041.66666666667</v>
      </c>
      <c r="G15" s="104">
        <v>353.934000000001</v>
      </c>
      <c r="H15" s="100" t="s">
        <v>218</v>
      </c>
      <c r="I15" s="108">
        <v>11742.3481042</v>
      </c>
      <c r="J15" s="100" t="s">
        <v>218</v>
      </c>
      <c r="K15" s="100">
        <v>3100</v>
      </c>
      <c r="L15" s="100">
        <f t="shared" si="3"/>
        <v>258.333333333333</v>
      </c>
      <c r="M15" s="100">
        <v>263.716814</v>
      </c>
      <c r="N15" s="102" t="s">
        <v>218</v>
      </c>
      <c r="O15" s="103">
        <v>2562.77751812</v>
      </c>
      <c r="P15" s="100">
        <v>0.479022562770968</v>
      </c>
      <c r="Q15" s="100">
        <v>0</v>
      </c>
      <c r="R15" s="104">
        <v>195.96902676</v>
      </c>
      <c r="S15" s="104">
        <v>2562.77751812</v>
      </c>
      <c r="T15" s="104">
        <v>249.03153102</v>
      </c>
      <c r="U15" s="104">
        <f t="shared" si="0"/>
        <v>14.5268393095</v>
      </c>
      <c r="V15" s="104">
        <v>0</v>
      </c>
      <c r="W15" s="105">
        <f t="shared" si="1"/>
        <v>0</v>
      </c>
      <c r="X15" s="104">
        <v>38.5559934</v>
      </c>
      <c r="Y15" s="107">
        <v>0.349459844074969</v>
      </c>
      <c r="Z15" s="104">
        <v>35.7210000000005</v>
      </c>
      <c r="AA15" s="104">
        <f>AB15-X15</f>
        <v>6619.8189076</v>
      </c>
      <c r="AB15" s="100">
        <v>6658.374901</v>
      </c>
      <c r="AC15"/>
    </row>
    <row r="16" s="86" customFormat="1" ht="47" customHeight="1" spans="1:29">
      <c r="A16" s="96">
        <v>14</v>
      </c>
      <c r="B16" s="97"/>
      <c r="C16" s="98"/>
      <c r="D16" s="99" t="s">
        <v>363</v>
      </c>
      <c r="E16" s="100">
        <v>12500</v>
      </c>
      <c r="F16" s="100">
        <f t="shared" si="2"/>
        <v>1041.66666666667</v>
      </c>
      <c r="G16" s="104">
        <f>SUM(G15)</f>
        <v>353.934000000001</v>
      </c>
      <c r="H16" s="106">
        <f>G16/F16</f>
        <v>0.339776640000001</v>
      </c>
      <c r="I16" s="104">
        <f>SUM(I15)</f>
        <v>11742.3481042</v>
      </c>
      <c r="J16" s="106">
        <f>I16/E16</f>
        <v>0.939387848336</v>
      </c>
      <c r="K16" s="100">
        <v>3100</v>
      </c>
      <c r="L16" s="100">
        <f t="shared" si="3"/>
        <v>258.333333333333</v>
      </c>
      <c r="M16" s="104">
        <f>SUM(M15)</f>
        <v>263.716814</v>
      </c>
      <c r="N16" s="106">
        <f>M16/L16</f>
        <v>1.02083928</v>
      </c>
      <c r="O16" s="100">
        <v>2562.77751812</v>
      </c>
      <c r="P16" s="106">
        <f>O16/K16</f>
        <v>0.8267024252</v>
      </c>
      <c r="Q16" s="104">
        <f>SUM(Q15)</f>
        <v>0</v>
      </c>
      <c r="R16" s="104">
        <v>195.96902676</v>
      </c>
      <c r="S16" s="104">
        <v>2562.77751812</v>
      </c>
      <c r="T16" s="104">
        <v>249.03153102</v>
      </c>
      <c r="U16" s="104">
        <f t="shared" si="0"/>
        <v>14.5268393095</v>
      </c>
      <c r="V16" s="104">
        <v>0</v>
      </c>
      <c r="W16" s="105">
        <f t="shared" si="1"/>
        <v>0</v>
      </c>
      <c r="X16" s="104">
        <v>38.5559934</v>
      </c>
      <c r="Y16" s="107">
        <f>X16/T16</f>
        <v>0.15482374156429</v>
      </c>
      <c r="Z16" s="104">
        <v>35.7210000000005</v>
      </c>
      <c r="AA16" s="104">
        <v>0</v>
      </c>
      <c r="AB16" s="104">
        <v>6658.374901</v>
      </c>
      <c r="AC16"/>
    </row>
    <row r="17" ht="47" customHeight="1" spans="1:29">
      <c r="A17" s="96">
        <v>15</v>
      </c>
      <c r="B17" s="97"/>
      <c r="C17" s="109" t="s">
        <v>353</v>
      </c>
      <c r="D17" s="109"/>
      <c r="E17" s="100">
        <f>SUM(E14,E16)</f>
        <v>31000</v>
      </c>
      <c r="F17" s="100">
        <f t="shared" si="2"/>
        <v>2583.33333333333</v>
      </c>
      <c r="G17" s="109">
        <f>SUM(G14,G16)</f>
        <v>353.934000000001</v>
      </c>
      <c r="H17" s="106">
        <f>G17/F17</f>
        <v>0.13700670967742</v>
      </c>
      <c r="I17" s="109">
        <f>SUM(I14,I16)</f>
        <v>28950.337531</v>
      </c>
      <c r="J17" s="106">
        <f>I17/E17</f>
        <v>0.93388185583871</v>
      </c>
      <c r="K17" s="109">
        <f>SUM(K14,K16)</f>
        <v>21500</v>
      </c>
      <c r="L17" s="100">
        <f t="shared" si="3"/>
        <v>1791.66666666667</v>
      </c>
      <c r="M17" s="109">
        <f>SUM(M14,M16)</f>
        <v>263.716814</v>
      </c>
      <c r="N17" s="106">
        <f>M17/L17</f>
        <v>0.147190779906977</v>
      </c>
      <c r="O17" s="109">
        <f>SUM(O14,O16)</f>
        <v>18696.1706777</v>
      </c>
      <c r="P17" s="106">
        <f>O17/K17</f>
        <v>0.869589333846512</v>
      </c>
      <c r="Q17" s="109">
        <f>SUM(Q14,Q16)</f>
        <v>0</v>
      </c>
      <c r="R17" s="109">
        <f>SUM(R14,R16)</f>
        <v>342.58407177</v>
      </c>
      <c r="S17" s="109">
        <v>18696.1706777</v>
      </c>
      <c r="T17" s="104">
        <v>1146.36250265</v>
      </c>
      <c r="U17" s="104">
        <f t="shared" si="0"/>
        <v>66.8711459879166</v>
      </c>
      <c r="V17" s="104">
        <f>SUM(V14,V16)</f>
        <v>0</v>
      </c>
      <c r="W17" s="105">
        <f t="shared" si="1"/>
        <v>0</v>
      </c>
      <c r="X17" s="104">
        <v>156.55193705</v>
      </c>
      <c r="Y17" s="107">
        <f>X17/T17</f>
        <v>0.136564076972254</v>
      </c>
      <c r="Z17" s="104">
        <v>51.0300000000007</v>
      </c>
      <c r="AA17" s="104">
        <f>AB17-X17</f>
        <v>15265.35873295</v>
      </c>
      <c r="AB17" s="104">
        <f>SUM(AB14,AB16)</f>
        <v>15421.91067</v>
      </c>
    </row>
    <row r="18" ht="47" customHeight="1" spans="1:29">
      <c r="A18" s="96">
        <v>17</v>
      </c>
      <c r="B18" s="97"/>
      <c r="C18" s="98" t="s">
        <v>390</v>
      </c>
      <c r="D18" s="99" t="s">
        <v>369</v>
      </c>
      <c r="E18" s="100" t="s">
        <v>218</v>
      </c>
      <c r="F18" s="100" t="s">
        <v>218</v>
      </c>
      <c r="G18" s="104">
        <v>0</v>
      </c>
      <c r="H18" s="100" t="s">
        <v>218</v>
      </c>
      <c r="I18" s="108">
        <v>1600.213271</v>
      </c>
      <c r="J18" s="100" t="s">
        <v>218</v>
      </c>
      <c r="K18" s="100" t="s">
        <v>218</v>
      </c>
      <c r="L18" s="100" t="s">
        <v>218</v>
      </c>
      <c r="M18" s="100">
        <v>0</v>
      </c>
      <c r="N18" s="102">
        <v>14.4509728</v>
      </c>
      <c r="O18" s="103">
        <v>1585.79281726566</v>
      </c>
      <c r="P18" s="100" t="s">
        <v>218</v>
      </c>
      <c r="Q18" s="100">
        <v>20.141531</v>
      </c>
      <c r="R18" s="104">
        <v>1585.79281726566</v>
      </c>
      <c r="S18" s="104">
        <v>1585.79281726566</v>
      </c>
      <c r="T18" s="104">
        <v>657.1817948</v>
      </c>
      <c r="U18" s="104">
        <f t="shared" si="0"/>
        <v>38.3356046966667</v>
      </c>
      <c r="V18" s="104">
        <v>0</v>
      </c>
      <c r="W18" s="105">
        <f t="shared" si="1"/>
        <v>0</v>
      </c>
      <c r="X18" s="104">
        <v>546.8442948</v>
      </c>
      <c r="Y18" s="107">
        <v>0.592445344470458</v>
      </c>
      <c r="Z18" s="104">
        <v>73.5000000000002</v>
      </c>
      <c r="AA18" s="104">
        <f>AB18-X18</f>
        <v>1504.3496052</v>
      </c>
      <c r="AB18" s="101">
        <v>2051.1939</v>
      </c>
    </row>
    <row r="19" ht="47" customHeight="1" spans="1:29">
      <c r="A19" s="96">
        <v>18</v>
      </c>
      <c r="B19" s="97"/>
      <c r="C19" s="98"/>
      <c r="D19" s="99" t="s">
        <v>365</v>
      </c>
      <c r="E19" s="100" t="s">
        <v>218</v>
      </c>
      <c r="F19" s="100" t="s">
        <v>218</v>
      </c>
      <c r="G19" s="104">
        <v>0</v>
      </c>
      <c r="H19" s="100" t="s">
        <v>218</v>
      </c>
      <c r="I19" s="108">
        <v>854.6088</v>
      </c>
      <c r="J19" s="100" t="s">
        <v>218</v>
      </c>
      <c r="K19" s="100" t="s">
        <v>218</v>
      </c>
      <c r="L19" s="100" t="s">
        <v>218</v>
      </c>
      <c r="M19" s="100">
        <v>0</v>
      </c>
      <c r="N19" s="102" t="s">
        <v>218</v>
      </c>
      <c r="O19" s="103">
        <v>611.938367255442</v>
      </c>
      <c r="P19" s="100" t="s">
        <v>218</v>
      </c>
      <c r="Q19" s="100">
        <v>0</v>
      </c>
      <c r="R19" s="102">
        <v>355.936991150442</v>
      </c>
      <c r="S19" s="104">
        <v>611.938367255442</v>
      </c>
      <c r="T19" s="104">
        <v>799.286</v>
      </c>
      <c r="U19" s="104">
        <f t="shared" si="0"/>
        <v>46.6250166666667</v>
      </c>
      <c r="V19" s="104">
        <v>0</v>
      </c>
      <c r="W19" s="105">
        <f t="shared" si="1"/>
        <v>0</v>
      </c>
      <c r="X19" s="104">
        <v>668.9325</v>
      </c>
      <c r="Y19" s="107">
        <v>0.562227028060044</v>
      </c>
      <c r="Z19" s="104">
        <v>0</v>
      </c>
      <c r="AA19" s="104">
        <f>AB19-X19</f>
        <v>343.21174765</v>
      </c>
      <c r="AB19" s="101">
        <v>1012.14424765</v>
      </c>
    </row>
    <row r="20" customFormat="1" ht="47" customHeight="1" spans="1:29">
      <c r="A20" s="96">
        <v>19</v>
      </c>
      <c r="B20" s="97"/>
      <c r="C20" s="98"/>
      <c r="D20" s="99" t="s">
        <v>363</v>
      </c>
      <c r="E20" s="100">
        <v>5500</v>
      </c>
      <c r="F20" s="100">
        <f>E20/12</f>
        <v>458.333333333333</v>
      </c>
      <c r="G20" s="104">
        <v>0</v>
      </c>
      <c r="H20" s="106">
        <f>G20/F20</f>
        <v>0</v>
      </c>
      <c r="I20" s="108">
        <f>SUM(I18:I19)</f>
        <v>2454.822071</v>
      </c>
      <c r="J20" s="106">
        <f>I20/E20</f>
        <v>0.446331285636364</v>
      </c>
      <c r="K20" s="100">
        <v>4500</v>
      </c>
      <c r="L20" s="100">
        <f>K20/12</f>
        <v>375</v>
      </c>
      <c r="M20" s="108">
        <f>SUM(M18:M19)</f>
        <v>0</v>
      </c>
      <c r="N20" s="106">
        <f>M20/L20</f>
        <v>0</v>
      </c>
      <c r="O20" s="101">
        <f>SUM(O18:O19)</f>
        <v>2197.7311845211</v>
      </c>
      <c r="P20" s="106">
        <f>O20/K20</f>
        <v>0.488384707671356</v>
      </c>
      <c r="Q20" s="108">
        <f>SUM(Q18:Q19)</f>
        <v>20.141531</v>
      </c>
      <c r="R20" s="101">
        <f>SUM(R18:R19)</f>
        <v>1941.7298084161</v>
      </c>
      <c r="S20" s="101">
        <v>2197.7311845211</v>
      </c>
      <c r="T20" s="104">
        <v>1456.4677948</v>
      </c>
      <c r="U20" s="104">
        <f>SUM(U18:U19)</f>
        <v>84.9606213633333</v>
      </c>
      <c r="V20" s="104">
        <f>SUM(V18:V19)</f>
        <v>0</v>
      </c>
      <c r="W20" s="105">
        <f t="shared" si="1"/>
        <v>0</v>
      </c>
      <c r="X20" s="104">
        <v>1215.7767948</v>
      </c>
      <c r="Y20" s="107">
        <f>X20/T20</f>
        <v>0.834743342173899</v>
      </c>
      <c r="Z20" s="104">
        <v>73.5</v>
      </c>
      <c r="AA20" s="104">
        <f>SUM(AA18:AA19)</f>
        <v>1847.56135285</v>
      </c>
      <c r="AB20" s="101">
        <v>3063.33814765</v>
      </c>
    </row>
    <row r="21" s="86" customFormat="1" ht="47" customHeight="1" spans="1:29">
      <c r="A21" s="96">
        <v>20</v>
      </c>
      <c r="B21" s="97"/>
      <c r="C21" s="98" t="s">
        <v>391</v>
      </c>
      <c r="D21" s="99" t="s">
        <v>368</v>
      </c>
      <c r="E21" s="100" t="s">
        <v>218</v>
      </c>
      <c r="F21" s="100" t="s">
        <v>218</v>
      </c>
      <c r="G21" s="104">
        <v>0</v>
      </c>
      <c r="H21" s="100" t="s">
        <v>218</v>
      </c>
      <c r="I21" s="108">
        <v>276.004</v>
      </c>
      <c r="J21" s="100" t="s">
        <v>218</v>
      </c>
      <c r="K21" s="100" t="s">
        <v>218</v>
      </c>
      <c r="L21" s="100" t="s">
        <v>218</v>
      </c>
      <c r="M21" s="100">
        <v>0</v>
      </c>
      <c r="N21" s="102" t="s">
        <v>218</v>
      </c>
      <c r="O21" s="103">
        <v>1719.010747395</v>
      </c>
      <c r="P21" s="100" t="s">
        <v>218</v>
      </c>
      <c r="Q21" s="100">
        <v>110.619469</v>
      </c>
      <c r="R21" s="104">
        <f>157.7168138+Q21</f>
        <v>268.3362828</v>
      </c>
      <c r="S21" s="104">
        <v>1719.010747395</v>
      </c>
      <c r="T21" s="104" t="s">
        <v>218</v>
      </c>
      <c r="U21" s="104" t="s">
        <v>218</v>
      </c>
      <c r="V21" s="104" t="s">
        <v>218</v>
      </c>
      <c r="W21" s="104" t="s">
        <v>218</v>
      </c>
      <c r="X21" s="104" t="s">
        <v>218</v>
      </c>
      <c r="Y21" s="104" t="s">
        <v>218</v>
      </c>
      <c r="Z21" s="104">
        <v>0</v>
      </c>
      <c r="AA21" s="104">
        <v>0</v>
      </c>
      <c r="AB21" s="101">
        <v>903.22111</v>
      </c>
      <c r="AC21"/>
    </row>
    <row r="22" ht="47" customHeight="1" spans="1:29">
      <c r="A22" s="96">
        <v>21</v>
      </c>
      <c r="B22" s="97"/>
      <c r="C22" s="98"/>
      <c r="D22" s="99" t="s">
        <v>54</v>
      </c>
      <c r="E22" s="100" t="s">
        <v>218</v>
      </c>
      <c r="F22" s="100" t="s">
        <v>218</v>
      </c>
      <c r="G22" s="104">
        <v>0</v>
      </c>
      <c r="H22" s="100" t="s">
        <v>218</v>
      </c>
      <c r="I22" s="108">
        <v>1055.6</v>
      </c>
      <c r="J22" s="100" t="s">
        <v>218</v>
      </c>
      <c r="K22" s="100" t="s">
        <v>218</v>
      </c>
      <c r="L22" s="100" t="s">
        <v>218</v>
      </c>
      <c r="M22" s="100">
        <v>0</v>
      </c>
      <c r="N22" s="102" t="s">
        <v>218</v>
      </c>
      <c r="O22" s="103">
        <v>478.0177802</v>
      </c>
      <c r="P22" s="100" t="s">
        <v>218</v>
      </c>
      <c r="Q22" s="100">
        <v>0</v>
      </c>
      <c r="R22" s="104">
        <v>0</v>
      </c>
      <c r="S22" s="104">
        <v>478.0177802</v>
      </c>
      <c r="T22" s="104">
        <v>745.923296</v>
      </c>
      <c r="U22" s="104">
        <f>T22*0.7/12</f>
        <v>43.5121922666667</v>
      </c>
      <c r="V22" s="104">
        <v>0</v>
      </c>
      <c r="W22" s="105">
        <f>V22/U22</f>
        <v>0</v>
      </c>
      <c r="X22" s="12">
        <v>635.585796</v>
      </c>
      <c r="Y22" s="107">
        <v>0.640931579109711</v>
      </c>
      <c r="Z22" s="104">
        <v>0</v>
      </c>
      <c r="AA22" s="104">
        <f>AB22-X22</f>
        <v>199.321264</v>
      </c>
      <c r="AB22" s="101">
        <v>834.90706</v>
      </c>
    </row>
    <row r="23" ht="47" customHeight="1" spans="1:29">
      <c r="A23" s="96">
        <v>22</v>
      </c>
      <c r="B23" s="97"/>
      <c r="C23" s="98"/>
      <c r="D23" s="99" t="s">
        <v>392</v>
      </c>
      <c r="E23" s="100" t="s">
        <v>218</v>
      </c>
      <c r="F23" s="100" t="s">
        <v>218</v>
      </c>
      <c r="G23" s="104">
        <v>0</v>
      </c>
      <c r="H23" s="100" t="s">
        <v>218</v>
      </c>
      <c r="I23" s="108">
        <v>27.216</v>
      </c>
      <c r="J23" s="100" t="s">
        <v>218</v>
      </c>
      <c r="K23" s="100" t="s">
        <v>218</v>
      </c>
      <c r="L23" s="100" t="s">
        <v>218</v>
      </c>
      <c r="M23" s="100">
        <v>0</v>
      </c>
      <c r="N23" s="102" t="s">
        <v>218</v>
      </c>
      <c r="O23" s="103">
        <v>0</v>
      </c>
      <c r="P23" s="100" t="s">
        <v>218</v>
      </c>
      <c r="Q23" s="100">
        <v>0</v>
      </c>
      <c r="R23" s="104">
        <v>0</v>
      </c>
      <c r="S23" s="104">
        <v>0</v>
      </c>
      <c r="T23" s="104" t="s">
        <v>218</v>
      </c>
      <c r="U23" s="104" t="s">
        <v>218</v>
      </c>
      <c r="V23" s="104" t="s">
        <v>218</v>
      </c>
      <c r="W23" s="104" t="s">
        <v>218</v>
      </c>
      <c r="X23" s="104" t="s">
        <v>218</v>
      </c>
      <c r="Y23" s="104" t="s">
        <v>218</v>
      </c>
      <c r="Z23" s="104">
        <v>0</v>
      </c>
      <c r="AA23" s="104" t="s">
        <v>218</v>
      </c>
      <c r="AB23" s="101">
        <v>0</v>
      </c>
    </row>
    <row r="24" ht="47" customHeight="1" spans="1:29">
      <c r="A24" s="96">
        <v>23</v>
      </c>
      <c r="B24" s="97"/>
      <c r="C24" s="98"/>
      <c r="D24" s="99" t="s">
        <v>363</v>
      </c>
      <c r="E24" s="100">
        <v>7500</v>
      </c>
      <c r="F24" s="100">
        <f>E24/12</f>
        <v>625</v>
      </c>
      <c r="G24" s="104">
        <v>0</v>
      </c>
      <c r="H24" s="106">
        <f>G24/F24</f>
        <v>0</v>
      </c>
      <c r="I24" s="108">
        <f>SUM(I21:I23)</f>
        <v>1358.82</v>
      </c>
      <c r="J24" s="106">
        <f>I24/E24</f>
        <v>0.181176</v>
      </c>
      <c r="K24" s="100">
        <v>5000</v>
      </c>
      <c r="L24" s="100">
        <f>K24/12</f>
        <v>416.666666666667</v>
      </c>
      <c r="M24" s="108">
        <f>SUM(M21:M23)</f>
        <v>0</v>
      </c>
      <c r="N24" s="106">
        <f>M24/L24</f>
        <v>0</v>
      </c>
      <c r="O24" s="108">
        <f>SUM(O21:O23)</f>
        <v>2197.028527595</v>
      </c>
      <c r="P24" s="106">
        <f>O24/K24</f>
        <v>0.439405705519</v>
      </c>
      <c r="Q24" s="108">
        <f>SUM(Q21:Q23)</f>
        <v>110.619469</v>
      </c>
      <c r="R24" s="108">
        <f>SUM(R21:R23)</f>
        <v>268.3362828</v>
      </c>
      <c r="S24" s="108">
        <f>SUM(S21:S23)</f>
        <v>2197.028527595</v>
      </c>
      <c r="T24" s="104">
        <v>745.923296</v>
      </c>
      <c r="U24" s="104">
        <f>SUM(U21:U23)</f>
        <v>43.5121922666667</v>
      </c>
      <c r="V24" s="104">
        <v>0</v>
      </c>
      <c r="W24" s="105">
        <f t="shared" ref="W24:W31" si="4">V24/U24</f>
        <v>0</v>
      </c>
      <c r="X24" s="104">
        <v>635.585796</v>
      </c>
      <c r="Y24" s="107">
        <f>X24/T24</f>
        <v>0.852079294759015</v>
      </c>
      <c r="Z24" s="104">
        <v>0</v>
      </c>
      <c r="AA24" s="104">
        <f>SUM(AA21:AA23)</f>
        <v>199.321264</v>
      </c>
      <c r="AB24" s="101">
        <v>1738.12817</v>
      </c>
    </row>
    <row r="25" s="87" customFormat="1" ht="47" customHeight="1" spans="1:29">
      <c r="A25" s="96">
        <v>24</v>
      </c>
      <c r="B25" s="97"/>
      <c r="C25" s="109" t="s">
        <v>353</v>
      </c>
      <c r="D25" s="109"/>
      <c r="E25" s="100">
        <f>SUM(E20,E24)</f>
        <v>13000</v>
      </c>
      <c r="F25" s="100">
        <f>E25/12</f>
        <v>1083.33333333333</v>
      </c>
      <c r="G25" s="104">
        <v>0</v>
      </c>
      <c r="H25" s="106">
        <f>G25/F25</f>
        <v>0</v>
      </c>
      <c r="I25" s="113">
        <f>SUM(I20,I24)</f>
        <v>3813.642071</v>
      </c>
      <c r="J25" s="106">
        <f>I25/E25</f>
        <v>0.293357082384615</v>
      </c>
      <c r="K25" s="109">
        <f>SUM(K20,K24)</f>
        <v>9500</v>
      </c>
      <c r="L25" s="100">
        <f>K25/12</f>
        <v>791.666666666667</v>
      </c>
      <c r="M25" s="113">
        <f>SUM(M20,M24)</f>
        <v>0</v>
      </c>
      <c r="N25" s="106">
        <f>M25/L25</f>
        <v>0</v>
      </c>
      <c r="O25" s="113">
        <f>SUM(O20,O24)</f>
        <v>4394.7597121161</v>
      </c>
      <c r="P25" s="106">
        <f>O25/K25</f>
        <v>0.462606285485905</v>
      </c>
      <c r="Q25" s="113">
        <f>SUM(Q20,Q24)</f>
        <v>130.761</v>
      </c>
      <c r="R25" s="113">
        <f>SUM(R20,R24)</f>
        <v>2210.0660912161</v>
      </c>
      <c r="S25" s="113">
        <f>SUM(S20,S24)</f>
        <v>4394.7597121161</v>
      </c>
      <c r="T25" s="104">
        <v>2202.3910908</v>
      </c>
      <c r="U25" s="104">
        <f>SUM(U24,U20)</f>
        <v>128.47281363</v>
      </c>
      <c r="V25" s="104">
        <v>0</v>
      </c>
      <c r="W25" s="105">
        <f t="shared" si="4"/>
        <v>0</v>
      </c>
      <c r="X25" s="104">
        <v>1851.3625908</v>
      </c>
      <c r="Y25" s="107">
        <f>X25/T25</f>
        <v>0.840614820198672</v>
      </c>
      <c r="Z25" s="104">
        <v>73.5</v>
      </c>
      <c r="AA25" s="104">
        <f>SUM(AA24,AA20)</f>
        <v>2046.88261685</v>
      </c>
      <c r="AB25" s="114">
        <v>4801.46631765</v>
      </c>
      <c r="AC25"/>
    </row>
    <row r="26" ht="47" customHeight="1" spans="1:29">
      <c r="A26" s="96">
        <v>25</v>
      </c>
      <c r="B26" s="97"/>
      <c r="C26" s="98" t="s">
        <v>393</v>
      </c>
      <c r="D26" s="99" t="s">
        <v>55</v>
      </c>
      <c r="E26" s="100" t="s">
        <v>218</v>
      </c>
      <c r="F26" s="100" t="s">
        <v>218</v>
      </c>
      <c r="G26" s="104">
        <v>914.900000000001</v>
      </c>
      <c r="H26" s="100" t="s">
        <v>218</v>
      </c>
      <c r="I26" s="108">
        <v>5854.292</v>
      </c>
      <c r="J26" s="100" t="s">
        <v>218</v>
      </c>
      <c r="K26" s="100" t="s">
        <v>218</v>
      </c>
      <c r="L26" s="100" t="s">
        <v>218</v>
      </c>
      <c r="M26" s="102">
        <v>0</v>
      </c>
      <c r="N26" s="102" t="s">
        <v>218</v>
      </c>
      <c r="O26" s="101">
        <v>3625.76230106</v>
      </c>
      <c r="P26" s="100" t="s">
        <v>218</v>
      </c>
      <c r="Q26" s="102">
        <v>1118.3185838</v>
      </c>
      <c r="R26" s="109">
        <v>3625.76230106</v>
      </c>
      <c r="S26" s="104">
        <v>3625.76230106</v>
      </c>
      <c r="T26" s="104">
        <v>1871.361</v>
      </c>
      <c r="U26" s="104">
        <f>T26*0.7/12</f>
        <v>109.162725</v>
      </c>
      <c r="V26" s="104">
        <v>0</v>
      </c>
      <c r="W26" s="105">
        <f t="shared" si="4"/>
        <v>0</v>
      </c>
      <c r="X26" s="104">
        <v>1121.96999</v>
      </c>
      <c r="Y26" s="107">
        <v>0.416957503624507</v>
      </c>
      <c r="Z26" s="104">
        <v>105</v>
      </c>
      <c r="AA26" s="104">
        <f>AB26-X26</f>
        <v>2710.8748</v>
      </c>
      <c r="AB26" s="100">
        <v>3832.84479</v>
      </c>
    </row>
    <row r="27" ht="47" customHeight="1" spans="1:29">
      <c r="A27" s="96">
        <v>27</v>
      </c>
      <c r="B27" s="97"/>
      <c r="C27" s="98"/>
      <c r="D27" s="99" t="s">
        <v>363</v>
      </c>
      <c r="E27" s="100">
        <v>6500</v>
      </c>
      <c r="F27" s="100">
        <f>E27/12</f>
        <v>541.666666666667</v>
      </c>
      <c r="G27" s="104">
        <v>914.900000000001</v>
      </c>
      <c r="H27" s="106">
        <f>G27/F27</f>
        <v>1.68904615384616</v>
      </c>
      <c r="I27" s="104">
        <f>SUM(I26:I26)</f>
        <v>5854.292</v>
      </c>
      <c r="J27" s="106">
        <f>I27/E27</f>
        <v>0.900660307692308</v>
      </c>
      <c r="K27" s="100">
        <v>3300</v>
      </c>
      <c r="L27" s="100">
        <f>K27/12</f>
        <v>275</v>
      </c>
      <c r="M27" s="104">
        <f>SUM(M26:M26)</f>
        <v>0</v>
      </c>
      <c r="N27" s="106">
        <f>M27/L27</f>
        <v>0</v>
      </c>
      <c r="O27" s="101">
        <v>3625.76230106</v>
      </c>
      <c r="P27" s="106">
        <f>O27/K27</f>
        <v>1.09871584880606</v>
      </c>
      <c r="Q27" s="104">
        <f>SUM(Q26:Q26)</f>
        <v>1118.3185838</v>
      </c>
      <c r="R27" s="104">
        <v>2507.44371726</v>
      </c>
      <c r="S27" s="104">
        <v>3625.76230106</v>
      </c>
      <c r="T27" s="100">
        <v>1871.361</v>
      </c>
      <c r="U27" s="100">
        <f>SUM(U26:U26)</f>
        <v>109.162725</v>
      </c>
      <c r="V27" s="100">
        <v>0</v>
      </c>
      <c r="W27" s="105">
        <f t="shared" si="4"/>
        <v>0</v>
      </c>
      <c r="X27" s="100">
        <v>1121.96999</v>
      </c>
      <c r="Y27" s="100">
        <f>SUM(Y26:Y26)</f>
        <v>0.416957503624507</v>
      </c>
      <c r="Z27" s="104">
        <v>105</v>
      </c>
      <c r="AA27" s="104">
        <v>0</v>
      </c>
      <c r="AB27" s="100">
        <v>3832.84479</v>
      </c>
    </row>
    <row r="28" s="87" customFormat="1" ht="47" customHeight="1" spans="1:29">
      <c r="A28" s="96">
        <v>28</v>
      </c>
      <c r="B28" s="97"/>
      <c r="C28" s="98" t="s">
        <v>394</v>
      </c>
      <c r="D28" s="99" t="s">
        <v>47</v>
      </c>
      <c r="E28" s="100" t="s">
        <v>218</v>
      </c>
      <c r="F28" s="100" t="s">
        <v>218</v>
      </c>
      <c r="G28" s="104">
        <v>0</v>
      </c>
      <c r="H28" s="100" t="s">
        <v>218</v>
      </c>
      <c r="I28" s="108">
        <v>54</v>
      </c>
      <c r="J28" s="100" t="s">
        <v>218</v>
      </c>
      <c r="K28" s="100" t="s">
        <v>218</v>
      </c>
      <c r="L28" s="100" t="s">
        <v>218</v>
      </c>
      <c r="M28" s="102">
        <v>0</v>
      </c>
      <c r="N28" s="102" t="s">
        <v>218</v>
      </c>
      <c r="O28" s="101">
        <v>20.7143414</v>
      </c>
      <c r="P28" s="100" t="s">
        <v>218</v>
      </c>
      <c r="Q28" s="102">
        <v>0</v>
      </c>
      <c r="R28" s="104">
        <v>0</v>
      </c>
      <c r="S28" s="104">
        <v>20.7143414</v>
      </c>
      <c r="T28" s="104">
        <v>2109.4848714</v>
      </c>
      <c r="U28" s="104">
        <f>T28*0.7/12</f>
        <v>123.053284165</v>
      </c>
      <c r="V28" s="104">
        <v>0</v>
      </c>
      <c r="W28" s="105">
        <f t="shared" si="4"/>
        <v>0</v>
      </c>
      <c r="X28" s="104">
        <v>1493.3325</v>
      </c>
      <c r="Y28" s="107">
        <v>0.295276522885998</v>
      </c>
      <c r="Z28" s="104">
        <v>26.7060000000001</v>
      </c>
      <c r="AA28" s="104">
        <f>AB28-X28</f>
        <v>644.65684985</v>
      </c>
      <c r="AB28" s="100">
        <v>2137.98934985</v>
      </c>
      <c r="AC28"/>
    </row>
    <row r="29" s="87" customFormat="1" ht="47" customHeight="1" spans="1:29">
      <c r="A29" s="96">
        <v>29</v>
      </c>
      <c r="B29" s="97"/>
      <c r="C29" s="98"/>
      <c r="D29" s="99" t="s">
        <v>363</v>
      </c>
      <c r="E29" s="100">
        <v>4500</v>
      </c>
      <c r="F29" s="100">
        <f>E29/12</f>
        <v>375</v>
      </c>
      <c r="G29" s="104">
        <v>0</v>
      </c>
      <c r="H29" s="106">
        <f>G29/F29</f>
        <v>0</v>
      </c>
      <c r="I29" s="104">
        <f>SUM(I28)</f>
        <v>54</v>
      </c>
      <c r="J29" s="106">
        <f>I29/E29</f>
        <v>0.012</v>
      </c>
      <c r="K29" s="100">
        <v>700</v>
      </c>
      <c r="L29" s="100">
        <f>K29/12</f>
        <v>58.3333333333333</v>
      </c>
      <c r="M29" s="104">
        <f>SUM(M28)</f>
        <v>0</v>
      </c>
      <c r="N29" s="106">
        <f>M29/L29</f>
        <v>0</v>
      </c>
      <c r="O29" s="101">
        <f>S29-R29</f>
        <v>20.7143414</v>
      </c>
      <c r="P29" s="106">
        <f>O29/K29</f>
        <v>0.0295919162857143</v>
      </c>
      <c r="Q29" s="104">
        <f>SUM(Q28)</f>
        <v>0</v>
      </c>
      <c r="R29" s="104">
        <v>0</v>
      </c>
      <c r="S29" s="104">
        <v>20.7143414</v>
      </c>
      <c r="T29" s="104">
        <v>2109.4848714</v>
      </c>
      <c r="U29" s="104">
        <f>SUM(U28:U28)</f>
        <v>123.053284165</v>
      </c>
      <c r="V29" s="104">
        <v>17.748</v>
      </c>
      <c r="W29" s="105">
        <f t="shared" si="4"/>
        <v>0.144230201740914</v>
      </c>
      <c r="X29" s="104">
        <v>1493.3325</v>
      </c>
      <c r="Y29" s="107">
        <v>0.159268032569549</v>
      </c>
      <c r="Z29" s="104">
        <v>26.7060000000001</v>
      </c>
      <c r="AA29" s="104">
        <f>AB29-X29</f>
        <v>644.65684985</v>
      </c>
      <c r="AB29" s="104">
        <v>2137.98934985</v>
      </c>
      <c r="AC29"/>
    </row>
    <row r="30" s="87" customFormat="1" ht="47" customHeight="1" spans="1:29">
      <c r="A30" s="96">
        <v>31</v>
      </c>
      <c r="B30" s="97"/>
      <c r="C30" s="109" t="s">
        <v>353</v>
      </c>
      <c r="D30" s="109"/>
      <c r="E30" s="100">
        <f>SUM(E27,E29)</f>
        <v>11000</v>
      </c>
      <c r="F30" s="100">
        <f>E30/12</f>
        <v>916.666666666667</v>
      </c>
      <c r="G30" s="104">
        <f>SUM(G27,G29)</f>
        <v>914.900000000001</v>
      </c>
      <c r="H30" s="106">
        <f>G30/F30</f>
        <v>0.998072727272728</v>
      </c>
      <c r="I30" s="104">
        <f>SUM(I27,I29)</f>
        <v>5908.292</v>
      </c>
      <c r="J30" s="106">
        <f>I30/E30</f>
        <v>0.537117454545455</v>
      </c>
      <c r="K30" s="100">
        <v>4000</v>
      </c>
      <c r="L30" s="100">
        <f>K30/12</f>
        <v>333.333333333333</v>
      </c>
      <c r="M30" s="104">
        <f>SUM(M27,M29)</f>
        <v>0</v>
      </c>
      <c r="N30" s="106">
        <f>M30/L30</f>
        <v>0</v>
      </c>
      <c r="O30" s="104">
        <f>SUM(O27,O29)</f>
        <v>3646.47664246</v>
      </c>
      <c r="P30" s="106">
        <f>O30/K30</f>
        <v>0.911619160615</v>
      </c>
      <c r="Q30" s="104">
        <f>SUM(Q27,Q29)</f>
        <v>1118.3185838</v>
      </c>
      <c r="R30" s="104">
        <f>SUM(R27,R29)</f>
        <v>2507.44371726</v>
      </c>
      <c r="S30" s="104">
        <v>3646.47664246</v>
      </c>
      <c r="T30" s="104">
        <v>3980.8458714</v>
      </c>
      <c r="U30" s="104">
        <f>SUM(U27,U29)</f>
        <v>232.216009165</v>
      </c>
      <c r="V30" s="104">
        <f>SUM(V27,V29)</f>
        <v>17.748</v>
      </c>
      <c r="W30" s="105">
        <f t="shared" si="4"/>
        <v>0.0764288390960558</v>
      </c>
      <c r="X30" s="104">
        <v>2615.30249</v>
      </c>
      <c r="Y30" s="107">
        <f>X30/T30</f>
        <v>0.656971551897898</v>
      </c>
      <c r="Z30" s="104">
        <v>131.706</v>
      </c>
      <c r="AA30" s="104">
        <v>281.992</v>
      </c>
      <c r="AB30" s="104">
        <f>SUM(AB27,AB29)</f>
        <v>5970.83413985</v>
      </c>
      <c r="AC30"/>
    </row>
    <row r="31" ht="47" customHeight="1" spans="1:29">
      <c r="A31" s="96">
        <v>32</v>
      </c>
      <c r="B31" s="97"/>
      <c r="C31" s="115" t="s">
        <v>225</v>
      </c>
      <c r="D31" s="115"/>
      <c r="E31" s="116">
        <f>SUM(E12,E17,E25,E30)</f>
        <v>100000</v>
      </c>
      <c r="F31" s="100">
        <f>E31/12</f>
        <v>8333.33333333333</v>
      </c>
      <c r="G31" s="109">
        <f>SUM(G12,G17,G25,G30)</f>
        <v>4348.522</v>
      </c>
      <c r="H31" s="106">
        <f>G31/F31</f>
        <v>0.52182264</v>
      </c>
      <c r="I31" s="109">
        <f>SUM(I12,I17,I25,I30)</f>
        <v>56111.9484796</v>
      </c>
      <c r="J31" s="106">
        <f>I31/E31</f>
        <v>0.561119484796</v>
      </c>
      <c r="K31" s="100">
        <v>50000</v>
      </c>
      <c r="L31" s="100">
        <f>K31/12</f>
        <v>4166.66666666667</v>
      </c>
      <c r="M31" s="109">
        <f>SUM(M12,M17,M25,M30)</f>
        <v>263.716814</v>
      </c>
      <c r="N31" s="106">
        <f>M31/L31</f>
        <v>0.06329203536</v>
      </c>
      <c r="O31" s="109">
        <f>SUM(O12,O17,O25,O30)</f>
        <v>39956.1577811531</v>
      </c>
      <c r="P31" s="106">
        <f>O31/K31</f>
        <v>0.799123155623062</v>
      </c>
      <c r="Q31" s="109">
        <f>SUM(Q12,Q17,Q25,Q30)</f>
        <v>1793.5671939</v>
      </c>
      <c r="R31" s="109">
        <f>SUM(R12,R17,R25,R30)</f>
        <v>7267.7991898461</v>
      </c>
      <c r="S31" s="109">
        <v>39956.1577811531</v>
      </c>
      <c r="T31" s="116">
        <v>15771.8915681056</v>
      </c>
      <c r="U31" s="104">
        <f>T31*0.7/12</f>
        <v>920.027008139493</v>
      </c>
      <c r="V31" s="116">
        <f>SUM(V12,V17,V25,V30)</f>
        <v>17.748</v>
      </c>
      <c r="W31" s="105">
        <f t="shared" si="4"/>
        <v>0.0192907380359306</v>
      </c>
      <c r="X31" s="116">
        <v>10018.70611855</v>
      </c>
      <c r="Y31" s="107">
        <f>X31/T31</f>
        <v>0.635225399267272</v>
      </c>
      <c r="Z31" s="109">
        <v>1554.1424</v>
      </c>
      <c r="AA31" s="104">
        <f>AB31-X31</f>
        <v>48352.96311915</v>
      </c>
      <c r="AB31" s="109">
        <f>SUM(AB12,AB17,AB25,AB30)</f>
        <v>58371.6692377</v>
      </c>
    </row>
    <row r="35" spans="10:10">
      <c r="J35">
        <f>I31/80000</f>
        <v>0.701399355995</v>
      </c>
    </row>
  </sheetData>
  <mergeCells count="19">
    <mergeCell ref="A1:AB1"/>
    <mergeCell ref="A2:AB2"/>
    <mergeCell ref="C12:D12"/>
    <mergeCell ref="C17:D17"/>
    <mergeCell ref="C25:D25"/>
    <mergeCell ref="C30:D30"/>
    <mergeCell ref="C31:D31"/>
    <mergeCell ref="B4:B12"/>
    <mergeCell ref="B13:B17"/>
    <mergeCell ref="B18:B26"/>
    <mergeCell ref="B27:B31"/>
    <mergeCell ref="C4:C7"/>
    <mergeCell ref="C8:C11"/>
    <mergeCell ref="C13:C14"/>
    <mergeCell ref="C15:C16"/>
    <mergeCell ref="C18:C20"/>
    <mergeCell ref="C21:C24"/>
    <mergeCell ref="C26:C27"/>
    <mergeCell ref="C28:C29"/>
  </mergeCells>
  <pageMargins left="0.75" right="0.75" top="1" bottom="1" header="0.5" footer="0.5"/>
  <pageSetup paperSize="9" orientation="portrait"/>
  <headerFooter/>
  <ignoredErrors>
    <ignoredError sqref="F12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9"/>
  <sheetViews>
    <sheetView workbookViewId="0">
      <selection activeCell="H85" sqref="H85"/>
    </sheetView>
  </sheetViews>
  <sheetFormatPr defaultColWidth="8.72727272727273" defaultRowHeight="14" outlineLevelCol="1"/>
  <cols>
    <col min="1" max="1" width="9.81818181818182"/>
    <col min="2" max="2" width="14"/>
  </cols>
  <sheetData>
    <row r="3" spans="1:2">
      <c r="A3" t="s">
        <v>26</v>
      </c>
      <c r="B3" t="s">
        <v>364</v>
      </c>
    </row>
    <row r="4" spans="1:2">
      <c r="A4" t="s">
        <v>55</v>
      </c>
      <c r="B4">
        <v>25074437.1726</v>
      </c>
    </row>
    <row r="5" spans="1:2">
      <c r="A5" t="s">
        <v>367</v>
      </c>
      <c r="B5">
        <v>65927644.3896</v>
      </c>
    </row>
    <row r="6" spans="1:2">
      <c r="A6" t="s">
        <v>368</v>
      </c>
      <c r="B6">
        <v>16083912.78395</v>
      </c>
    </row>
    <row r="7" spans="1:2">
      <c r="A7" t="s">
        <v>65</v>
      </c>
      <c r="B7">
        <v>6253097.35</v>
      </c>
    </row>
    <row r="8" spans="1:2">
      <c r="A8" t="s">
        <v>365</v>
      </c>
      <c r="B8">
        <v>6119383.67255442</v>
      </c>
    </row>
    <row r="9" spans="1:2">
      <c r="A9" t="s">
        <v>42</v>
      </c>
      <c r="B9">
        <v>161220436.0103</v>
      </c>
    </row>
    <row r="10" spans="1:2">
      <c r="A10" t="s">
        <v>369</v>
      </c>
      <c r="B10">
        <v>15414543.3586566</v>
      </c>
    </row>
    <row r="11" spans="1:2">
      <c r="A11" t="s">
        <v>120</v>
      </c>
      <c r="B11">
        <v>7593238.939</v>
      </c>
    </row>
    <row r="12" spans="1:2">
      <c r="A12" t="s">
        <v>66</v>
      </c>
      <c r="B12">
        <v>28254704.7384</v>
      </c>
    </row>
    <row r="13" spans="1:2">
      <c r="A13" t="s">
        <v>60</v>
      </c>
      <c r="B13">
        <v>14388282.2517699</v>
      </c>
    </row>
    <row r="14" spans="1:2">
      <c r="A14" t="s">
        <v>47</v>
      </c>
      <c r="B14">
        <v>207143.414</v>
      </c>
    </row>
    <row r="15" spans="1:2">
      <c r="A15" t="s">
        <v>36</v>
      </c>
      <c r="B15">
        <v>4325663.719</v>
      </c>
    </row>
    <row r="16" spans="1:2">
      <c r="A16" t="s">
        <v>41</v>
      </c>
      <c r="B16">
        <v>22725784.0317</v>
      </c>
    </row>
    <row r="17" spans="1:2">
      <c r="A17" t="s">
        <v>54</v>
      </c>
      <c r="B17">
        <v>4780177.802</v>
      </c>
    </row>
    <row r="18" spans="1:2">
      <c r="A18" t="s">
        <v>224</v>
      </c>
      <c r="B18">
        <v>0</v>
      </c>
    </row>
    <row r="19" spans="1:2">
      <c r="A19" t="s">
        <v>225</v>
      </c>
      <c r="B19">
        <v>378368449.633531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topLeftCell="A22" workbookViewId="0">
      <selection activeCell="H85" sqref="H85"/>
    </sheetView>
  </sheetViews>
  <sheetFormatPr defaultColWidth="8.72727272727273" defaultRowHeight="14"/>
  <sheetData>
    <row r="1" ht="14.75" spans="1:16">
      <c r="A1" s="73">
        <v>5000</v>
      </c>
      <c r="B1" s="74">
        <v>0</v>
      </c>
      <c r="C1" s="74">
        <v>0</v>
      </c>
      <c r="D1" s="75">
        <v>0</v>
      </c>
      <c r="E1" s="74">
        <v>0</v>
      </c>
      <c r="F1" s="74">
        <v>0</v>
      </c>
      <c r="G1" s="74">
        <v>0</v>
      </c>
      <c r="H1" s="75">
        <v>0</v>
      </c>
      <c r="I1" s="74">
        <v>0</v>
      </c>
      <c r="J1" s="74">
        <v>0</v>
      </c>
      <c r="K1" s="74">
        <v>0</v>
      </c>
      <c r="L1" s="74">
        <v>0</v>
      </c>
      <c r="M1" s="74">
        <v>0</v>
      </c>
      <c r="N1" s="74">
        <v>0</v>
      </c>
      <c r="O1" s="74">
        <v>0</v>
      </c>
      <c r="P1" s="74">
        <v>0</v>
      </c>
    </row>
    <row r="2" ht="14.75" spans="1:16">
      <c r="A2" s="36">
        <v>3800</v>
      </c>
      <c r="B2" s="37">
        <v>0</v>
      </c>
      <c r="C2" s="37">
        <v>2283</v>
      </c>
      <c r="D2" s="76">
        <f>C2/A2</f>
        <v>0.600789473684211</v>
      </c>
      <c r="E2" s="37">
        <v>2000</v>
      </c>
      <c r="F2" s="37">
        <v>0</v>
      </c>
      <c r="G2" s="37">
        <v>1964</v>
      </c>
      <c r="H2" s="76">
        <f>G2/E2</f>
        <v>0.982</v>
      </c>
      <c r="I2" s="37">
        <v>1964</v>
      </c>
      <c r="J2" s="37">
        <v>1964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1925</v>
      </c>
    </row>
    <row r="4" spans="1:16">
      <c r="A4" s="77">
        <f>SUM(A1:A2)</f>
        <v>8800</v>
      </c>
      <c r="B4" s="77">
        <f>SUM(B1:B2)</f>
        <v>0</v>
      </c>
      <c r="C4" s="77">
        <f>SUM(C1:C2)</f>
        <v>2283</v>
      </c>
      <c r="D4" s="78">
        <f>C4/A4</f>
        <v>0.259431818181818</v>
      </c>
      <c r="E4" s="77">
        <f>SUM(E1:E2)</f>
        <v>2000</v>
      </c>
      <c r="F4" s="77">
        <f>SUM(F1:F2)</f>
        <v>0</v>
      </c>
      <c r="G4" s="77">
        <f>SUM(G1:G2)</f>
        <v>1964</v>
      </c>
      <c r="H4" s="78">
        <f>G4/E4</f>
        <v>0.982</v>
      </c>
      <c r="I4" s="77">
        <f t="shared" ref="I4:P4" si="0">SUM(I1:I2)</f>
        <v>1964</v>
      </c>
      <c r="J4" s="77">
        <f t="shared" si="0"/>
        <v>1964</v>
      </c>
      <c r="K4" s="77">
        <f t="shared" si="0"/>
        <v>0</v>
      </c>
      <c r="L4" s="77">
        <f t="shared" si="0"/>
        <v>0</v>
      </c>
      <c r="M4" s="77">
        <f t="shared" si="0"/>
        <v>0</v>
      </c>
      <c r="N4" s="77">
        <f t="shared" si="0"/>
        <v>0</v>
      </c>
      <c r="O4" s="77">
        <f t="shared" si="0"/>
        <v>0</v>
      </c>
      <c r="P4" s="77">
        <f t="shared" si="0"/>
        <v>1925</v>
      </c>
    </row>
    <row r="5" ht="14.75"/>
    <row r="6" ht="14.75" spans="1:16">
      <c r="A6" s="43">
        <v>22500</v>
      </c>
      <c r="B6" s="44">
        <v>0</v>
      </c>
      <c r="C6" s="44">
        <v>990</v>
      </c>
      <c r="D6" s="45">
        <v>0.044</v>
      </c>
      <c r="E6" s="44">
        <v>8700</v>
      </c>
      <c r="F6" s="44">
        <v>0</v>
      </c>
      <c r="G6" s="44">
        <v>10044</v>
      </c>
      <c r="H6" s="45">
        <v>1.154</v>
      </c>
      <c r="I6" s="44">
        <v>458</v>
      </c>
      <c r="J6" s="44">
        <v>10044</v>
      </c>
      <c r="K6" s="44">
        <v>7609</v>
      </c>
      <c r="L6" s="44">
        <v>0</v>
      </c>
      <c r="M6" s="44">
        <v>4947</v>
      </c>
      <c r="N6" s="45">
        <v>0.65</v>
      </c>
      <c r="O6" s="44">
        <v>0</v>
      </c>
      <c r="P6" s="44">
        <v>16846</v>
      </c>
    </row>
    <row r="7" ht="14.75" spans="1:16">
      <c r="A7" s="46">
        <v>22500</v>
      </c>
      <c r="B7" s="47">
        <v>0</v>
      </c>
      <c r="C7" s="47">
        <v>13180</v>
      </c>
      <c r="D7" s="48">
        <v>0.586</v>
      </c>
      <c r="E7" s="47">
        <v>8700</v>
      </c>
      <c r="F7" s="47">
        <v>0</v>
      </c>
      <c r="G7" s="47">
        <v>2631</v>
      </c>
      <c r="H7" s="48">
        <v>0.302</v>
      </c>
      <c r="I7" s="47">
        <v>974</v>
      </c>
      <c r="J7" s="47">
        <v>2631</v>
      </c>
      <c r="K7" s="47">
        <v>833</v>
      </c>
      <c r="L7" s="47">
        <v>0</v>
      </c>
      <c r="M7" s="47">
        <v>449</v>
      </c>
      <c r="N7" s="48">
        <v>0.539</v>
      </c>
      <c r="O7" s="47">
        <v>0</v>
      </c>
      <c r="P7" s="47">
        <v>14096</v>
      </c>
    </row>
    <row r="8" ht="14.75" spans="1:16">
      <c r="A8" s="46">
        <v>45000</v>
      </c>
      <c r="B8" s="47">
        <v>0</v>
      </c>
      <c r="C8" s="47">
        <v>14170</v>
      </c>
      <c r="D8" s="48">
        <v>0.315</v>
      </c>
      <c r="E8" s="47">
        <v>17400</v>
      </c>
      <c r="F8" s="47">
        <v>0</v>
      </c>
      <c r="G8" s="47">
        <v>12674</v>
      </c>
      <c r="H8" s="48">
        <v>0.728</v>
      </c>
      <c r="I8" s="47">
        <v>1432</v>
      </c>
      <c r="J8" s="47">
        <v>12674</v>
      </c>
      <c r="K8" s="47">
        <v>8442</v>
      </c>
      <c r="L8" s="47">
        <v>0</v>
      </c>
      <c r="M8" s="47">
        <v>5395</v>
      </c>
      <c r="N8" s="48">
        <v>0.639</v>
      </c>
      <c r="O8" s="47">
        <v>0</v>
      </c>
      <c r="P8" s="52">
        <v>30931</v>
      </c>
    </row>
    <row r="9" ht="14.75" spans="1:16">
      <c r="A9" s="51">
        <v>18500</v>
      </c>
      <c r="B9" s="52">
        <v>0</v>
      </c>
      <c r="C9" s="52">
        <v>17208</v>
      </c>
      <c r="D9" s="53">
        <v>0.93</v>
      </c>
      <c r="E9" s="52">
        <v>16500</v>
      </c>
      <c r="F9" s="52">
        <v>11</v>
      </c>
      <c r="G9" s="52">
        <v>16133</v>
      </c>
      <c r="H9" s="53">
        <v>0.978</v>
      </c>
      <c r="I9" s="52">
        <v>147</v>
      </c>
      <c r="J9" s="52">
        <v>16133</v>
      </c>
      <c r="K9" s="52">
        <v>897</v>
      </c>
      <c r="L9" s="52">
        <v>15</v>
      </c>
      <c r="M9" s="52">
        <v>90</v>
      </c>
      <c r="N9" s="53">
        <v>0.1</v>
      </c>
      <c r="O9" s="52">
        <v>0</v>
      </c>
      <c r="P9" s="52">
        <v>8720</v>
      </c>
    </row>
    <row r="10" ht="14.75" spans="1:16">
      <c r="A10" s="51">
        <v>12500</v>
      </c>
      <c r="B10" s="52">
        <v>0</v>
      </c>
      <c r="C10" s="52">
        <v>11388</v>
      </c>
      <c r="D10" s="53">
        <v>0.911</v>
      </c>
      <c r="E10" s="52">
        <v>5000</v>
      </c>
      <c r="F10" s="52">
        <v>26</v>
      </c>
      <c r="G10" s="52">
        <v>2299</v>
      </c>
      <c r="H10" s="53">
        <v>0.46</v>
      </c>
      <c r="I10" s="52">
        <v>196</v>
      </c>
      <c r="J10" s="52">
        <v>2299</v>
      </c>
      <c r="K10" s="52">
        <v>249</v>
      </c>
      <c r="L10" s="52">
        <v>0</v>
      </c>
      <c r="M10" s="52">
        <v>27</v>
      </c>
      <c r="N10" s="53">
        <v>0.107</v>
      </c>
      <c r="O10" s="52">
        <v>0</v>
      </c>
      <c r="P10" s="52">
        <v>6611</v>
      </c>
    </row>
    <row r="11" ht="14.75" spans="1:16">
      <c r="A11" s="51">
        <v>31000</v>
      </c>
      <c r="B11" s="52">
        <v>0</v>
      </c>
      <c r="C11" s="52">
        <v>28596</v>
      </c>
      <c r="D11" s="53">
        <v>0.922</v>
      </c>
      <c r="E11" s="52">
        <v>21500</v>
      </c>
      <c r="F11" s="52">
        <v>38</v>
      </c>
      <c r="G11" s="52">
        <v>18432</v>
      </c>
      <c r="H11" s="53">
        <v>0.857</v>
      </c>
      <c r="I11" s="52">
        <v>343</v>
      </c>
      <c r="J11" s="52">
        <v>18432</v>
      </c>
      <c r="K11" s="52">
        <v>1146</v>
      </c>
      <c r="L11" s="52">
        <v>15</v>
      </c>
      <c r="M11" s="52">
        <v>117</v>
      </c>
      <c r="N11" s="53">
        <v>0.102</v>
      </c>
      <c r="O11" s="52">
        <v>0</v>
      </c>
      <c r="P11" s="52">
        <v>15331</v>
      </c>
    </row>
    <row r="12" ht="14.75" spans="1:16">
      <c r="A12" s="51">
        <v>5500</v>
      </c>
      <c r="B12" s="52">
        <v>0</v>
      </c>
      <c r="C12" s="52">
        <v>2455</v>
      </c>
      <c r="D12" s="53">
        <v>0.446</v>
      </c>
      <c r="E12" s="52">
        <v>3000</v>
      </c>
      <c r="F12" s="52">
        <v>10</v>
      </c>
      <c r="G12" s="52">
        <v>2163</v>
      </c>
      <c r="H12" s="53">
        <v>0.721</v>
      </c>
      <c r="I12" s="52">
        <v>1883</v>
      </c>
      <c r="J12" s="52">
        <v>2163</v>
      </c>
      <c r="K12" s="52">
        <v>1456</v>
      </c>
      <c r="L12" s="52">
        <v>140</v>
      </c>
      <c r="M12" s="52">
        <v>1216</v>
      </c>
      <c r="N12" s="53">
        <v>0.835</v>
      </c>
      <c r="O12" s="52">
        <v>0</v>
      </c>
      <c r="P12" s="52">
        <v>2990</v>
      </c>
    </row>
    <row r="13" ht="14.75" spans="1:16">
      <c r="A13" s="51">
        <v>7500</v>
      </c>
      <c r="B13" s="52">
        <v>0</v>
      </c>
      <c r="C13" s="52">
        <v>1359</v>
      </c>
      <c r="D13" s="53">
        <v>0.181</v>
      </c>
      <c r="E13" s="52">
        <v>3900</v>
      </c>
      <c r="F13" s="52">
        <v>0</v>
      </c>
      <c r="G13" s="52">
        <v>2086</v>
      </c>
      <c r="H13" s="53">
        <v>0.535</v>
      </c>
      <c r="I13" s="52">
        <v>158</v>
      </c>
      <c r="J13" s="52">
        <v>2086</v>
      </c>
      <c r="K13" s="52">
        <v>746</v>
      </c>
      <c r="L13" s="52">
        <v>70</v>
      </c>
      <c r="M13" s="52">
        <v>636</v>
      </c>
      <c r="N13" s="53">
        <v>0.852</v>
      </c>
      <c r="O13" s="52">
        <v>0</v>
      </c>
      <c r="P13" s="52">
        <v>1738</v>
      </c>
    </row>
    <row r="14" ht="14.75" spans="1:16">
      <c r="A14" s="51">
        <v>13000</v>
      </c>
      <c r="B14" s="52">
        <v>0</v>
      </c>
      <c r="C14" s="52">
        <v>3814</v>
      </c>
      <c r="D14" s="53">
        <v>0.293</v>
      </c>
      <c r="E14" s="52">
        <v>6900</v>
      </c>
      <c r="F14" s="52">
        <v>10</v>
      </c>
      <c r="G14" s="52">
        <v>4250</v>
      </c>
      <c r="H14" s="52" t="s">
        <v>218</v>
      </c>
      <c r="I14" s="52">
        <v>1932</v>
      </c>
      <c r="J14" s="52">
        <v>4250</v>
      </c>
      <c r="K14" s="52">
        <v>2202</v>
      </c>
      <c r="L14" s="52">
        <v>210</v>
      </c>
      <c r="M14" s="52">
        <v>1851</v>
      </c>
      <c r="N14" s="53">
        <v>0.841</v>
      </c>
      <c r="O14" s="52">
        <v>0</v>
      </c>
      <c r="P14" s="52">
        <v>4728</v>
      </c>
    </row>
    <row r="15" ht="14.75" spans="1:16">
      <c r="A15" s="51">
        <v>6500</v>
      </c>
      <c r="B15" s="52">
        <v>90</v>
      </c>
      <c r="C15" s="52">
        <v>4939</v>
      </c>
      <c r="D15" s="53">
        <v>0.76</v>
      </c>
      <c r="E15" s="52">
        <v>3500</v>
      </c>
      <c r="F15" s="52">
        <v>0</v>
      </c>
      <c r="G15" s="52">
        <v>2507</v>
      </c>
      <c r="H15" s="53">
        <v>0.716</v>
      </c>
      <c r="I15" s="52">
        <v>2507</v>
      </c>
      <c r="J15" s="52">
        <v>2507</v>
      </c>
      <c r="K15" s="52">
        <v>1871</v>
      </c>
      <c r="L15" s="52">
        <v>0</v>
      </c>
      <c r="M15" s="52">
        <v>1122</v>
      </c>
      <c r="N15" s="53">
        <v>0.6</v>
      </c>
      <c r="O15" s="52">
        <v>0</v>
      </c>
      <c r="P15" s="52">
        <v>3701</v>
      </c>
    </row>
    <row r="16" ht="14.75" spans="1:16">
      <c r="A16" s="51">
        <v>4500</v>
      </c>
      <c r="B16" s="52">
        <v>0</v>
      </c>
      <c r="C16" s="52">
        <v>54</v>
      </c>
      <c r="D16" s="53">
        <v>0.012</v>
      </c>
      <c r="E16" s="52">
        <v>700</v>
      </c>
      <c r="F16" s="52">
        <v>0</v>
      </c>
      <c r="G16" s="52">
        <v>21</v>
      </c>
      <c r="H16" s="53">
        <v>0.03</v>
      </c>
      <c r="I16" s="52">
        <v>0</v>
      </c>
      <c r="J16" s="52">
        <v>21</v>
      </c>
      <c r="K16" s="52">
        <v>2109</v>
      </c>
      <c r="L16" s="52">
        <v>70</v>
      </c>
      <c r="M16" s="52">
        <v>1476</v>
      </c>
      <c r="N16" s="53">
        <v>0.699</v>
      </c>
      <c r="O16" s="52">
        <v>0</v>
      </c>
      <c r="P16" s="52">
        <v>2111</v>
      </c>
    </row>
    <row r="17" ht="14.75" spans="1:16">
      <c r="A17" s="51">
        <v>11000</v>
      </c>
      <c r="B17" s="52">
        <v>90</v>
      </c>
      <c r="C17" s="52">
        <v>4993</v>
      </c>
      <c r="D17" s="53">
        <v>0.454</v>
      </c>
      <c r="E17" s="52">
        <v>4200</v>
      </c>
      <c r="F17" s="52">
        <v>0</v>
      </c>
      <c r="G17" s="52">
        <v>2528</v>
      </c>
      <c r="H17" s="53">
        <v>0.602</v>
      </c>
      <c r="I17" s="52">
        <v>2153</v>
      </c>
      <c r="J17" s="52">
        <v>2528</v>
      </c>
      <c r="K17" s="52">
        <v>3981</v>
      </c>
      <c r="L17" s="52">
        <v>70</v>
      </c>
      <c r="M17" s="52">
        <v>2598</v>
      </c>
      <c r="N17" s="53">
        <v>0.653</v>
      </c>
      <c r="O17" s="52">
        <v>0</v>
      </c>
      <c r="P17" s="52">
        <v>5812</v>
      </c>
    </row>
    <row r="18" ht="14.75" spans="1:16">
      <c r="A18" s="51">
        <v>100000</v>
      </c>
      <c r="B18" s="52">
        <v>90</v>
      </c>
      <c r="C18" s="52">
        <v>51573</v>
      </c>
      <c r="D18" s="53">
        <v>0.516</v>
      </c>
      <c r="E18" s="52">
        <v>50000</v>
      </c>
      <c r="F18" s="52">
        <v>48</v>
      </c>
      <c r="G18" s="52">
        <v>37885</v>
      </c>
      <c r="H18" s="53">
        <v>0.758</v>
      </c>
      <c r="I18" s="52">
        <v>5860</v>
      </c>
      <c r="J18" s="52">
        <v>37885</v>
      </c>
      <c r="K18" s="52">
        <v>15772</v>
      </c>
      <c r="L18" s="52">
        <v>295</v>
      </c>
      <c r="M18" s="52">
        <v>9961</v>
      </c>
      <c r="N18" s="53">
        <v>0.632</v>
      </c>
      <c r="O18" s="52">
        <v>0</v>
      </c>
      <c r="P18" s="52">
        <v>56802</v>
      </c>
    </row>
    <row r="19" ht="14.75" spans="1:16">
      <c r="A19" s="79">
        <v>25000</v>
      </c>
      <c r="B19" s="80">
        <v>2004</v>
      </c>
      <c r="C19" s="80">
        <v>25407</v>
      </c>
      <c r="D19" s="81">
        <v>1.016</v>
      </c>
      <c r="E19" s="80">
        <v>20000</v>
      </c>
      <c r="F19" s="80">
        <v>2845</v>
      </c>
      <c r="G19" s="80">
        <v>16377</v>
      </c>
      <c r="H19" s="81">
        <v>0.819</v>
      </c>
      <c r="I19" s="80">
        <v>17837</v>
      </c>
      <c r="J19" s="80">
        <v>34214</v>
      </c>
      <c r="K19" s="80">
        <v>0</v>
      </c>
      <c r="L19" s="80">
        <v>0</v>
      </c>
      <c r="M19" s="80">
        <v>0</v>
      </c>
      <c r="N19" s="80">
        <v>0</v>
      </c>
      <c r="O19" s="80">
        <v>0</v>
      </c>
      <c r="P19" s="80">
        <v>13694</v>
      </c>
    </row>
    <row r="20" ht="14.75" spans="1:16">
      <c r="A20" s="82">
        <v>1000</v>
      </c>
      <c r="B20" s="83">
        <v>0</v>
      </c>
      <c r="C20" s="83">
        <v>77</v>
      </c>
      <c r="D20" s="84">
        <v>0.08</v>
      </c>
      <c r="E20" s="83">
        <v>3000</v>
      </c>
      <c r="F20" s="83">
        <v>0</v>
      </c>
      <c r="G20" s="83">
        <v>3583</v>
      </c>
      <c r="H20" s="84">
        <v>1.19</v>
      </c>
      <c r="I20" s="83" t="s">
        <v>395</v>
      </c>
      <c r="J20" s="83">
        <v>3583</v>
      </c>
      <c r="K20" s="83" t="s">
        <v>395</v>
      </c>
      <c r="L20" s="83" t="s">
        <v>395</v>
      </c>
      <c r="M20" s="83" t="s">
        <v>395</v>
      </c>
      <c r="N20" s="83" t="s">
        <v>395</v>
      </c>
      <c r="O20" s="83">
        <v>0</v>
      </c>
      <c r="P20" s="83">
        <v>2403</v>
      </c>
    </row>
    <row r="21" ht="14.75" spans="1:16">
      <c r="A21" s="82">
        <v>9000</v>
      </c>
      <c r="B21" s="83">
        <v>0</v>
      </c>
      <c r="C21" s="83">
        <v>9325</v>
      </c>
      <c r="D21" s="84">
        <v>1.04</v>
      </c>
      <c r="E21" s="83">
        <v>2000</v>
      </c>
      <c r="F21" s="83">
        <v>0</v>
      </c>
      <c r="G21" s="83">
        <v>1343</v>
      </c>
      <c r="H21" s="84">
        <v>0.67</v>
      </c>
      <c r="I21" s="83" t="s">
        <v>395</v>
      </c>
      <c r="J21" s="83">
        <v>1343</v>
      </c>
      <c r="K21" s="83" t="s">
        <v>395</v>
      </c>
      <c r="L21" s="83" t="s">
        <v>395</v>
      </c>
      <c r="M21" s="83" t="s">
        <v>395</v>
      </c>
      <c r="N21" s="83" t="s">
        <v>395</v>
      </c>
      <c r="O21" s="83">
        <v>0</v>
      </c>
      <c r="P21" s="83">
        <v>1289</v>
      </c>
    </row>
    <row r="22" ht="14.75" spans="1:16">
      <c r="A22" s="82">
        <v>5000</v>
      </c>
      <c r="B22" s="83">
        <v>0</v>
      </c>
      <c r="C22" s="83">
        <v>3591</v>
      </c>
      <c r="D22" s="84">
        <v>0.72</v>
      </c>
      <c r="E22" s="83">
        <v>6000</v>
      </c>
      <c r="F22" s="83">
        <v>0</v>
      </c>
      <c r="G22" s="83">
        <v>6805</v>
      </c>
      <c r="H22" s="84">
        <v>1.13</v>
      </c>
      <c r="I22" s="83">
        <v>222</v>
      </c>
      <c r="J22" s="83">
        <v>6805</v>
      </c>
      <c r="K22" s="83">
        <v>497</v>
      </c>
      <c r="L22" s="83" t="s">
        <v>395</v>
      </c>
      <c r="M22" s="83">
        <v>415</v>
      </c>
      <c r="N22" s="84">
        <v>0.82</v>
      </c>
      <c r="O22" s="83">
        <v>0</v>
      </c>
      <c r="P22" s="83">
        <v>6030</v>
      </c>
    </row>
    <row r="23" ht="14.75" spans="1:16">
      <c r="A23" s="82">
        <v>3500</v>
      </c>
      <c r="B23" s="83">
        <v>0</v>
      </c>
      <c r="C23" s="83">
        <v>1015</v>
      </c>
      <c r="D23" s="84">
        <v>0.29</v>
      </c>
      <c r="E23" s="83">
        <v>2500</v>
      </c>
      <c r="F23" s="83">
        <v>0</v>
      </c>
      <c r="G23" s="83">
        <v>921</v>
      </c>
      <c r="H23" s="84">
        <v>0.36</v>
      </c>
      <c r="I23" s="83" t="s">
        <v>395</v>
      </c>
      <c r="J23" s="83">
        <v>921</v>
      </c>
      <c r="K23" s="83" t="s">
        <v>395</v>
      </c>
      <c r="L23" s="83" t="s">
        <v>395</v>
      </c>
      <c r="M23" s="83" t="s">
        <v>395</v>
      </c>
      <c r="N23" s="83" t="s">
        <v>395</v>
      </c>
      <c r="O23" s="83">
        <v>0</v>
      </c>
      <c r="P23" s="83">
        <v>2320</v>
      </c>
    </row>
    <row r="24" ht="14.75" spans="1:16">
      <c r="A24" s="51">
        <v>18500</v>
      </c>
      <c r="B24" s="52">
        <v>0</v>
      </c>
      <c r="C24" s="52">
        <v>14008</v>
      </c>
      <c r="D24" s="85">
        <v>0.76</v>
      </c>
      <c r="E24" s="52">
        <v>13500</v>
      </c>
      <c r="F24" s="52">
        <v>0</v>
      </c>
      <c r="G24" s="52">
        <v>12652</v>
      </c>
      <c r="H24" s="85">
        <v>0.94</v>
      </c>
      <c r="I24" s="52">
        <v>222</v>
      </c>
      <c r="J24" s="52">
        <v>12652</v>
      </c>
      <c r="K24" s="52">
        <v>497</v>
      </c>
      <c r="L24" s="52" t="s">
        <v>395</v>
      </c>
      <c r="M24" s="52">
        <v>415</v>
      </c>
      <c r="N24" s="85">
        <v>0.82</v>
      </c>
      <c r="O24" s="52">
        <v>0</v>
      </c>
      <c r="P24" s="52">
        <v>12042</v>
      </c>
    </row>
    <row r="25" ht="14.75" spans="1:16">
      <c r="A25" s="51">
        <v>8312</v>
      </c>
      <c r="B25" s="52">
        <v>0</v>
      </c>
      <c r="C25" s="52">
        <v>53</v>
      </c>
      <c r="D25" s="53">
        <v>0.006</v>
      </c>
      <c r="E25" s="52">
        <v>5800</v>
      </c>
      <c r="F25" s="52">
        <v>0</v>
      </c>
      <c r="G25" s="52">
        <v>0</v>
      </c>
      <c r="H25" s="53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85">
        <v>0</v>
      </c>
      <c r="O25" s="52">
        <v>0</v>
      </c>
      <c r="P25" s="52">
        <v>26</v>
      </c>
    </row>
    <row r="26" ht="14.75" spans="1:16">
      <c r="A26" s="51">
        <v>5000</v>
      </c>
      <c r="B26" s="52">
        <v>0</v>
      </c>
      <c r="C26" s="52">
        <v>0</v>
      </c>
      <c r="D26" s="85">
        <v>0</v>
      </c>
      <c r="E26" s="52">
        <v>0</v>
      </c>
      <c r="F26" s="52">
        <v>0</v>
      </c>
      <c r="G26" s="52">
        <v>0</v>
      </c>
      <c r="H26" s="85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</row>
    <row r="27" ht="14.75" spans="1:16">
      <c r="A27" s="51">
        <v>3800</v>
      </c>
      <c r="B27" s="52">
        <v>0</v>
      </c>
      <c r="C27" s="52">
        <v>2283</v>
      </c>
      <c r="D27" s="53">
        <v>0.601</v>
      </c>
      <c r="E27" s="52">
        <v>2000</v>
      </c>
      <c r="F27" s="52">
        <v>0</v>
      </c>
      <c r="G27" s="52">
        <v>1964</v>
      </c>
      <c r="H27" s="53">
        <v>0.982</v>
      </c>
      <c r="I27" s="52">
        <v>1964</v>
      </c>
      <c r="J27" s="52">
        <v>1964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1925</v>
      </c>
    </row>
    <row r="28" ht="14.75" spans="1:16">
      <c r="A28" s="51">
        <v>8800</v>
      </c>
      <c r="B28" s="52">
        <v>0</v>
      </c>
      <c r="C28" s="52">
        <v>2283</v>
      </c>
      <c r="D28" s="53">
        <v>0.259</v>
      </c>
      <c r="E28" s="52">
        <v>2000</v>
      </c>
      <c r="F28" s="52">
        <v>0</v>
      </c>
      <c r="G28" s="52">
        <v>1964</v>
      </c>
      <c r="H28" s="53">
        <v>0.982</v>
      </c>
      <c r="I28" s="52">
        <v>1964</v>
      </c>
      <c r="J28" s="52">
        <v>1964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1925</v>
      </c>
    </row>
    <row r="30" spans="1:16">
      <c r="A30" s="77">
        <f>SUM(A18,A19,A24,A25,A28)</f>
        <v>160612</v>
      </c>
      <c r="B30" s="77">
        <f>SUM(B18,B19,B24,B25,B28)</f>
        <v>2094</v>
      </c>
      <c r="C30" s="77">
        <f>SUM(C18,C19,C24,C25,C28)</f>
        <v>93324</v>
      </c>
      <c r="D30" s="78">
        <f>C30/A30</f>
        <v>0.581052474285857</v>
      </c>
      <c r="E30" s="77">
        <f>SUM(E18,E19,E24,E25,E28)</f>
        <v>91300</v>
      </c>
      <c r="F30" s="77">
        <f>SUM(F18,F19,F24,F25,F28)</f>
        <v>2893</v>
      </c>
      <c r="G30" s="77">
        <f>SUM(G18,G19,G24,G25,G28)</f>
        <v>68878</v>
      </c>
      <c r="H30" s="78">
        <f>G30/E30</f>
        <v>0.754414019715224</v>
      </c>
      <c r="I30" s="77">
        <f>SUM(I18,I19,I24,I25,I28)</f>
        <v>25883</v>
      </c>
      <c r="J30" s="77">
        <f>SUM(J18,J19,J24,J25,J28)</f>
        <v>86715</v>
      </c>
      <c r="K30" s="77">
        <f>SUM(K18,K19,K24,K25,K28)</f>
        <v>16269</v>
      </c>
      <c r="L30" s="77">
        <f>SUM(L18,L19,L24,L25,L28)</f>
        <v>295</v>
      </c>
      <c r="M30" s="77">
        <f>SUM(M18,M19,M24,M25,M28)</f>
        <v>10376</v>
      </c>
      <c r="N30" s="78">
        <f>M30/K30</f>
        <v>0.637777368000492</v>
      </c>
      <c r="O30" s="77">
        <f>SUM(O18,O19,O24,O25,O28)</f>
        <v>0</v>
      </c>
      <c r="P30" s="77">
        <f>SUM(P18,P19,P24,P25,P28)</f>
        <v>84489</v>
      </c>
    </row>
  </sheetData>
  <pageMargins left="0.75" right="0.75" top="1" bottom="1" header="0.5" footer="0.5"/>
  <pageSetup paperSize="9" orientation="portrait"/>
  <headerFooter/>
  <ignoredErrors>
    <ignoredError sqref="D30 H30 N3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opLeftCell="A42" workbookViewId="0">
      <selection activeCell="H85" sqref="H85"/>
    </sheetView>
  </sheetViews>
  <sheetFormatPr defaultColWidth="8.72727272727273" defaultRowHeight="14"/>
  <cols>
    <col min="6" max="6" width="9.81818181818182"/>
    <col min="7" max="7" width="13.5454545454545"/>
  </cols>
  <sheetData>
    <row r="1" ht="14.75" spans="1:16">
      <c r="A1" s="33">
        <v>25000</v>
      </c>
      <c r="B1" s="33">
        <v>2004.37</v>
      </c>
      <c r="C1" s="33">
        <v>25407.32</v>
      </c>
      <c r="D1" s="34">
        <f>C1/A1</f>
        <v>1.0162928</v>
      </c>
      <c r="E1" s="33">
        <v>20000</v>
      </c>
      <c r="F1" s="33">
        <v>2845.28</v>
      </c>
      <c r="G1" s="33">
        <v>16376.6</v>
      </c>
      <c r="H1" s="34">
        <f>G1/E1</f>
        <v>0.81883</v>
      </c>
      <c r="I1" s="33">
        <v>17837.45</v>
      </c>
      <c r="J1" s="33">
        <v>34214.05</v>
      </c>
      <c r="K1" s="35">
        <v>0</v>
      </c>
      <c r="L1" s="35">
        <v>0</v>
      </c>
      <c r="M1" s="35">
        <v>0</v>
      </c>
      <c r="N1" s="35">
        <v>0</v>
      </c>
      <c r="O1" s="35">
        <v>0</v>
      </c>
      <c r="P1" s="33">
        <v>13693.91</v>
      </c>
    </row>
    <row r="2" ht="14.75"/>
    <row r="3" ht="14.75" spans="1:16">
      <c r="A3" s="36">
        <v>1000</v>
      </c>
      <c r="B3" s="37">
        <v>0</v>
      </c>
      <c r="C3" s="37">
        <v>77</v>
      </c>
      <c r="D3" s="34">
        <f>C3/A3</f>
        <v>0.077</v>
      </c>
      <c r="E3" s="37">
        <v>3000</v>
      </c>
      <c r="F3" s="37">
        <v>0</v>
      </c>
      <c r="G3" s="37">
        <v>3583</v>
      </c>
      <c r="H3" s="34">
        <f>G3/E3</f>
        <v>1.19433333333333</v>
      </c>
      <c r="I3" s="37" t="s">
        <v>395</v>
      </c>
      <c r="J3" s="37">
        <v>3583</v>
      </c>
      <c r="K3" s="37" t="s">
        <v>395</v>
      </c>
      <c r="L3" s="37" t="s">
        <v>395</v>
      </c>
      <c r="M3" s="37" t="s">
        <v>395</v>
      </c>
      <c r="N3" s="37" t="s">
        <v>395</v>
      </c>
      <c r="O3" s="37">
        <v>0</v>
      </c>
      <c r="P3" s="37">
        <v>2403</v>
      </c>
    </row>
    <row r="4" ht="14.75" spans="1:16">
      <c r="A4" s="38">
        <v>9000</v>
      </c>
      <c r="B4" s="39">
        <v>0</v>
      </c>
      <c r="C4" s="39">
        <v>9325</v>
      </c>
      <c r="D4" s="34">
        <f>C4/A4</f>
        <v>1.03611111111111</v>
      </c>
      <c r="E4" s="39">
        <v>2000</v>
      </c>
      <c r="F4" s="39">
        <v>48</v>
      </c>
      <c r="G4" s="39">
        <v>1343</v>
      </c>
      <c r="H4" s="34">
        <f>G4/E4</f>
        <v>0.6715</v>
      </c>
      <c r="I4" s="39" t="s">
        <v>395</v>
      </c>
      <c r="J4" s="39">
        <v>1343</v>
      </c>
      <c r="K4" s="39" t="s">
        <v>395</v>
      </c>
      <c r="L4" s="39" t="s">
        <v>395</v>
      </c>
      <c r="M4" s="39" t="s">
        <v>395</v>
      </c>
      <c r="N4" s="39" t="s">
        <v>395</v>
      </c>
      <c r="O4" s="39">
        <v>0</v>
      </c>
      <c r="P4" s="39">
        <v>1289</v>
      </c>
    </row>
    <row r="5" ht="14.75" spans="1:16">
      <c r="A5" s="38">
        <v>5000</v>
      </c>
      <c r="B5" s="39">
        <v>0</v>
      </c>
      <c r="C5" s="39">
        <v>3591</v>
      </c>
      <c r="D5" s="34">
        <f>C5/A5</f>
        <v>0.7182</v>
      </c>
      <c r="E5" s="39">
        <v>6000</v>
      </c>
      <c r="F5" s="39">
        <v>0</v>
      </c>
      <c r="G5" s="39">
        <v>6805</v>
      </c>
      <c r="H5" s="34">
        <f>G5/E5</f>
        <v>1.13416666666667</v>
      </c>
      <c r="I5" s="39">
        <v>222</v>
      </c>
      <c r="J5" s="39">
        <v>6805</v>
      </c>
      <c r="K5" s="39">
        <v>497</v>
      </c>
      <c r="L5" s="39" t="s">
        <v>395</v>
      </c>
      <c r="M5" s="39">
        <v>415</v>
      </c>
      <c r="N5" s="34">
        <f>M5/K5</f>
        <v>0.835010060362173</v>
      </c>
      <c r="O5" s="39">
        <v>0</v>
      </c>
      <c r="P5" s="39">
        <v>6030</v>
      </c>
    </row>
    <row r="6" ht="14.75" spans="1:16">
      <c r="A6" s="38">
        <v>3500</v>
      </c>
      <c r="B6" s="39">
        <v>0</v>
      </c>
      <c r="C6" s="39">
        <v>1015</v>
      </c>
      <c r="D6" s="34">
        <f>C6/A6</f>
        <v>0.29</v>
      </c>
      <c r="E6" s="39">
        <v>2500</v>
      </c>
      <c r="F6" s="39">
        <v>0</v>
      </c>
      <c r="G6" s="39">
        <v>921</v>
      </c>
      <c r="H6" s="34">
        <f>G6/E6</f>
        <v>0.3684</v>
      </c>
      <c r="I6" s="39" t="s">
        <v>395</v>
      </c>
      <c r="J6" s="39">
        <v>921</v>
      </c>
      <c r="K6" s="39" t="s">
        <v>395</v>
      </c>
      <c r="L6" s="39" t="s">
        <v>395</v>
      </c>
      <c r="M6" s="39" t="s">
        <v>395</v>
      </c>
      <c r="N6" s="39" t="s">
        <v>395</v>
      </c>
      <c r="O6" s="39">
        <v>200</v>
      </c>
      <c r="P6" s="39">
        <v>2320</v>
      </c>
    </row>
    <row r="7" ht="14.75" spans="1:16">
      <c r="A7" s="40">
        <v>18500</v>
      </c>
      <c r="B7" s="41">
        <v>0</v>
      </c>
      <c r="C7" s="41">
        <v>14008</v>
      </c>
      <c r="D7" s="34">
        <f>C7/A7</f>
        <v>0.757189189189189</v>
      </c>
      <c r="E7" s="41">
        <v>13500</v>
      </c>
      <c r="F7" s="41">
        <v>48</v>
      </c>
      <c r="G7" s="41">
        <v>12652</v>
      </c>
      <c r="H7" s="34">
        <f>G7/E7</f>
        <v>0.937185185185185</v>
      </c>
      <c r="I7" s="41">
        <v>222</v>
      </c>
      <c r="J7" s="41">
        <v>12652</v>
      </c>
      <c r="K7" s="41">
        <v>497</v>
      </c>
      <c r="L7" s="41" t="s">
        <v>395</v>
      </c>
      <c r="M7" s="41">
        <v>415</v>
      </c>
      <c r="N7" s="42">
        <v>0.82</v>
      </c>
      <c r="O7" s="41">
        <v>200</v>
      </c>
      <c r="P7" s="41">
        <v>12042</v>
      </c>
    </row>
    <row r="8" ht="14.75"/>
    <row r="9" ht="14.75" spans="1:16">
      <c r="A9" s="43">
        <v>22500</v>
      </c>
      <c r="B9" s="44">
        <v>106</v>
      </c>
      <c r="C9" s="44">
        <v>990</v>
      </c>
      <c r="D9" s="45">
        <v>0.044</v>
      </c>
      <c r="E9" s="44">
        <v>8700</v>
      </c>
      <c r="F9" s="44">
        <v>0</v>
      </c>
      <c r="G9" s="44">
        <v>10044</v>
      </c>
      <c r="H9" s="45">
        <v>1.154</v>
      </c>
      <c r="I9" s="44">
        <v>458</v>
      </c>
      <c r="J9" s="44">
        <v>10013</v>
      </c>
      <c r="K9" s="44">
        <v>7609</v>
      </c>
      <c r="L9" s="44">
        <v>0</v>
      </c>
      <c r="M9" s="44">
        <v>4912</v>
      </c>
      <c r="N9" s="45">
        <v>0.645</v>
      </c>
      <c r="O9" s="44">
        <v>0</v>
      </c>
      <c r="P9" s="44">
        <v>16846</v>
      </c>
    </row>
    <row r="10" ht="14.75" spans="1:16">
      <c r="A10" s="46">
        <v>22500</v>
      </c>
      <c r="B10" s="47">
        <v>0</v>
      </c>
      <c r="C10" s="47">
        <v>13180</v>
      </c>
      <c r="D10" s="48">
        <v>0.586</v>
      </c>
      <c r="E10" s="47">
        <v>8700</v>
      </c>
      <c r="F10" s="47">
        <v>0</v>
      </c>
      <c r="G10" s="47">
        <v>2631</v>
      </c>
      <c r="H10" s="48">
        <v>0.302</v>
      </c>
      <c r="I10" s="47">
        <v>974</v>
      </c>
      <c r="J10" s="47">
        <v>1277</v>
      </c>
      <c r="K10" s="47">
        <v>833</v>
      </c>
      <c r="L10" s="47">
        <v>0</v>
      </c>
      <c r="M10" s="47">
        <v>449</v>
      </c>
      <c r="N10" s="48">
        <v>0.539</v>
      </c>
      <c r="O10" s="47">
        <v>0</v>
      </c>
      <c r="P10" s="47">
        <v>14085</v>
      </c>
    </row>
    <row r="11" ht="14.75" spans="1:16">
      <c r="A11" s="46">
        <v>45000</v>
      </c>
      <c r="B11" s="49">
        <v>106</v>
      </c>
      <c r="C11" s="49">
        <v>14170</v>
      </c>
      <c r="D11" s="48">
        <v>0.315</v>
      </c>
      <c r="E11" s="49">
        <v>17400</v>
      </c>
      <c r="F11" s="49">
        <v>0</v>
      </c>
      <c r="G11" s="49">
        <v>12674</v>
      </c>
      <c r="H11" s="48">
        <v>0.728</v>
      </c>
      <c r="I11" s="49">
        <v>1432</v>
      </c>
      <c r="J11" s="49">
        <v>11290</v>
      </c>
      <c r="K11" s="49">
        <v>8442</v>
      </c>
      <c r="L11" s="49">
        <v>0</v>
      </c>
      <c r="M11" s="49">
        <v>5360</v>
      </c>
      <c r="N11" s="48">
        <v>0.635</v>
      </c>
      <c r="O11" s="49">
        <v>0</v>
      </c>
      <c r="P11" s="50">
        <v>30931</v>
      </c>
    </row>
    <row r="12" ht="14.75" spans="1:16">
      <c r="A12" s="51">
        <v>18500</v>
      </c>
      <c r="B12" s="52">
        <v>0</v>
      </c>
      <c r="C12" s="52">
        <v>17208</v>
      </c>
      <c r="D12" s="53">
        <v>0.93</v>
      </c>
      <c r="E12" s="52">
        <v>16500</v>
      </c>
      <c r="F12" s="52">
        <v>0</v>
      </c>
      <c r="G12" s="52">
        <v>16122</v>
      </c>
      <c r="H12" s="53">
        <v>0.977</v>
      </c>
      <c r="I12" s="52">
        <v>147</v>
      </c>
      <c r="J12" s="52">
        <v>15924</v>
      </c>
      <c r="K12" s="52">
        <v>897</v>
      </c>
      <c r="L12" s="52">
        <v>0</v>
      </c>
      <c r="M12" s="52">
        <v>79</v>
      </c>
      <c r="N12" s="53">
        <v>0.089</v>
      </c>
      <c r="O12" s="52">
        <v>0</v>
      </c>
      <c r="P12" s="52">
        <v>8705</v>
      </c>
    </row>
    <row r="13" ht="14.75" spans="1:16">
      <c r="A13" s="51">
        <v>12500</v>
      </c>
      <c r="B13" s="52">
        <v>0</v>
      </c>
      <c r="C13" s="52">
        <v>11388</v>
      </c>
      <c r="D13" s="53">
        <v>0.911</v>
      </c>
      <c r="E13" s="52">
        <v>5000</v>
      </c>
      <c r="F13" s="52">
        <v>0</v>
      </c>
      <c r="G13" s="52">
        <v>2273</v>
      </c>
      <c r="H13" s="53">
        <v>0.455</v>
      </c>
      <c r="I13" s="52">
        <v>196</v>
      </c>
      <c r="J13" s="52">
        <v>2188</v>
      </c>
      <c r="K13" s="52">
        <v>249</v>
      </c>
      <c r="L13" s="52">
        <v>0</v>
      </c>
      <c r="M13" s="52">
        <v>22</v>
      </c>
      <c r="N13" s="53">
        <v>0.089</v>
      </c>
      <c r="O13" s="52">
        <v>0</v>
      </c>
      <c r="P13" s="52">
        <v>1579</v>
      </c>
    </row>
    <row r="14" ht="14.75" spans="1:16">
      <c r="A14" s="51">
        <v>31000</v>
      </c>
      <c r="B14" s="50">
        <v>0</v>
      </c>
      <c r="C14" s="50">
        <v>28596</v>
      </c>
      <c r="D14" s="53">
        <v>0.922</v>
      </c>
      <c r="E14" s="50">
        <v>21500</v>
      </c>
      <c r="F14" s="50">
        <v>0</v>
      </c>
      <c r="G14" s="50">
        <v>18395</v>
      </c>
      <c r="H14" s="53">
        <v>0.856</v>
      </c>
      <c r="I14" s="50">
        <v>343</v>
      </c>
      <c r="J14" s="50">
        <v>18112</v>
      </c>
      <c r="K14" s="50">
        <v>1146</v>
      </c>
      <c r="L14" s="52">
        <v>0</v>
      </c>
      <c r="M14" s="52">
        <v>102</v>
      </c>
      <c r="N14" s="53">
        <v>0.089</v>
      </c>
      <c r="O14" s="52">
        <v>0</v>
      </c>
      <c r="P14" s="52">
        <v>10284</v>
      </c>
    </row>
    <row r="15" ht="14.75" spans="1:16">
      <c r="A15" s="51">
        <v>5500</v>
      </c>
      <c r="B15" s="52">
        <v>0</v>
      </c>
      <c r="C15" s="52">
        <v>2455</v>
      </c>
      <c r="D15" s="53">
        <v>0.446</v>
      </c>
      <c r="E15" s="52">
        <v>3000</v>
      </c>
      <c r="F15" s="52">
        <v>0</v>
      </c>
      <c r="G15" s="52">
        <v>2153</v>
      </c>
      <c r="H15" s="53">
        <v>0.718</v>
      </c>
      <c r="I15" s="52">
        <v>1883</v>
      </c>
      <c r="J15" s="52">
        <v>2153</v>
      </c>
      <c r="K15" s="52">
        <v>1456</v>
      </c>
      <c r="L15" s="52">
        <v>0</v>
      </c>
      <c r="M15" s="52">
        <v>1076</v>
      </c>
      <c r="N15" s="53">
        <v>0.739</v>
      </c>
      <c r="O15" s="52">
        <v>0</v>
      </c>
      <c r="P15" s="52">
        <v>2850</v>
      </c>
    </row>
    <row r="16" ht="14.75" spans="1:16">
      <c r="A16" s="51">
        <v>7500</v>
      </c>
      <c r="B16" s="52">
        <v>0</v>
      </c>
      <c r="C16" s="52">
        <v>1359</v>
      </c>
      <c r="D16" s="53">
        <v>0.181</v>
      </c>
      <c r="E16" s="52">
        <v>3900</v>
      </c>
      <c r="F16" s="52">
        <v>0</v>
      </c>
      <c r="G16" s="52">
        <v>2086</v>
      </c>
      <c r="H16" s="53">
        <v>0.535</v>
      </c>
      <c r="I16" s="52">
        <v>158</v>
      </c>
      <c r="J16" s="52">
        <v>2086</v>
      </c>
      <c r="K16" s="52">
        <v>746</v>
      </c>
      <c r="L16" s="52">
        <v>0</v>
      </c>
      <c r="M16" s="52">
        <v>566</v>
      </c>
      <c r="N16" s="53">
        <v>0.758</v>
      </c>
      <c r="O16" s="52">
        <v>0</v>
      </c>
      <c r="P16" s="52">
        <v>1651</v>
      </c>
    </row>
    <row r="17" ht="14.75" spans="1:16">
      <c r="A17" s="51">
        <v>13000</v>
      </c>
      <c r="B17" s="50">
        <v>0</v>
      </c>
      <c r="C17" s="50">
        <v>3814</v>
      </c>
      <c r="D17" s="53">
        <v>0.293</v>
      </c>
      <c r="E17" s="50">
        <v>6900</v>
      </c>
      <c r="F17" s="50">
        <v>0</v>
      </c>
      <c r="G17" s="50">
        <v>4240</v>
      </c>
      <c r="H17" s="52" t="s">
        <v>218</v>
      </c>
      <c r="I17" s="52">
        <v>1932</v>
      </c>
      <c r="J17" s="50">
        <v>4240</v>
      </c>
      <c r="K17" s="52">
        <v>2202</v>
      </c>
      <c r="L17" s="52">
        <v>0</v>
      </c>
      <c r="M17" s="52">
        <v>1641</v>
      </c>
      <c r="N17" s="53">
        <v>0.745</v>
      </c>
      <c r="O17" s="52">
        <v>0</v>
      </c>
      <c r="P17" s="50">
        <v>4500</v>
      </c>
    </row>
    <row r="18" ht="14.75" spans="1:16">
      <c r="A18" s="51">
        <v>6500</v>
      </c>
      <c r="B18" s="52">
        <v>841</v>
      </c>
      <c r="C18" s="52">
        <v>4849</v>
      </c>
      <c r="D18" s="53">
        <v>0.746</v>
      </c>
      <c r="E18" s="52">
        <v>3500</v>
      </c>
      <c r="F18" s="52">
        <v>0</v>
      </c>
      <c r="G18" s="52">
        <v>2507</v>
      </c>
      <c r="H18" s="53">
        <v>0.716</v>
      </c>
      <c r="I18" s="52">
        <v>2507</v>
      </c>
      <c r="J18" s="52">
        <v>2507</v>
      </c>
      <c r="K18" s="52">
        <v>1871</v>
      </c>
      <c r="L18" s="52">
        <v>0</v>
      </c>
      <c r="M18" s="52">
        <v>1122</v>
      </c>
      <c r="N18" s="53">
        <v>0.6</v>
      </c>
      <c r="O18" s="52">
        <v>0</v>
      </c>
      <c r="P18" s="52">
        <v>3701</v>
      </c>
    </row>
    <row r="19" ht="14.75" spans="1:16">
      <c r="A19" s="51">
        <v>4500</v>
      </c>
      <c r="B19" s="52">
        <v>0</v>
      </c>
      <c r="C19" s="52">
        <v>54</v>
      </c>
      <c r="D19" s="53">
        <v>0.012</v>
      </c>
      <c r="E19" s="52">
        <v>700</v>
      </c>
      <c r="F19" s="52">
        <v>0</v>
      </c>
      <c r="G19" s="52">
        <v>21</v>
      </c>
      <c r="H19" s="53">
        <v>0.03</v>
      </c>
      <c r="I19" s="52">
        <v>0</v>
      </c>
      <c r="J19" s="52">
        <v>279</v>
      </c>
      <c r="K19" s="52">
        <v>2109</v>
      </c>
      <c r="L19" s="52">
        <v>78</v>
      </c>
      <c r="M19" s="52">
        <v>1406</v>
      </c>
      <c r="N19" s="53">
        <v>0.666</v>
      </c>
      <c r="O19" s="52">
        <v>0</v>
      </c>
      <c r="P19" s="52">
        <v>2041</v>
      </c>
    </row>
    <row r="20" ht="14.75" spans="1:16">
      <c r="A20" s="51">
        <v>11000</v>
      </c>
      <c r="B20" s="50">
        <v>841</v>
      </c>
      <c r="C20" s="50">
        <v>4903</v>
      </c>
      <c r="D20" s="53">
        <v>0.446</v>
      </c>
      <c r="E20" s="50">
        <v>4200</v>
      </c>
      <c r="F20" s="50">
        <v>0</v>
      </c>
      <c r="G20" s="52">
        <v>2528</v>
      </c>
      <c r="H20" s="53">
        <v>0.602</v>
      </c>
      <c r="I20" s="52">
        <v>2153</v>
      </c>
      <c r="J20" s="52">
        <v>2786</v>
      </c>
      <c r="K20" s="50">
        <v>3981</v>
      </c>
      <c r="L20" s="50">
        <v>78</v>
      </c>
      <c r="M20" s="52">
        <v>2528</v>
      </c>
      <c r="N20" s="53">
        <v>0.635</v>
      </c>
      <c r="O20" s="50">
        <v>0</v>
      </c>
      <c r="P20" s="52">
        <v>5742</v>
      </c>
    </row>
    <row r="21" ht="14.75" spans="1:16">
      <c r="A21" s="54">
        <v>100000</v>
      </c>
      <c r="B21" s="50">
        <v>947</v>
      </c>
      <c r="C21" s="50">
        <v>51483</v>
      </c>
      <c r="D21" s="53">
        <v>0.515</v>
      </c>
      <c r="E21" s="50">
        <v>50000</v>
      </c>
      <c r="F21" s="50">
        <v>0</v>
      </c>
      <c r="G21" s="50">
        <v>37837</v>
      </c>
      <c r="H21" s="53">
        <v>0.757</v>
      </c>
      <c r="I21" s="50">
        <v>5860</v>
      </c>
      <c r="J21" s="50">
        <v>36428</v>
      </c>
      <c r="K21" s="50">
        <v>15772</v>
      </c>
      <c r="L21" s="50">
        <v>78</v>
      </c>
      <c r="M21" s="50">
        <v>9631</v>
      </c>
      <c r="N21" s="53">
        <v>0.611</v>
      </c>
      <c r="O21" s="50">
        <v>0</v>
      </c>
      <c r="P21" s="50">
        <v>51457</v>
      </c>
    </row>
    <row r="22" ht="14.75" spans="1:16">
      <c r="A22" s="55">
        <v>25000</v>
      </c>
      <c r="B22" s="56">
        <v>2004</v>
      </c>
      <c r="C22" s="56">
        <v>25407</v>
      </c>
      <c r="D22" s="57">
        <v>1.016</v>
      </c>
      <c r="E22" s="56">
        <v>20000</v>
      </c>
      <c r="F22" s="56">
        <v>2845</v>
      </c>
      <c r="G22" s="56">
        <v>16377</v>
      </c>
      <c r="H22" s="57">
        <v>0.819</v>
      </c>
      <c r="I22" s="56">
        <v>17837</v>
      </c>
      <c r="J22" s="56">
        <v>34214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13694</v>
      </c>
    </row>
    <row r="23" ht="14.75" spans="1:16">
      <c r="A23" s="58">
        <v>1000</v>
      </c>
      <c r="B23" s="59">
        <v>0</v>
      </c>
      <c r="C23" s="59">
        <v>77</v>
      </c>
      <c r="D23" s="60">
        <v>0.077</v>
      </c>
      <c r="E23" s="59">
        <v>3000</v>
      </c>
      <c r="F23" s="59">
        <v>0</v>
      </c>
      <c r="G23" s="59">
        <v>3583</v>
      </c>
      <c r="H23" s="60">
        <v>1.194</v>
      </c>
      <c r="I23" s="59" t="s">
        <v>395</v>
      </c>
      <c r="J23" s="59">
        <v>3583</v>
      </c>
      <c r="K23" s="59" t="s">
        <v>395</v>
      </c>
      <c r="L23" s="59" t="s">
        <v>395</v>
      </c>
      <c r="M23" s="59" t="s">
        <v>395</v>
      </c>
      <c r="N23" s="59" t="s">
        <v>395</v>
      </c>
      <c r="O23" s="59">
        <v>0</v>
      </c>
      <c r="P23" s="59">
        <v>2403</v>
      </c>
    </row>
    <row r="24" ht="14.75" spans="1:16">
      <c r="A24" s="58">
        <v>9000</v>
      </c>
      <c r="B24" s="59">
        <v>0</v>
      </c>
      <c r="C24" s="59">
        <v>9325</v>
      </c>
      <c r="D24" s="60">
        <v>1.036</v>
      </c>
      <c r="E24" s="59">
        <v>2000</v>
      </c>
      <c r="F24" s="59">
        <v>48</v>
      </c>
      <c r="G24" s="59">
        <v>1343</v>
      </c>
      <c r="H24" s="60">
        <v>0.672</v>
      </c>
      <c r="I24" s="59" t="s">
        <v>395</v>
      </c>
      <c r="J24" s="59">
        <v>1343</v>
      </c>
      <c r="K24" s="59" t="s">
        <v>395</v>
      </c>
      <c r="L24" s="59" t="s">
        <v>395</v>
      </c>
      <c r="M24" s="59" t="s">
        <v>395</v>
      </c>
      <c r="N24" s="59" t="s">
        <v>395</v>
      </c>
      <c r="O24" s="59">
        <v>0</v>
      </c>
      <c r="P24" s="59">
        <v>1289</v>
      </c>
    </row>
    <row r="25" ht="14.75" spans="1:16">
      <c r="A25" s="58">
        <v>5000</v>
      </c>
      <c r="B25" s="59">
        <v>0</v>
      </c>
      <c r="C25" s="59">
        <v>3591</v>
      </c>
      <c r="D25" s="60">
        <v>0.718</v>
      </c>
      <c r="E25" s="59">
        <v>6000</v>
      </c>
      <c r="F25" s="59">
        <v>0</v>
      </c>
      <c r="G25" s="59">
        <v>6805</v>
      </c>
      <c r="H25" s="60">
        <v>1.134</v>
      </c>
      <c r="I25" s="59">
        <v>222</v>
      </c>
      <c r="J25" s="59">
        <v>6805</v>
      </c>
      <c r="K25" s="59">
        <v>497</v>
      </c>
      <c r="L25" s="59" t="s">
        <v>395</v>
      </c>
      <c r="M25" s="59">
        <v>415</v>
      </c>
      <c r="N25" s="60">
        <v>0.835</v>
      </c>
      <c r="O25" s="59">
        <v>0</v>
      </c>
      <c r="P25" s="59">
        <v>6030</v>
      </c>
    </row>
    <row r="26" ht="14.75" spans="1:16">
      <c r="A26" s="58">
        <v>3500</v>
      </c>
      <c r="B26" s="59">
        <v>0</v>
      </c>
      <c r="C26" s="59">
        <v>1015</v>
      </c>
      <c r="D26" s="60">
        <v>0.29</v>
      </c>
      <c r="E26" s="59">
        <v>2500</v>
      </c>
      <c r="F26" s="59">
        <v>0</v>
      </c>
      <c r="G26" s="59">
        <v>921</v>
      </c>
      <c r="H26" s="60">
        <v>0.368</v>
      </c>
      <c r="I26" s="59" t="s">
        <v>395</v>
      </c>
      <c r="J26" s="59">
        <v>921</v>
      </c>
      <c r="K26" s="59" t="s">
        <v>395</v>
      </c>
      <c r="L26" s="59" t="s">
        <v>395</v>
      </c>
      <c r="M26" s="59" t="s">
        <v>395</v>
      </c>
      <c r="N26" s="59" t="s">
        <v>395</v>
      </c>
      <c r="O26" s="59">
        <v>200</v>
      </c>
      <c r="P26" s="59">
        <v>2320</v>
      </c>
    </row>
    <row r="27" ht="14.75" spans="1:16">
      <c r="A27" s="61">
        <v>18500</v>
      </c>
      <c r="B27" s="62">
        <v>0</v>
      </c>
      <c r="C27" s="62">
        <v>14008</v>
      </c>
      <c r="D27" s="63">
        <v>0.757</v>
      </c>
      <c r="E27" s="62">
        <v>13500</v>
      </c>
      <c r="F27" s="62">
        <v>48</v>
      </c>
      <c r="G27" s="62">
        <v>12652</v>
      </c>
      <c r="H27" s="63">
        <v>0.937</v>
      </c>
      <c r="I27" s="62">
        <v>222</v>
      </c>
      <c r="J27" s="62">
        <v>12652</v>
      </c>
      <c r="K27" s="62">
        <v>497</v>
      </c>
      <c r="L27" s="62" t="s">
        <v>395</v>
      </c>
      <c r="M27" s="62">
        <v>415</v>
      </c>
      <c r="N27" s="64">
        <v>0.82</v>
      </c>
      <c r="O27" s="62">
        <v>200</v>
      </c>
      <c r="P27" s="62">
        <v>12042</v>
      </c>
    </row>
    <row r="28" ht="14.75" spans="1:16">
      <c r="A28" s="65">
        <v>8312</v>
      </c>
      <c r="B28" s="66">
        <v>0</v>
      </c>
      <c r="C28" s="66">
        <v>53</v>
      </c>
      <c r="D28" s="67">
        <v>0.006</v>
      </c>
      <c r="E28" s="66">
        <v>5800</v>
      </c>
      <c r="F28" s="66">
        <v>0</v>
      </c>
      <c r="G28" s="66">
        <v>0</v>
      </c>
      <c r="H28" s="67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8">
        <v>0</v>
      </c>
      <c r="O28" s="66">
        <v>0</v>
      </c>
      <c r="P28" s="66">
        <v>26</v>
      </c>
    </row>
    <row r="29" ht="14.75" spans="1:16">
      <c r="A29" s="69">
        <v>5000</v>
      </c>
      <c r="B29" s="70">
        <v>0</v>
      </c>
      <c r="C29" s="70">
        <v>0</v>
      </c>
      <c r="D29" s="71">
        <v>0</v>
      </c>
      <c r="E29" s="70">
        <v>0</v>
      </c>
      <c r="F29" s="70">
        <v>0</v>
      </c>
      <c r="G29" s="70">
        <v>0</v>
      </c>
      <c r="H29" s="71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</row>
    <row r="30" ht="14.75" spans="1:16">
      <c r="A30" s="69">
        <v>3800</v>
      </c>
      <c r="B30" s="70">
        <v>0</v>
      </c>
      <c r="C30" s="70">
        <v>1501</v>
      </c>
      <c r="D30" s="72">
        <v>0.395</v>
      </c>
      <c r="E30" s="70">
        <v>2000</v>
      </c>
      <c r="F30" s="70">
        <v>0</v>
      </c>
      <c r="G30" s="70">
        <v>1328</v>
      </c>
      <c r="H30" s="72">
        <v>0.664</v>
      </c>
      <c r="I30" s="70">
        <v>1328</v>
      </c>
      <c r="J30" s="70">
        <v>1328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980</v>
      </c>
    </row>
    <row r="31" ht="14.75" spans="1:16">
      <c r="A31" s="65">
        <v>8800</v>
      </c>
      <c r="B31" s="66">
        <v>0</v>
      </c>
      <c r="C31" s="66">
        <v>1501</v>
      </c>
      <c r="D31" s="67">
        <v>0.171</v>
      </c>
      <c r="E31" s="66">
        <v>2000</v>
      </c>
      <c r="F31" s="66">
        <v>0</v>
      </c>
      <c r="G31" s="66">
        <v>1328</v>
      </c>
      <c r="H31" s="67">
        <v>0.664</v>
      </c>
      <c r="I31" s="66">
        <v>1328</v>
      </c>
      <c r="J31" s="66">
        <v>1328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980</v>
      </c>
    </row>
    <row r="32" ht="14.75"/>
    <row r="33" ht="14.75" spans="1:16">
      <c r="A33">
        <f>SUM(A21,A22,A27,A28,A31)</f>
        <v>160612</v>
      </c>
      <c r="B33">
        <f>SUM(B21,B22,B27,B28,B31)</f>
        <v>2951</v>
      </c>
      <c r="C33">
        <f>SUM(C21,C22,C27,C28,C31)</f>
        <v>92452</v>
      </c>
      <c r="D33" s="34">
        <f>C33/A33</f>
        <v>0.575623241102782</v>
      </c>
      <c r="E33">
        <f>SUM(E21,E22,E27,E28,E31)</f>
        <v>91300</v>
      </c>
      <c r="F33">
        <f>SUM(F21,F22,F27,F28,F31)</f>
        <v>2893</v>
      </c>
      <c r="G33">
        <f>SUM(G21,G22,G27,G28,G31)</f>
        <v>68194</v>
      </c>
      <c r="H33" s="34">
        <f>G33/E33</f>
        <v>0.746922234392114</v>
      </c>
      <c r="I33">
        <f>SUM(I21,I22,I27,I28,I31)</f>
        <v>25247</v>
      </c>
      <c r="J33">
        <f>SUM(J21,J22,J27,J28,J31)</f>
        <v>84622</v>
      </c>
      <c r="K33">
        <f>SUM(K21,K22,K27,K28,K31)</f>
        <v>16269</v>
      </c>
      <c r="L33">
        <f>SUM(L21,L22,L27,L28,L31)</f>
        <v>78</v>
      </c>
      <c r="M33">
        <f>SUM(M21,M22,M27,M28,M31)</f>
        <v>10046</v>
      </c>
      <c r="N33" s="34">
        <f>M33/K33</f>
        <v>0.617493392341263</v>
      </c>
      <c r="O33">
        <f>SUM(O21,O22,O27,O28,O31)</f>
        <v>200</v>
      </c>
      <c r="P33">
        <f>SUM(P21,P22,P27,P28,P31)</f>
        <v>78199</v>
      </c>
    </row>
    <row r="38" spans="1:16">
      <c r="A38" t="s">
        <v>26</v>
      </c>
      <c r="B38" t="s">
        <v>27</v>
      </c>
      <c r="C38" t="s">
        <v>28</v>
      </c>
    </row>
    <row r="39" spans="1:16">
      <c r="A39" t="s">
        <v>368</v>
      </c>
      <c r="B39">
        <v>1</v>
      </c>
      <c r="C39">
        <v>525000</v>
      </c>
    </row>
    <row r="40" spans="1:16">
      <c r="A40" t="s">
        <v>367</v>
      </c>
      <c r="B40">
        <v>0.7</v>
      </c>
      <c r="C40">
        <v>245000</v>
      </c>
    </row>
    <row r="41" spans="1:16">
      <c r="A41" t="s">
        <v>368</v>
      </c>
      <c r="B41">
        <v>1</v>
      </c>
      <c r="C41">
        <v>1000000</v>
      </c>
    </row>
    <row r="42" spans="1:16">
      <c r="A42" t="s">
        <v>47</v>
      </c>
      <c r="B42">
        <v>1</v>
      </c>
      <c r="C42">
        <v>780000</v>
      </c>
    </row>
    <row r="43" spans="1:16">
      <c r="A43" t="s">
        <v>42</v>
      </c>
      <c r="B43">
        <v>1</v>
      </c>
      <c r="C43">
        <v>150000</v>
      </c>
    </row>
    <row r="44" spans="1:16">
      <c r="A44" t="s">
        <v>42</v>
      </c>
      <c r="B44">
        <v>1</v>
      </c>
      <c r="C44">
        <v>50320000</v>
      </c>
    </row>
    <row r="45" spans="1:16">
      <c r="A45" t="s">
        <v>66</v>
      </c>
      <c r="B45">
        <v>0.3</v>
      </c>
      <c r="C45">
        <v>105000</v>
      </c>
    </row>
    <row r="49" spans="6:7">
      <c r="F49" t="s">
        <v>26</v>
      </c>
      <c r="G49" t="s">
        <v>364</v>
      </c>
    </row>
    <row r="50" spans="6:7">
      <c r="F50" t="s">
        <v>367</v>
      </c>
      <c r="G50">
        <v>245000</v>
      </c>
    </row>
    <row r="51" spans="6:7">
      <c r="F51" t="s">
        <v>368</v>
      </c>
      <c r="G51">
        <v>1525000</v>
      </c>
    </row>
    <row r="52" spans="6:7">
      <c r="F52" t="s">
        <v>42</v>
      </c>
      <c r="G52">
        <v>50470000</v>
      </c>
    </row>
    <row r="53" spans="6:7">
      <c r="F53" t="s">
        <v>66</v>
      </c>
      <c r="G53">
        <v>105000</v>
      </c>
    </row>
    <row r="54" spans="6:7">
      <c r="F54" t="s">
        <v>47</v>
      </c>
      <c r="G54">
        <v>780000</v>
      </c>
    </row>
    <row r="55" spans="6:7">
      <c r="F55" t="s">
        <v>225</v>
      </c>
      <c r="G55">
        <v>53125000</v>
      </c>
    </row>
  </sheetData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H85" sqref="H85"/>
    </sheetView>
  </sheetViews>
  <sheetFormatPr defaultColWidth="8.72727272727273" defaultRowHeight="14" outlineLevelRow="3"/>
  <cols>
    <col min="1" max="1" width="13.5454545454545"/>
    <col min="2" max="2" width="14"/>
  </cols>
  <sheetData>
    <row r="3" spans="1:1">
      <c r="A3" t="s">
        <v>364</v>
      </c>
    </row>
    <row r="4" spans="1:1">
      <c r="A4">
        <v>69642.43371</v>
      </c>
    </row>
  </sheetData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1"/>
  <sheetViews>
    <sheetView workbookViewId="0">
      <selection activeCell="H85" sqref="H85"/>
    </sheetView>
  </sheetViews>
  <sheetFormatPr defaultColWidth="8.72727272727273" defaultRowHeight="14" outlineLevelCol="1"/>
  <cols>
    <col min="1" max="1" width="9.81818181818182"/>
    <col min="2" max="2" width="14"/>
  </cols>
  <sheetData>
    <row r="3" spans="1:2">
      <c r="A3" t="s">
        <v>26</v>
      </c>
      <c r="B3" t="s">
        <v>364</v>
      </c>
    </row>
    <row r="4" spans="1:2">
      <c r="A4" t="s">
        <v>55</v>
      </c>
      <c r="B4">
        <v>3367</v>
      </c>
    </row>
    <row r="5" spans="1:2">
      <c r="A5" t="s">
        <v>396</v>
      </c>
      <c r="B5">
        <v>1002.68</v>
      </c>
    </row>
    <row r="6" spans="1:2">
      <c r="A6" t="s">
        <v>367</v>
      </c>
      <c r="B6">
        <v>22680</v>
      </c>
    </row>
    <row r="7" spans="1:2">
      <c r="A7" t="s">
        <v>368</v>
      </c>
      <c r="B7">
        <v>4003.72429</v>
      </c>
    </row>
    <row r="8" spans="1:2">
      <c r="A8" t="s">
        <v>65</v>
      </c>
      <c r="B8">
        <v>442.41031</v>
      </c>
    </row>
    <row r="9" spans="1:2">
      <c r="A9" t="s">
        <v>365</v>
      </c>
      <c r="B9">
        <v>578.56311</v>
      </c>
    </row>
    <row r="10" spans="1:2">
      <c r="A10" t="s">
        <v>42</v>
      </c>
      <c r="B10">
        <v>9937.72</v>
      </c>
    </row>
    <row r="11" spans="1:2">
      <c r="A11" t="s">
        <v>369</v>
      </c>
      <c r="B11">
        <v>957.42</v>
      </c>
    </row>
    <row r="12" spans="1:2">
      <c r="A12" t="s">
        <v>120</v>
      </c>
      <c r="B12">
        <v>746.628</v>
      </c>
    </row>
    <row r="13" spans="1:2">
      <c r="A13" t="s">
        <v>66</v>
      </c>
      <c r="B13">
        <v>9720</v>
      </c>
    </row>
    <row r="14" spans="1:2">
      <c r="A14" t="s">
        <v>60</v>
      </c>
      <c r="B14">
        <v>749.978</v>
      </c>
    </row>
    <row r="15" spans="1:2">
      <c r="A15" t="s">
        <v>47</v>
      </c>
      <c r="B15">
        <v>3538.92</v>
      </c>
    </row>
    <row r="16" spans="1:2">
      <c r="A16" t="s">
        <v>397</v>
      </c>
      <c r="B16">
        <v>441</v>
      </c>
    </row>
    <row r="17" spans="1:2">
      <c r="A17" t="s">
        <v>36</v>
      </c>
      <c r="B17">
        <v>4903.402</v>
      </c>
    </row>
    <row r="18" spans="1:2">
      <c r="A18" t="s">
        <v>41</v>
      </c>
      <c r="B18">
        <v>5150.7</v>
      </c>
    </row>
    <row r="19" spans="1:2">
      <c r="A19" t="s">
        <v>54</v>
      </c>
      <c r="B19">
        <v>1422.288</v>
      </c>
    </row>
    <row r="20" spans="1:2">
      <c r="A20" t="s">
        <v>224</v>
      </c>
    </row>
    <row r="21" spans="1:2">
      <c r="A21" t="s">
        <v>225</v>
      </c>
      <c r="B21">
        <v>69642.43371</v>
      </c>
    </row>
  </sheetData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zoomScale="70" zoomScaleNormal="70" workbookViewId="0">
      <pane ySplit="3" topLeftCell="A4" activePane="bottomLeft" state="frozen"/>
      <selection/>
      <selection pane="bottomLeft" activeCell="H85" sqref="H85"/>
    </sheetView>
  </sheetViews>
  <sheetFormatPr defaultColWidth="8.72727272727273" defaultRowHeight="14"/>
  <cols>
    <col min="2" max="2" width="9.86363636363636" style="2" customWidth="1"/>
    <col min="3" max="3" width="10.2272727272727" customWidth="1"/>
    <col min="4" max="9" width="11.1090909090909" customWidth="1"/>
    <col min="10" max="17" width="11.1090909090909" style="2" customWidth="1"/>
    <col min="18" max="19" width="12.8181818181818"/>
    <col min="21" max="21" width="12.8181818181818"/>
    <col min="24" max="24" width="12.8181818181818"/>
  </cols>
  <sheetData>
    <row r="1" s="1" customFormat="1" ht="44" customHeight="1" spans="1:17">
      <c r="A1" s="3" t="s">
        <v>370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0" customHeight="1" spans="1:17">
      <c r="A2" s="4" t="s">
        <v>322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35" customHeight="1" spans="1:17">
      <c r="A3" s="5" t="s">
        <v>323</v>
      </c>
      <c r="B3" s="6" t="s">
        <v>324</v>
      </c>
      <c r="C3" s="5" t="s">
        <v>326</v>
      </c>
      <c r="D3" s="5" t="s">
        <v>327</v>
      </c>
      <c r="E3" s="5" t="s">
        <v>330</v>
      </c>
      <c r="F3" s="5" t="s">
        <v>343</v>
      </c>
      <c r="G3" s="5" t="s">
        <v>346</v>
      </c>
      <c r="H3" s="5" t="s">
        <v>335</v>
      </c>
      <c r="I3" s="5" t="s">
        <v>338</v>
      </c>
      <c r="J3" s="6" t="s">
        <v>398</v>
      </c>
      <c r="K3" s="6" t="s">
        <v>399</v>
      </c>
      <c r="L3" s="6" t="s">
        <v>400</v>
      </c>
      <c r="M3" s="6" t="s">
        <v>401</v>
      </c>
      <c r="N3" s="6" t="s">
        <v>402</v>
      </c>
      <c r="O3" s="6" t="s">
        <v>403</v>
      </c>
      <c r="P3" s="6" t="s">
        <v>404</v>
      </c>
      <c r="Q3" s="6" t="s">
        <v>405</v>
      </c>
    </row>
    <row r="4" ht="28" customHeight="1" spans="1:17">
      <c r="A4" s="7">
        <v>1</v>
      </c>
      <c r="B4" s="8" t="s">
        <v>351</v>
      </c>
      <c r="C4" s="9" t="s">
        <v>367</v>
      </c>
      <c r="D4" s="10">
        <v>0</v>
      </c>
      <c r="E4" s="10">
        <v>7560</v>
      </c>
      <c r="F4" s="10">
        <f>1205.4+1120</f>
        <v>2325.4</v>
      </c>
      <c r="G4" s="11">
        <f>10464.1631925+1120</f>
        <v>11584.1631925</v>
      </c>
      <c r="H4" s="10">
        <v>0</v>
      </c>
      <c r="I4" s="10">
        <v>19881.0209943317</v>
      </c>
      <c r="J4" s="9">
        <f>VLOOKUP(C4,[1]汇总表!$C$6:$D$17,2,FALSE)</f>
        <v>4912.50278653</v>
      </c>
      <c r="K4" s="9">
        <f>VLOOKUP(C4,[1]汇总表!$C$6:$I$17,7,FALSE)</f>
        <v>24.5</v>
      </c>
      <c r="L4" s="9">
        <f>VLOOKUP(C4,[1]汇总表!$C$6:$J$17,8,FALSE)</f>
        <v>3187.61954561</v>
      </c>
      <c r="M4" s="9">
        <f>J4-L4</f>
        <v>1724.88324092</v>
      </c>
      <c r="N4" s="9">
        <f>VLOOKUP(C4,[2]汇总表!$C$6:$D$17,2,FALSE)</f>
        <v>14358.3371966689</v>
      </c>
      <c r="O4" s="9">
        <f>VLOOKUP(C4,[2]汇总表!$C$6:$I$17,7,FALSE)</f>
        <v>4578.7658</v>
      </c>
      <c r="P4" s="9">
        <f>VLOOKUP(C4,[2]汇总表!$C$6:$J$17,8,FALSE)</f>
        <v>5718.14249047998</v>
      </c>
      <c r="Q4" s="9">
        <f>N4-P4</f>
        <v>8640.19470618892</v>
      </c>
    </row>
    <row r="5" ht="28" customHeight="1" spans="1:17">
      <c r="A5" s="7">
        <v>2</v>
      </c>
      <c r="B5" s="8"/>
      <c r="C5" s="9" t="s">
        <v>120</v>
      </c>
      <c r="D5" s="10">
        <v>0</v>
      </c>
      <c r="E5" s="10">
        <v>488.328</v>
      </c>
      <c r="F5" s="10">
        <v>0</v>
      </c>
      <c r="G5" s="11">
        <v>1639.28805</v>
      </c>
      <c r="H5" s="10">
        <v>0</v>
      </c>
      <c r="I5" s="10">
        <v>387.592920353982</v>
      </c>
      <c r="J5" s="9">
        <f>VLOOKUP(C5,[1]汇总表!$C$6:$D$17,2,FALSE)</f>
        <v>808.3712454</v>
      </c>
      <c r="K5" s="9">
        <f>VLOOKUP(C5,[1]汇总表!$C$6:$I$17,7,FALSE)</f>
        <v>0</v>
      </c>
      <c r="L5" s="9">
        <f>VLOOKUP(C5,[1]汇总表!$C$6:$J$17,8,FALSE)</f>
        <v>620.72883</v>
      </c>
      <c r="M5" s="9">
        <f>J5-L5</f>
        <v>187.6424154</v>
      </c>
      <c r="N5" s="9">
        <f>VLOOKUP(C5,[2]汇总表!$C$6:$D$17,2,FALSE)</f>
        <v>690</v>
      </c>
      <c r="O5" s="9">
        <f>VLOOKUP(C5,[2]汇总表!$C$6:$I$17,7,FALSE)</f>
        <v>0</v>
      </c>
      <c r="P5" s="9">
        <f>VLOOKUP(C5,[2]汇总表!$C$6:$J$17,8,FALSE)</f>
        <v>0</v>
      </c>
      <c r="Q5" s="9">
        <f>N5-P5</f>
        <v>690</v>
      </c>
    </row>
    <row r="6" ht="28" customHeight="1" spans="1:17">
      <c r="A6" s="7">
        <v>3</v>
      </c>
      <c r="B6" s="8"/>
      <c r="C6" s="9" t="s">
        <v>66</v>
      </c>
      <c r="D6" s="10">
        <v>0</v>
      </c>
      <c r="E6" s="9">
        <v>3240</v>
      </c>
      <c r="F6" s="10">
        <f>516.6+480</f>
        <v>996.6</v>
      </c>
      <c r="G6" s="11">
        <f>3992.8976841+480</f>
        <v>4472.8976841</v>
      </c>
      <c r="H6" s="10">
        <v>0</v>
      </c>
      <c r="I6" s="10">
        <v>8520.43756899929</v>
      </c>
      <c r="J6" s="9">
        <f>VLOOKUP(C6,[1]汇总表!$C$6:$D$17,2,FALSE)</f>
        <v>822.51972357</v>
      </c>
      <c r="K6" s="9">
        <f>VLOOKUP(C6,[1]汇总表!$C$6:$I$17,7,FALSE)</f>
        <v>10.5</v>
      </c>
      <c r="L6" s="9">
        <f>VLOOKUP(C6,[1]汇总表!$C$6:$J$17,8,FALSE)</f>
        <v>402.77070429</v>
      </c>
      <c r="M6" s="9">
        <f>J6-L6</f>
        <v>419.74901928</v>
      </c>
      <c r="N6" s="9">
        <f>VLOOKUP(C6,[2]汇总表!$C$6:$D$17,2,FALSE)</f>
        <v>6153.57308428668</v>
      </c>
      <c r="O6" s="9">
        <f>VLOOKUP(C6,[2]汇总表!$C$6:$I$17,7,FALSE)</f>
        <v>1962.3282</v>
      </c>
      <c r="P6" s="9">
        <f>VLOOKUP(C6,[2]汇总表!$C$6:$J$17,8,FALSE)</f>
        <v>2450.63249592</v>
      </c>
      <c r="Q6" s="9">
        <f>N6-P6</f>
        <v>3702.94058836668</v>
      </c>
    </row>
    <row r="7" ht="28" customHeight="1" spans="1:17">
      <c r="A7" s="7">
        <v>4</v>
      </c>
      <c r="B7" s="8"/>
      <c r="C7" s="9" t="s">
        <v>36</v>
      </c>
      <c r="D7" s="10">
        <v>121</v>
      </c>
      <c r="E7" s="10">
        <f>691.502+D7</f>
        <v>812.502</v>
      </c>
      <c r="F7" s="10">
        <v>0</v>
      </c>
      <c r="G7" s="11">
        <v>249.484</v>
      </c>
      <c r="H7" s="10">
        <v>0</v>
      </c>
      <c r="I7" s="12">
        <v>0</v>
      </c>
      <c r="J7" s="9">
        <f>VLOOKUP(C7,[1]汇总表!$C$6:$D$17,2,FALSE)</f>
        <v>180.3</v>
      </c>
      <c r="K7" s="9">
        <f>VLOOKUP(C7,[1]汇总表!$C$6:$I$17,7,FALSE)</f>
        <v>0</v>
      </c>
      <c r="L7" s="9">
        <f>VLOOKUP(C7,[1]汇总表!$C$6:$J$17,8,FALSE)</f>
        <v>166.8</v>
      </c>
      <c r="M7" s="9">
        <f>J7-L7</f>
        <v>13.5</v>
      </c>
      <c r="N7" s="9">
        <f>VLOOKUP(C7,[2]汇总表!$C$6:$D$17,2,FALSE)</f>
        <v>126</v>
      </c>
      <c r="O7" s="9">
        <f>VLOOKUP(C7,[2]汇总表!$C$6:$I$17,7,FALSE)</f>
        <v>0</v>
      </c>
      <c r="P7" s="9">
        <f>VLOOKUP(C7,[2]汇总表!$C$6:$J$17,8,FALSE)</f>
        <v>0</v>
      </c>
      <c r="Q7" s="9">
        <f>N7-P7</f>
        <v>126</v>
      </c>
    </row>
    <row r="8" ht="28" customHeight="1" spans="1:17">
      <c r="A8" s="7">
        <v>5</v>
      </c>
      <c r="B8" s="8"/>
      <c r="C8" s="9" t="s">
        <v>60</v>
      </c>
      <c r="D8" s="10">
        <v>80</v>
      </c>
      <c r="E8" s="10">
        <f>53.55+D8</f>
        <v>133.55</v>
      </c>
      <c r="F8" s="10">
        <v>0</v>
      </c>
      <c r="G8" s="11">
        <v>0</v>
      </c>
      <c r="H8" s="10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</row>
    <row r="9" ht="28" customHeight="1" spans="1:17">
      <c r="A9" s="7">
        <v>6</v>
      </c>
      <c r="B9" s="8"/>
      <c r="C9" s="9" t="s">
        <v>397</v>
      </c>
      <c r="D9" s="10">
        <v>0</v>
      </c>
      <c r="E9" s="10">
        <v>147</v>
      </c>
      <c r="F9" s="10">
        <v>0</v>
      </c>
      <c r="G9" s="11">
        <v>0</v>
      </c>
      <c r="H9" s="10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</row>
    <row r="10" ht="28" customHeight="1" spans="1:17">
      <c r="A10" s="7">
        <v>7</v>
      </c>
      <c r="B10" s="8"/>
      <c r="C10" s="9" t="s">
        <v>65</v>
      </c>
      <c r="D10" s="10">
        <v>0</v>
      </c>
      <c r="E10" s="10">
        <v>46.41031</v>
      </c>
      <c r="F10" s="10">
        <v>0</v>
      </c>
      <c r="G10" s="10">
        <v>0</v>
      </c>
      <c r="H10" s="10">
        <v>0</v>
      </c>
      <c r="I10" s="10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</row>
    <row r="11" ht="28" customHeight="1" spans="1:17">
      <c r="A11" s="7">
        <v>8</v>
      </c>
      <c r="B11" s="8"/>
      <c r="C11" s="13" t="s">
        <v>353</v>
      </c>
      <c r="D11" s="14">
        <f t="shared" ref="D11:Q11" si="0">SUM(D4:D10)</f>
        <v>201</v>
      </c>
      <c r="E11" s="14">
        <f t="shared" si="0"/>
        <v>12427.79031</v>
      </c>
      <c r="F11" s="14">
        <f t="shared" si="0"/>
        <v>3322</v>
      </c>
      <c r="G11" s="14">
        <f t="shared" si="0"/>
        <v>17945.8329266</v>
      </c>
      <c r="H11" s="14">
        <f t="shared" si="0"/>
        <v>0</v>
      </c>
      <c r="I11" s="14">
        <f t="shared" si="0"/>
        <v>28789.051483685</v>
      </c>
      <c r="J11" s="14">
        <f t="shared" si="0"/>
        <v>6723.6937555</v>
      </c>
      <c r="K11" s="14">
        <f t="shared" si="0"/>
        <v>35</v>
      </c>
      <c r="L11" s="14">
        <f t="shared" si="0"/>
        <v>4377.9190799</v>
      </c>
      <c r="M11" s="14">
        <f t="shared" si="0"/>
        <v>2345.7746756</v>
      </c>
      <c r="N11" s="14">
        <f t="shared" si="0"/>
        <v>21327.9102809556</v>
      </c>
      <c r="O11" s="14">
        <f t="shared" si="0"/>
        <v>6541.094</v>
      </c>
      <c r="P11" s="14">
        <f t="shared" si="0"/>
        <v>8168.77498639998</v>
      </c>
      <c r="Q11" s="14">
        <f t="shared" si="0"/>
        <v>13159.1352945556</v>
      </c>
    </row>
    <row r="12" ht="28" customHeight="1" spans="1:17">
      <c r="A12" s="7">
        <v>9</v>
      </c>
      <c r="B12" s="8" t="s">
        <v>355</v>
      </c>
      <c r="C12" s="9" t="s">
        <v>42</v>
      </c>
      <c r="D12" s="10">
        <v>0</v>
      </c>
      <c r="E12" s="10">
        <v>7971.54</v>
      </c>
      <c r="F12" s="10">
        <v>21</v>
      </c>
      <c r="G12" s="11">
        <v>9261.11015545</v>
      </c>
      <c r="H12" s="11">
        <v>95.139662</v>
      </c>
      <c r="I12" s="12">
        <f>14268.2659739828+H12</f>
        <v>14363.4056359828</v>
      </c>
      <c r="J12" s="9">
        <f>VLOOKUP(C12,[1]汇总表!$C$6:$D$17,2,FALSE)</f>
        <v>369.22254176</v>
      </c>
      <c r="K12" s="9">
        <f>VLOOKUP(C12,[1]汇总表!$C$6:$I$17,7,FALSE)</f>
        <v>0</v>
      </c>
      <c r="L12" s="9">
        <f>VLOOKUP(C12,[1]汇总表!$C$6:$J$17,8,FALSE)</f>
        <v>237.7330408</v>
      </c>
      <c r="M12" s="9">
        <f>J12-L12</f>
        <v>131.48950096</v>
      </c>
      <c r="N12" s="9">
        <f>VLOOKUP(C12,[2]汇总表!$C$6:$D$17,2,FALSE)</f>
        <v>2608.58300388</v>
      </c>
      <c r="O12" s="9">
        <f>VLOOKUP(C12,[2]汇总表!$C$6:$I$17,7,FALSE)</f>
        <v>0</v>
      </c>
      <c r="P12" s="9">
        <f>VLOOKUP(C12,[2]汇总表!$C$6:$J$17,8,FALSE)</f>
        <v>368.642954749999</v>
      </c>
      <c r="Q12" s="9">
        <f>N12-P12</f>
        <v>2239.94004913</v>
      </c>
    </row>
    <row r="13" ht="28" customHeight="1" spans="1:17">
      <c r="A13" s="7">
        <v>10</v>
      </c>
      <c r="B13" s="8"/>
      <c r="C13" s="9" t="s">
        <v>41</v>
      </c>
      <c r="D13" s="10">
        <v>0</v>
      </c>
      <c r="E13" s="10">
        <v>3241.8</v>
      </c>
      <c r="F13" s="10">
        <v>9</v>
      </c>
      <c r="G13" s="11">
        <v>1070.01486165</v>
      </c>
      <c r="H13" s="11">
        <v>0</v>
      </c>
      <c r="I13" s="12">
        <v>92.4646125</v>
      </c>
      <c r="J13" s="12">
        <v>0</v>
      </c>
      <c r="K13" s="12">
        <v>0</v>
      </c>
      <c r="L13" s="12">
        <v>0</v>
      </c>
      <c r="M13" s="12">
        <v>0</v>
      </c>
      <c r="N13" s="9">
        <f>VLOOKUP(C13,[2]汇总表!$C$6:$D$17,2,FALSE)</f>
        <v>587.94495132</v>
      </c>
      <c r="O13" s="9">
        <f>VLOOKUP(C13,[2]汇总表!$C$6:$I$17,7,FALSE)</f>
        <v>0</v>
      </c>
      <c r="P13" s="9">
        <f>VLOOKUP(C13,[2]汇总表!$C$6:$J$17,8,FALSE)</f>
        <v>38.13983775</v>
      </c>
      <c r="Q13" s="9">
        <f>N13-P13</f>
        <v>549.80511357</v>
      </c>
    </row>
    <row r="14" ht="28" customHeight="1" spans="1:17">
      <c r="A14" s="7">
        <v>11</v>
      </c>
      <c r="B14" s="8"/>
      <c r="C14" s="15" t="s">
        <v>406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</row>
    <row r="15" ht="28" customHeight="1" spans="1:17">
      <c r="A15" s="7">
        <v>12</v>
      </c>
      <c r="B15" s="8"/>
      <c r="C15" s="9" t="s">
        <v>407</v>
      </c>
      <c r="D15" s="10">
        <v>0</v>
      </c>
      <c r="E15" s="10">
        <v>0</v>
      </c>
      <c r="F15" s="10">
        <v>0</v>
      </c>
      <c r="G15" s="11">
        <v>0</v>
      </c>
      <c r="H15" s="10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</row>
    <row r="16" ht="28" customHeight="1" spans="1:17">
      <c r="A16" s="7">
        <v>13</v>
      </c>
      <c r="B16" s="8"/>
      <c r="C16" s="13" t="s">
        <v>353</v>
      </c>
      <c r="D16" s="14">
        <f t="shared" ref="D16:Q16" si="1">SUM(D12:D15)</f>
        <v>0</v>
      </c>
      <c r="E16" s="14">
        <f t="shared" si="1"/>
        <v>11213.34</v>
      </c>
      <c r="F16" s="14">
        <f t="shared" si="1"/>
        <v>30</v>
      </c>
      <c r="G16" s="14">
        <f t="shared" si="1"/>
        <v>10331.1250171</v>
      </c>
      <c r="H16" s="14">
        <f t="shared" si="1"/>
        <v>95.139662</v>
      </c>
      <c r="I16" s="14">
        <f t="shared" si="1"/>
        <v>14455.8702484828</v>
      </c>
      <c r="J16" s="14">
        <f t="shared" si="1"/>
        <v>369.22254176</v>
      </c>
      <c r="K16" s="14">
        <f t="shared" si="1"/>
        <v>0</v>
      </c>
      <c r="L16" s="14">
        <f t="shared" si="1"/>
        <v>237.7330408</v>
      </c>
      <c r="M16" s="14">
        <f t="shared" si="1"/>
        <v>131.48950096</v>
      </c>
      <c r="N16" s="14">
        <f t="shared" si="1"/>
        <v>3196.5279552</v>
      </c>
      <c r="O16" s="14">
        <f t="shared" si="1"/>
        <v>0</v>
      </c>
      <c r="P16" s="14">
        <f t="shared" si="1"/>
        <v>406.782792499999</v>
      </c>
      <c r="Q16" s="14">
        <f t="shared" si="1"/>
        <v>2789.7451627</v>
      </c>
    </row>
    <row r="17" ht="28" customHeight="1" spans="1:17">
      <c r="A17" s="7">
        <v>14</v>
      </c>
      <c r="B17" s="17" t="s">
        <v>408</v>
      </c>
      <c r="C17" s="9" t="s">
        <v>368</v>
      </c>
      <c r="D17" s="10">
        <v>0</v>
      </c>
      <c r="E17" s="10">
        <v>103.6</v>
      </c>
      <c r="F17" s="10">
        <v>62.16</v>
      </c>
      <c r="G17" s="11">
        <f>31.08+F17</f>
        <v>93.24</v>
      </c>
      <c r="H17" s="10">
        <v>0</v>
      </c>
      <c r="I17" s="10">
        <v>91.6814159292035</v>
      </c>
      <c r="J17" s="12">
        <v>0</v>
      </c>
      <c r="K17" s="12">
        <v>0</v>
      </c>
      <c r="L17" s="12">
        <v>0</v>
      </c>
      <c r="M17" s="12">
        <v>0</v>
      </c>
      <c r="N17" s="9">
        <f>VLOOKUP(C17,[2]汇总表!$C$6:$D$17,2,FALSE)</f>
        <v>62.16</v>
      </c>
      <c r="O17" s="9">
        <f>VLOOKUP(C17,[2]汇总表!$C$6:$I$17,7,FALSE)</f>
        <v>62.16</v>
      </c>
      <c r="P17" s="9">
        <f>VLOOKUP(C17,[2]汇总表!$C$6:$J$17,8,FALSE)</f>
        <v>62.16</v>
      </c>
      <c r="Q17" s="9">
        <f>N17-P17</f>
        <v>0</v>
      </c>
    </row>
    <row r="18" ht="28" customHeight="1" spans="1:17">
      <c r="A18" s="7">
        <v>15</v>
      </c>
      <c r="B18" s="17"/>
      <c r="C18" s="9" t="s">
        <v>54</v>
      </c>
      <c r="D18" s="10">
        <v>0</v>
      </c>
      <c r="E18" s="10">
        <v>1422.288</v>
      </c>
      <c r="F18" s="10">
        <v>190</v>
      </c>
      <c r="G18" s="18">
        <v>1324</v>
      </c>
      <c r="H18" s="10">
        <v>0</v>
      </c>
      <c r="I18" s="19">
        <v>1108.7702654</v>
      </c>
      <c r="J18" s="9">
        <f>VLOOKUP(C18,[1]汇总表!$C$6:$D$17,2,FALSE)</f>
        <v>883.55909864</v>
      </c>
      <c r="K18" s="9">
        <f>VLOOKUP(C18,[1]汇总表!$C$6:$I$17,7,FALSE)</f>
        <v>50</v>
      </c>
      <c r="L18" s="9">
        <f>VLOOKUP(C18,[1]汇总表!$C$6:$J$17,8,FALSE)</f>
        <v>486.5339168</v>
      </c>
      <c r="M18" s="9">
        <f>J18-L18</f>
        <v>397.02518184</v>
      </c>
      <c r="N18" s="9">
        <f>VLOOKUP(C18,[2]汇总表!$C$6:$D$17,2,FALSE)</f>
        <v>960.42492</v>
      </c>
      <c r="O18" s="9">
        <f>VLOOKUP(C18,[2]汇总表!$C$6:$I$17,7,FALSE)</f>
        <v>140</v>
      </c>
      <c r="P18" s="9">
        <f>VLOOKUP(C18,[2]汇总表!$C$6:$J$17,8,FALSE)</f>
        <v>420</v>
      </c>
      <c r="Q18" s="9">
        <f>N18-P18</f>
        <v>540.42492</v>
      </c>
    </row>
    <row r="19" ht="28" customHeight="1" spans="1:17">
      <c r="A19" s="7">
        <v>16</v>
      </c>
      <c r="B19" s="17"/>
      <c r="C19" s="9" t="s">
        <v>392</v>
      </c>
      <c r="D19" s="10">
        <v>0</v>
      </c>
      <c r="E19" s="10">
        <v>0</v>
      </c>
      <c r="F19" s="10">
        <v>0</v>
      </c>
      <c r="G19" s="11">
        <v>0</v>
      </c>
      <c r="H19" s="10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</row>
    <row r="20" ht="28" customHeight="1" spans="1:17">
      <c r="A20" s="7">
        <v>17</v>
      </c>
      <c r="B20" s="17"/>
      <c r="C20" s="9" t="s">
        <v>396</v>
      </c>
      <c r="D20" s="10">
        <v>41</v>
      </c>
      <c r="E20" s="10">
        <f>102.24+D20</f>
        <v>143.24</v>
      </c>
      <c r="F20" s="10">
        <v>50</v>
      </c>
      <c r="G20" s="18">
        <v>717.31</v>
      </c>
      <c r="H20" s="19">
        <v>0</v>
      </c>
      <c r="I20" s="19">
        <v>0</v>
      </c>
      <c r="J20" s="9">
        <f>VLOOKUP(C20,[1]汇总表!$C$6:$D$17,2,FALSE)</f>
        <v>1175.867</v>
      </c>
      <c r="K20" s="9">
        <f>VLOOKUP(C20,[1]汇总表!$C$6:$I$17,7,FALSE)</f>
        <v>50</v>
      </c>
      <c r="L20" s="9">
        <f>VLOOKUP(C20,[1]汇总表!$C$6:$J$17,8,FALSE)</f>
        <v>688.046</v>
      </c>
      <c r="M20" s="9">
        <f>J20-L20</f>
        <v>487.821</v>
      </c>
      <c r="N20" s="9">
        <f>VLOOKUP(C20,[2]汇总表!$C$6:$D$17,2,FALSE)</f>
        <v>327.075</v>
      </c>
      <c r="O20" s="9">
        <f>VLOOKUP(C20,[2]汇总表!$C$6:$I$17,7,FALSE)</f>
        <v>34.2</v>
      </c>
      <c r="P20" s="9">
        <f>VLOOKUP(C20,[2]汇总表!$C$6:$J$17,8,FALSE)</f>
        <v>0</v>
      </c>
      <c r="Q20" s="9">
        <f>N20-P20</f>
        <v>327.075</v>
      </c>
    </row>
    <row r="21" ht="28" customHeight="1" spans="1:17">
      <c r="A21" s="7">
        <v>18</v>
      </c>
      <c r="B21" s="17"/>
      <c r="C21" s="9" t="s">
        <v>369</v>
      </c>
      <c r="D21" s="10">
        <v>0</v>
      </c>
      <c r="E21" s="10">
        <v>319.14</v>
      </c>
      <c r="F21" s="10">
        <v>50</v>
      </c>
      <c r="G21" s="11">
        <v>468</v>
      </c>
      <c r="H21" s="10">
        <v>0</v>
      </c>
      <c r="I21" s="10">
        <v>0</v>
      </c>
      <c r="J21" s="9">
        <f>VLOOKUP(C21,[1]汇总表!$C$6:$D$17,2,FALSE)</f>
        <v>863.9867948</v>
      </c>
      <c r="K21" s="9">
        <f>VLOOKUP(C21,[1]汇总表!$C$6:$I$17,7,FALSE)</f>
        <v>50</v>
      </c>
      <c r="L21" s="9">
        <f>VLOOKUP(C21,[1]汇总表!$C$6:$J$17,8,FALSE)</f>
        <v>425</v>
      </c>
      <c r="M21" s="9">
        <f>J21-L21</f>
        <v>438.9867948</v>
      </c>
      <c r="N21" s="9">
        <f>VLOOKUP(C21,[2]汇总表!$C$6:$D$17,2,FALSE)</f>
        <v>327.075</v>
      </c>
      <c r="O21" s="9">
        <f>VLOOKUP(C21,[2]汇总表!$C$6:$I$17,7,FALSE)</f>
        <v>0</v>
      </c>
      <c r="P21" s="9">
        <f>VLOOKUP(C21,[2]汇总表!$C$6:$J$17,8,FALSE)</f>
        <v>0</v>
      </c>
      <c r="Q21" s="9">
        <f>N21-P21</f>
        <v>327.075</v>
      </c>
    </row>
    <row r="22" ht="28" customHeight="1" spans="1:17">
      <c r="A22" s="7">
        <v>19</v>
      </c>
      <c r="B22" s="17"/>
      <c r="C22" s="9" t="s">
        <v>365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</row>
    <row r="23" ht="28" customHeight="1" spans="1:17">
      <c r="A23" s="7"/>
      <c r="B23" s="17"/>
      <c r="C23" s="9" t="s">
        <v>409</v>
      </c>
      <c r="D23" s="10">
        <v>0</v>
      </c>
      <c r="E23" s="10">
        <v>505.56</v>
      </c>
      <c r="F23" s="10">
        <v>0</v>
      </c>
      <c r="G23" s="10">
        <v>2997.53</v>
      </c>
      <c r="H23" s="10">
        <v>0</v>
      </c>
      <c r="I23" s="10">
        <v>924.5840707</v>
      </c>
      <c r="J23" s="9">
        <v>2734.01</v>
      </c>
      <c r="K23" s="9">
        <v>0</v>
      </c>
      <c r="L23" s="9">
        <v>2734.01</v>
      </c>
      <c r="M23" s="9">
        <f>J23-L23</f>
        <v>0</v>
      </c>
      <c r="N23" s="9">
        <v>0</v>
      </c>
      <c r="O23" s="9">
        <v>0</v>
      </c>
      <c r="P23" s="9">
        <v>0</v>
      </c>
      <c r="Q23" s="9">
        <f>N23-P23</f>
        <v>0</v>
      </c>
    </row>
    <row r="24" ht="28" customHeight="1" spans="1:17">
      <c r="A24" s="7">
        <v>20</v>
      </c>
      <c r="B24" s="17"/>
      <c r="C24" s="13" t="s">
        <v>353</v>
      </c>
      <c r="D24" s="13">
        <f t="shared" ref="D24:Q24" si="2">SUM(D17:D23)</f>
        <v>41</v>
      </c>
      <c r="E24" s="13">
        <f t="shared" si="2"/>
        <v>2493.828</v>
      </c>
      <c r="F24" s="13">
        <f t="shared" si="2"/>
        <v>352.16</v>
      </c>
      <c r="G24" s="13">
        <f t="shared" si="2"/>
        <v>5600.08</v>
      </c>
      <c r="H24" s="13">
        <f t="shared" si="2"/>
        <v>0</v>
      </c>
      <c r="I24" s="13">
        <f t="shared" si="2"/>
        <v>2125.0357520292</v>
      </c>
      <c r="J24" s="13">
        <f t="shared" si="2"/>
        <v>5657.42289344</v>
      </c>
      <c r="K24" s="13">
        <f t="shared" si="2"/>
        <v>150</v>
      </c>
      <c r="L24" s="13">
        <f t="shared" si="2"/>
        <v>4333.5899168</v>
      </c>
      <c r="M24" s="13">
        <f t="shared" si="2"/>
        <v>1323.83297664</v>
      </c>
      <c r="N24" s="13">
        <f t="shared" si="2"/>
        <v>1676.73492</v>
      </c>
      <c r="O24" s="13">
        <f t="shared" si="2"/>
        <v>236.36</v>
      </c>
      <c r="P24" s="13">
        <f t="shared" si="2"/>
        <v>482.16</v>
      </c>
      <c r="Q24" s="13">
        <f t="shared" si="2"/>
        <v>1194.57492</v>
      </c>
    </row>
    <row r="25" ht="28" customHeight="1" spans="1:17">
      <c r="A25" s="7">
        <v>21</v>
      </c>
      <c r="B25" s="20" t="s">
        <v>410</v>
      </c>
      <c r="C25" s="9" t="s">
        <v>55</v>
      </c>
      <c r="D25" s="10">
        <v>0</v>
      </c>
      <c r="E25" s="10">
        <v>481</v>
      </c>
      <c r="F25" s="10">
        <v>123.94</v>
      </c>
      <c r="G25" s="11">
        <v>1742.41</v>
      </c>
      <c r="H25" s="10">
        <v>0</v>
      </c>
      <c r="I25" s="10">
        <v>664.778762053097</v>
      </c>
      <c r="J25" s="9">
        <f>VLOOKUP(C25,[1]汇总表!$C$6:$D$17,2,FALSE)</f>
        <v>3349.6358</v>
      </c>
      <c r="K25" s="9">
        <f>VLOOKUP(C25,[1]汇总表!$C$6:$I$17,7,FALSE)</f>
        <v>0</v>
      </c>
      <c r="L25" s="9">
        <f>VLOOKUP(C25,[1]汇总表!$C$6:$J$17,8,FALSE)</f>
        <v>1358.08</v>
      </c>
      <c r="M25" s="9">
        <f>J25-L25</f>
        <v>1991.5558</v>
      </c>
      <c r="N25" s="9" t="e">
        <f>VLOOKUP(C25,[2]汇总表!$C$6:$D$17,2,FALSE)</f>
        <v>#N/A</v>
      </c>
      <c r="O25" s="9" t="e">
        <f>VLOOKUP(C25,[2]汇总表!$C$6:$I$17,7,FALSE)</f>
        <v>#N/A</v>
      </c>
      <c r="P25" s="9" t="e">
        <f>VLOOKUP(C25,[2]汇总表!$C$6:$J$17,8,FALSE)</f>
        <v>#N/A</v>
      </c>
      <c r="Q25" s="9" t="e">
        <f>N25-P25</f>
        <v>#N/A</v>
      </c>
    </row>
    <row r="26" ht="28" customHeight="1" spans="1:17">
      <c r="A26" s="7">
        <v>23</v>
      </c>
      <c r="B26" s="17"/>
      <c r="C26" s="15" t="s">
        <v>411</v>
      </c>
      <c r="D26" s="10">
        <v>0</v>
      </c>
      <c r="E26" s="10">
        <v>0</v>
      </c>
      <c r="F26" s="10">
        <v>0</v>
      </c>
      <c r="G26" s="11">
        <v>0</v>
      </c>
      <c r="H26" s="10">
        <v>0</v>
      </c>
      <c r="I26" s="10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</row>
    <row r="27" ht="35" customHeight="1" spans="1:17">
      <c r="A27" s="7">
        <v>24</v>
      </c>
      <c r="B27" s="17"/>
      <c r="C27" s="15" t="s">
        <v>412</v>
      </c>
      <c r="D27" s="16">
        <v>0</v>
      </c>
      <c r="E27" s="16">
        <v>0</v>
      </c>
      <c r="F27" s="10">
        <f>50+21</f>
        <v>71</v>
      </c>
      <c r="G27" s="11">
        <f>1216+21</f>
        <v>1237</v>
      </c>
      <c r="H27" s="10">
        <v>0</v>
      </c>
      <c r="I27" s="10">
        <v>301.5929208</v>
      </c>
      <c r="J27" s="9">
        <v>2545.6568714</v>
      </c>
      <c r="K27" s="9">
        <v>50</v>
      </c>
      <c r="L27" s="9">
        <v>825</v>
      </c>
      <c r="M27" s="9">
        <f>J27-L27</f>
        <v>1720.6568714</v>
      </c>
      <c r="N27" s="9">
        <v>1466.0656328</v>
      </c>
      <c r="O27" s="9">
        <v>21</v>
      </c>
      <c r="P27" s="9">
        <v>455.9696328</v>
      </c>
      <c r="Q27" s="9">
        <f>N27-P27</f>
        <v>1010.096</v>
      </c>
    </row>
    <row r="28" ht="28" customHeight="1" spans="1:17">
      <c r="A28" s="7">
        <v>25</v>
      </c>
      <c r="B28" s="17"/>
      <c r="C28" s="15" t="s">
        <v>413</v>
      </c>
      <c r="D28" s="16">
        <v>0</v>
      </c>
      <c r="E28" s="16">
        <v>0</v>
      </c>
      <c r="F28" s="10">
        <v>0</v>
      </c>
      <c r="G28" s="11">
        <v>0</v>
      </c>
      <c r="H28" s="10">
        <v>0</v>
      </c>
      <c r="I28" s="10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</row>
    <row r="29" ht="28" customHeight="1" spans="1:17">
      <c r="A29" s="7">
        <v>26</v>
      </c>
      <c r="B29" s="21"/>
      <c r="C29" s="22" t="s">
        <v>353</v>
      </c>
      <c r="D29" s="23">
        <f t="shared" ref="D29:Q29" si="3">SUM(D25:D28)</f>
        <v>0</v>
      </c>
      <c r="E29" s="23">
        <f t="shared" si="3"/>
        <v>481</v>
      </c>
      <c r="F29" s="23">
        <f t="shared" si="3"/>
        <v>194.94</v>
      </c>
      <c r="G29" s="23">
        <f t="shared" si="3"/>
        <v>2979.41</v>
      </c>
      <c r="H29" s="23">
        <f t="shared" si="3"/>
        <v>0</v>
      </c>
      <c r="I29" s="23">
        <f t="shared" si="3"/>
        <v>966.371682853097</v>
      </c>
      <c r="J29" s="23">
        <f t="shared" si="3"/>
        <v>5895.2926714</v>
      </c>
      <c r="K29" s="23">
        <f t="shared" si="3"/>
        <v>50</v>
      </c>
      <c r="L29" s="23">
        <f t="shared" si="3"/>
        <v>2183.08</v>
      </c>
      <c r="M29" s="23">
        <f t="shared" si="3"/>
        <v>3712.2126714</v>
      </c>
      <c r="N29" s="23" t="e">
        <f t="shared" si="3"/>
        <v>#N/A</v>
      </c>
      <c r="O29" s="23" t="e">
        <f t="shared" si="3"/>
        <v>#N/A</v>
      </c>
      <c r="P29" s="23" t="e">
        <f t="shared" si="3"/>
        <v>#N/A</v>
      </c>
      <c r="Q29" s="23" t="e">
        <f t="shared" si="3"/>
        <v>#N/A</v>
      </c>
    </row>
    <row r="30" ht="28" customHeight="1" spans="1:17">
      <c r="A30" s="24" t="s">
        <v>414</v>
      </c>
      <c r="B30" s="25"/>
      <c r="C30" s="26"/>
      <c r="D30" s="27"/>
      <c r="E30" s="27"/>
      <c r="F30" s="27">
        <v>0</v>
      </c>
      <c r="G30" s="27">
        <v>90</v>
      </c>
      <c r="H30" s="27">
        <v>0</v>
      </c>
      <c r="I30" s="28">
        <v>55.9009944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</row>
    <row r="31" ht="44" customHeight="1" spans="1:17">
      <c r="A31" s="29" t="s">
        <v>225</v>
      </c>
      <c r="B31" s="30"/>
      <c r="C31" s="29"/>
      <c r="D31" s="31">
        <f>SUM(D11,D16,D24,D29)</f>
        <v>242</v>
      </c>
      <c r="E31" s="31">
        <f>SUM(E11,E16,E24,E29)</f>
        <v>26615.95831</v>
      </c>
      <c r="F31" s="31">
        <f>SUM(F11,F16,F24,F29)</f>
        <v>3899.1</v>
      </c>
      <c r="G31" s="31">
        <f>SUM(G11,G16,G24,G29)</f>
        <v>36856.4479437</v>
      </c>
      <c r="H31" s="32">
        <f>SUM(H11,H16,H24,H29,H30)</f>
        <v>95.139662</v>
      </c>
      <c r="I31" s="32">
        <f t="shared" ref="I31:Q31" si="4">SUM(I11,I16,I24,I29)</f>
        <v>46336.3291670501</v>
      </c>
      <c r="J31" s="32">
        <f t="shared" si="4"/>
        <v>18645.6318621</v>
      </c>
      <c r="K31" s="32">
        <f t="shared" si="4"/>
        <v>235</v>
      </c>
      <c r="L31" s="32">
        <f t="shared" si="4"/>
        <v>11132.3220375</v>
      </c>
      <c r="M31" s="32">
        <f t="shared" si="4"/>
        <v>7513.3098246</v>
      </c>
      <c r="N31" s="32" t="e">
        <f t="shared" si="4"/>
        <v>#N/A</v>
      </c>
      <c r="O31" s="32" t="e">
        <f t="shared" si="4"/>
        <v>#N/A</v>
      </c>
      <c r="P31" s="32" t="e">
        <f t="shared" si="4"/>
        <v>#N/A</v>
      </c>
      <c r="Q31" s="32" t="e">
        <f t="shared" si="4"/>
        <v>#N/A</v>
      </c>
    </row>
  </sheetData>
  <mergeCells count="8">
    <mergeCell ref="A1:Q1"/>
    <mergeCell ref="A2:Q2"/>
    <mergeCell ref="A30:B30"/>
    <mergeCell ref="A31:C31"/>
    <mergeCell ref="B4:B11"/>
    <mergeCell ref="B12:B16"/>
    <mergeCell ref="B17:B24"/>
    <mergeCell ref="B25:B29"/>
  </mergeCells>
  <pageMargins left="0.75" right="0.75" top="1" bottom="1" header="0.5" footer="0.5"/>
  <pageSetup paperSize="9" orientation="portrait"/>
  <headerFooter/>
  <ignoredErrors>
    <ignoredError sqref="Q2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新签</vt:lpstr>
      <vt:lpstr>收入</vt:lpstr>
      <vt:lpstr>Sheet1</vt:lpstr>
      <vt:lpstr>回款</vt:lpstr>
      <vt:lpstr>业绩台账</vt:lpstr>
      <vt:lpstr>新签分类占比</vt:lpstr>
      <vt:lpstr>Sheet10</vt:lpstr>
      <vt:lpstr>Sheet8</vt:lpstr>
      <vt:lpstr>Sheet5</vt:lpstr>
      <vt:lpstr>Sheet9</vt:lpstr>
      <vt:lpstr>业绩台账 （月报)</vt:lpstr>
      <vt:lpstr>Sheet6</vt:lpstr>
      <vt:lpstr>Sheet4</vt:lpstr>
      <vt:lpstr>Sheet2</vt:lpstr>
      <vt:lpstr>Sheet3</vt:lpstr>
      <vt:lpstr>Sheet7</vt:lpstr>
      <vt:lpstr>业绩台账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刘柯</cp:lastModifiedBy>
  <dcterms:created xsi:type="dcterms:W3CDTF">2021-03-11T02:38:00Z</dcterms:created>
  <dcterms:modified xsi:type="dcterms:W3CDTF">2026-04-08T01:37:42Z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B6CA2A35D21343EC82EF0BD5F2A7BBDD_13</vt:lpwstr>
  </property>
  <property fmtid="{D5CDD505-2E9C-101B-9397-08002B2CF9AE}" pid="5" name="CalculationRule">
    <vt:i4>0</vt:i4>
  </property>
</Properties>
</file>