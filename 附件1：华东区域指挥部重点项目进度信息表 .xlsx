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000" firstSheet="1"/>
  </bookViews>
  <sheets>
    <sheet name="信息跟踪阶段 " sheetId="8" r:id="rId1"/>
    <sheet name="正在投标阶段" sheetId="2" r:id="rId2"/>
    <sheet name="中标实施阶段" sheetId="6" r:id="rId3"/>
  </sheets>
  <definedNames>
    <definedName name="_xlnm._FilterDatabase" localSheetId="0" hidden="1">'信息跟踪阶段 '!$1:$32</definedName>
    <definedName name="_xlnm._FilterDatabase" localSheetId="2" hidden="1">中标实施阶段!$A$3:$AA$6</definedName>
    <definedName name="_xlnm._FilterDatabase" localSheetId="1" hidden="1">正在投标阶段!$A$3:$AB$3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曾喜鹏[部长副主任(兼)]</author>
  </authors>
  <commentList>
    <comment ref="AB3" authorId="0">
      <text>
        <r>
          <rPr>
            <sz val="9"/>
            <rFont val="宋体"/>
            <charset val="134"/>
          </rPr>
          <t>项目定标（中标或丢标）结果在备注栏详细填报。</t>
        </r>
      </text>
    </comment>
  </commentList>
</comments>
</file>

<file path=xl/sharedStrings.xml><?xml version="1.0" encoding="utf-8"?>
<sst xmlns="http://schemas.openxmlformats.org/spreadsheetml/2006/main" count="545" uniqueCount="313">
  <si>
    <t>项目名称</t>
  </si>
  <si>
    <t>项目简况</t>
  </si>
  <si>
    <t>事业部</t>
  </si>
  <si>
    <t>主办方</t>
  </si>
  <si>
    <t>协办方</t>
  </si>
  <si>
    <t>协办方2</t>
  </si>
  <si>
    <t>业主单位</t>
  </si>
  <si>
    <t>设计单位</t>
  </si>
  <si>
    <t>施工单位</t>
  </si>
  <si>
    <t>需求设备名称及数量</t>
  </si>
  <si>
    <t>预计采购金额（万元）</t>
  </si>
  <si>
    <t>设备需求时间</t>
  </si>
  <si>
    <t>项目跟进责任人</t>
  </si>
  <si>
    <t>项目节点</t>
  </si>
  <si>
    <t>已完成工作与成效</t>
  </si>
  <si>
    <t>本周进展</t>
  </si>
  <si>
    <t>后续计划</t>
  </si>
  <si>
    <t>项目动态</t>
  </si>
  <si>
    <t>需支持或协调事项</t>
  </si>
  <si>
    <t>备注</t>
  </si>
  <si>
    <t>上海城建市政合流污水支线1.4标</t>
  </si>
  <si>
    <t>合流污水一期复线工程收集初期雨水调蓄规模约40万m3，管径DN5000，长度约27km，另沿海徐路敷设接入竹园四期工程进水总管，管径DN3500，长度约1.5km</t>
  </si>
  <si>
    <t>掘进机</t>
  </si>
  <si>
    <t>华东区域指挥部</t>
  </si>
  <si>
    <t>上海城建市政</t>
  </si>
  <si>
    <t>ZTE4330-1</t>
  </si>
  <si>
    <t>/</t>
  </si>
  <si>
    <t>2026年</t>
  </si>
  <si>
    <t>穆华清</t>
  </si>
  <si>
    <t>商务洽谈</t>
  </si>
  <si>
    <t>目前合流支线有一段涉铁标未招标，初步了解信息，跟进城建院</t>
  </si>
  <si>
    <t>1、4月3日前拜访上海城建院，了解项目信息及招标进展</t>
  </si>
  <si>
    <t>更新</t>
  </si>
  <si>
    <t>上海原水西环线1.2标</t>
  </si>
  <si>
    <t>原水西环线南段工程位于闵行区与长宁区，南起黄浦江上游原水管渠，北至新建虹桥原水泵站。新建南段管线管径3000毫米，全长约19公里，新建虹桥原水泵站设计规模为120万立方米每日。原水西环线北段北起泰和水厂附近青草沙-陈行库管连通工程接管点，南至西环线南段工程新建虹桥原水泵站，途经宝山区、普陀区、嘉定区与长宁区。新建北段管线管径3400毫米，全长约19公里，新建泰和西原水泵站设计规模为200万立方米每日。</t>
  </si>
  <si>
    <t>上海城投水务</t>
  </si>
  <si>
    <t>中铁上海院</t>
  </si>
  <si>
    <t>中铁二十四局上海公司</t>
  </si>
  <si>
    <t>ZTE5430-1</t>
  </si>
  <si>
    <t>待定</t>
  </si>
  <si>
    <t>1、已对接项目经理，需求主动铰接5.2米土压盾构机，目前市场询价中，低价优先；
2、已核实我司没有符合要求的设备</t>
  </si>
  <si>
    <t>1、4月3日前拜访项目经理，跟进客户询价情况，争取做维修改造</t>
  </si>
  <si>
    <t>库管项目1.5标</t>
  </si>
  <si>
    <t>原水西环线北段起点，5#井-4#井区间长度2377m，管片内外径5500/6200，100m小转弯，2026年底或27年初设备进场</t>
  </si>
  <si>
    <t>上海市政院</t>
  </si>
  <si>
    <t>上海路桥</t>
  </si>
  <si>
    <t>ZTE6410-1</t>
  </si>
  <si>
    <t>3月23日已报价，3485万井底交货</t>
  </si>
  <si>
    <t>1、4月3日前拜访上海路桥公用建设公司副总张涛，跟进各家报价情况（中交、装备、海瑞克）
2、根据了解的报价情况拜访上海路桥集团领导</t>
  </si>
  <si>
    <t>嘉闵线及北延伸</t>
  </si>
  <si>
    <t>本工程实施段正线总长度为43.97km，其中地下段41.29km，地面段2.68km</t>
  </si>
  <si>
    <t>上海申铁</t>
  </si>
  <si>
    <t>上海隧道+未定北延伸</t>
  </si>
  <si>
    <t>ZTE9300-2，2025年1月-2026年12月</t>
  </si>
  <si>
    <t>区间待定，施工单位待定，预估租赁2台9米土压盾构</t>
  </si>
  <si>
    <t>持续跟进施工招标以及施工单位设备缺口情况</t>
  </si>
  <si>
    <t>上海轨道交通19号线一期工程</t>
  </si>
  <si>
    <t>杨行枢纽-吴泾，主要沿铁山路、呼兰路、江杨南路（广粤路）-广中路-天水路-公平路-浦东南路-国展路-济明路（东育路）-华泾路-景洪路走行。</t>
  </si>
  <si>
    <t>上海申通地铁</t>
  </si>
  <si>
    <t>上海隧道工程轨道交通设计院</t>
  </si>
  <si>
    <t>宏润建设</t>
  </si>
  <si>
    <t>ZTE6830-2</t>
  </si>
  <si>
    <t>公开招标采购2台，上海城建装备中标</t>
  </si>
  <si>
    <t>取消跟进</t>
  </si>
  <si>
    <t>中铁十四局</t>
  </si>
  <si>
    <t>ZTE6830-1</t>
  </si>
  <si>
    <t>已对接项目经理，需求1台6.6米土压盾构，区间长度单线1644米（一级重大）</t>
  </si>
  <si>
    <t>1、4月13日前与项目对接，了解设备筹备情况，商谈意向价格</t>
  </si>
  <si>
    <t>上海基础</t>
  </si>
  <si>
    <t>ZTE6830-4</t>
  </si>
  <si>
    <t>穆华清/赵宇瑄</t>
  </si>
  <si>
    <t>项目施工阶段</t>
  </si>
  <si>
    <t>目前上海基础有7台自有设备</t>
  </si>
  <si>
    <t>1、4月13日前与项目对接，了解设备筹备情况
2、4月3日前出具DZ176-178维修改造方案及报价
3、4月10日前与王凯进行商务交流</t>
  </si>
  <si>
    <t>上海轨道交通20号线一期工程</t>
  </si>
  <si>
    <t>共设车站16座，全长28km，串联浦东新区三大功能区的南北向径向市区线</t>
  </si>
  <si>
    <t>华中区域指挥部</t>
  </si>
  <si>
    <t>4台ZTE6830</t>
  </si>
  <si>
    <t>2027年5月，目前上海基础有7台自有设备</t>
  </si>
  <si>
    <t>1、4月20日前与项目对接，了解设备筹备情况
2、4月3日前出具DZ176-178维修改造方案及报价
3、4月10日前与王凯进行商务交流</t>
  </si>
  <si>
    <t>赵宇瑄</t>
  </si>
  <si>
    <t>已对接项目经理，需求4台6.6米土压盾构，区间长度单线830（300米转弯）+780+1300米（350米转弯）</t>
  </si>
  <si>
    <t>1、4月20日前与项目对接，了解设备筹备情况，商谈意向价格</t>
  </si>
  <si>
    <t>蒙电入沪</t>
  </si>
  <si>
    <t>库布齐—上海±800千伏特高压GIL管廊工程隧道总长11.3km，江中段约10km，管片外径初定12.5m</t>
  </si>
  <si>
    <t>上海隧道院</t>
  </si>
  <si>
    <t>未定</t>
  </si>
  <si>
    <t>14.6米泥水盾构机-1,2027年</t>
  </si>
  <si>
    <t>商务交流</t>
  </si>
  <si>
    <t>中铁隧道局与上海隧道院配合密切，中铁隧道局在北沿江高铁项目已建成的管片厂等配套设备可直接投入该项目使用，14局也在跟进，拜访隧道院管院长，土建预计2026年上半年招标，2026年底进场</t>
  </si>
  <si>
    <t>1、4月10日前与上海隧道院跟进项目招标情况；
2、4月30日前与业主建立联系
3、4月30日前与十四局大盾构公司对接联系，共同推进项目落地</t>
  </si>
  <si>
    <t>长赣铁路
（江西段）</t>
  </si>
  <si>
    <t>0km以上隧道2座，共24.856km，5km以上隧道9座。全线隧道均采用机械化施工，其中下石陂、武功山、井冈山、甲付、堂屋5座隧道8个工区按Ⅰ型机械化配套，其余隧道采用Ⅱ型机械化配套。</t>
  </si>
  <si>
    <t>特种装备</t>
  </si>
  <si>
    <t>中原、西南、西北、华北区域指挥部</t>
  </si>
  <si>
    <t>赣龙公司</t>
  </si>
  <si>
    <t>钻爆法
成套装备</t>
  </si>
  <si>
    <t>杨志胜</t>
  </si>
  <si>
    <t>项目施工中标公示</t>
  </si>
  <si>
    <t>二标：长赣铁路中铁二十局三公司计划采购1台三臂全电脑凿岩台车、1台钻锚注一体机，五公司计划采购1台三臂全电脑凿岩台车，现已经把设备价格及付款方式提供给项目部。
七标：陪同姬总前往十四局参加业主组织的钻锚注一体机施工现场交流会，商讨施工方案及优化措施。决定调整为集中注浆，同时联合锚固剂厂家优化锚固剂结构。目前现场设备已完成集中注浆模块改造，正在联合锚固剂厂家和项目部进行试验。2026年已开票7598万元。
八标：1、与十二局局指挥部详细交流了现场施工组织进度，标段共9个作业面，5月底前开7个，三季度全部开工。按照各作业面目前的施组方案及计划，十二局四公司仍有2套大机缺口（优先调配）；2、十二局三公司凿岩台车由施工队采购，计划2台五新装备的二臂电脑台车，现1台已发运到现场，设备型号为WD632，经了解，模式为先试用后签订合同；3、计划新增1台拱锚台车。
十标：大桥局五公司1台锚杆台车已交付，本月已确收；一公司2台锚杆台车合同正在签订，预计5月初交付。</t>
  </si>
  <si>
    <t>跟进后续设备需求，谋求新订单，并做好设备的发货、回款催收以及服务监管</t>
  </si>
  <si>
    <t>温福高铁（福建段）</t>
  </si>
  <si>
    <t>省界至宁德站都是中铁设计，其它铁四院设计。
温福高铁福建段隧道设计情况㈠ 隧道概况温福高铁福建段共有隧道144.517km/43.5座，其中正线双线隧道142.557km /39.5座，联络线单线隧道1.960 km/4座。福建段10km以上隧道51.428 km/4座，分别为：新分水关隧道11338m、柘荣隧道13660m、下白石隧道11485m、罗源隧道14944.66m。㈡ 隧道围岩情况全线隧道主要穿越凝灰岩、花岗岩，以硬质岩为主，Ⅱ、Ⅲ级围岩占比达67.7%。其中正线Ⅱ级围岩48130.15m，占比33.8%，Ⅲ级围岩48320m，占比33.9%，Ⅳ级围岩20233m，占比14.2%，Ⅴ级围岩15873.99m，占比11.1%；联络线Ⅱ级围岩203.801m，占比7.5%，Ⅲ级围岩477.54m，占比17.6%，Ⅳ级围岩493.87m，占比18.1%，Ⅴ级围岩1545.80m，占比56.8%。</t>
  </si>
  <si>
    <t>中原、东北区域指挥部</t>
  </si>
  <si>
    <t>东南沿海铁路福建公司</t>
  </si>
  <si>
    <t>铁四院</t>
  </si>
  <si>
    <t>隧道装备</t>
  </si>
  <si>
    <t>项目施工招标阶段</t>
  </si>
  <si>
    <t>1标：1标1工区由中铁12局2公司承建，采购3台拱架台车，1台钻锚注一体机，总价856万元，合同待签；2工区由中铁12局1公司承建，采购2台凿岩台车，1台拱架台车，总价1756万元，合同待签，已发货。1公司还有至少1套凿岩台车、拱架台车需求，已明确下来，未来函。
4标：中铁十一局一公司第二批大机设备合同已于3月31日盖章归档，合同金额2064万（未统计在本月）。已签合同总额5535.5万，预计本月可以完成融资租赁合同签订。
6标：中铁24局福建公司于2026年1月份采购了4台凿岩台车，2台钻锚注一体机，2台拱架台车，1台多功能钻机；已发货3台凿岩台车，1台钻锚注一体机，2台拱架台车，1台多功能钻机；已开票2000万元。中铁24局此项目在下半年还有1~2台凿岩台车及钻锚注一体机需求。中铁建大桥局于2025年12月采购了2台凿岩台车，后续还有2台凿岩台车需求，预计在5月份左右能明确下来。</t>
  </si>
  <si>
    <t>跟进后续设备需求，重点跟进中铁11局、中铁12局分包队伍、中铁24局；挖掘非爆开挖设备需求；设备的发货、回款催收；服务监管等</t>
  </si>
  <si>
    <t>厦漳泉R1线</t>
  </si>
  <si>
    <t>厦漳泉城际轨道R1线全程206千米，设站29座，近期建设泉州东站至漳州西湖段线路长167.1千米，另建与福厦铁路连接线25千米（漳州连接线12千米、晋江连接线13千米）</t>
  </si>
  <si>
    <t>泉州轨道交通集团</t>
  </si>
  <si>
    <t>铁二院</t>
  </si>
  <si>
    <t>ZTE8600-14
ZTSE8600-4</t>
  </si>
  <si>
    <t>周斌</t>
  </si>
  <si>
    <t>施工图设计阶段</t>
  </si>
  <si>
    <t>1.共有8.6米级盾构机39台及4台12.8米级盾构机需求。原计划年底全线开工，最新消息为推迟到2026年6月份开标。中交泉州设厂已选址在南安（原计划在泉港），公司已注册，进展较慢。厦门、漳州、泉州都没有指定盾构机品牌。铁建股指成立了专班跟进。
2.拜访中铁建福建股指，R1线预计2026年6月招标。近期有消息称盾构直径改回8.3米，2月4日组织了进出岛隧道施工专家会。</t>
  </si>
  <si>
    <t>1、对接各个设计院，掌握进度及工程量。
2、拜访系统内各局专班成员单位，配合项目承揽工作。
3、针对天河在泉州设厂进行跟踪，及时掌握动态及对进场盾构机的影响。</t>
  </si>
  <si>
    <t>厦门轨道交通9号线二期（跨海隧道）</t>
  </si>
  <si>
    <t>跨海段采用管片外径11.8米泥水平衡盾构机施工，区间长度2.7公里</t>
  </si>
  <si>
    <t>厦门轨道交通建设集团</t>
  </si>
  <si>
    <t>铁一院</t>
  </si>
  <si>
    <t>ZTS12100-1</t>
  </si>
  <si>
    <t>\</t>
  </si>
  <si>
    <t>2027年</t>
  </si>
  <si>
    <t>预计2026年二季度招标，需求1台ZTS12100,另外经多方了解9号线二期其它标段仍使用已有的厦工中铁旧机</t>
  </si>
  <si>
    <t>配合系统内单位跟进</t>
  </si>
  <si>
    <t>九龙江北溪引水左干渠项目</t>
  </si>
  <si>
    <t>1、九龙江北溪引水左干渠提升改造工程，总投资182800万元
2、龙屿节制闸至过芸溪段：新建输水通道总长约 5.43 千米，其中海沧水厂上游段隧洞长 3.62 千米，海沧水厂下游段隧洞长 1.72 千米，输水箱涵长 0.09 千米。
-深青溪至杏林取水口段：新建输水通道总长约 5.44 千米，其中隧洞长 4.58 千米，输水箱涵长 0.86 千米。
3、隧道计划采用管片外径6.2米盾构机施工，主要穿越的地层有残积砂质粘性土、全风化花岗岩、散体状强风化花岗岩、碎裂状强风化花岗岩、中风化花岗岩。</t>
  </si>
  <si>
    <t>厦门市政原水运营公司</t>
  </si>
  <si>
    <t>上海市政设计院</t>
  </si>
  <si>
    <t>ZTE6480-1
ZTE5580-2</t>
  </si>
  <si>
    <t>此项目为专项债项目，结合资金情况，招标预计在6月份左右进行</t>
  </si>
  <si>
    <t>1、对接业主，跟进项目进展；
2、配合系统内单位跟进</t>
  </si>
  <si>
    <t>霞浦核电站一期排水隧道</t>
  </si>
  <si>
    <t>1、福建霞浦核电厂址隶属于宁德市霞浦县长春镇长门村，共3条隧洞，均采用盾构法施工。一期排水隧道，直径8.1m，长度1.88km；二期排水隧洞，直径8.1m，长度3.4km。三期排水隧洞，直径8.1m，长度4.2km。
2、一期目前处于初步设计阶段，预计2026年第一季度开工。
3、业主：华能霞浦核电有限公司；
4、设计院：中交四航院；
5、总包方：中核工业。分包工程均在华能电子商务平台上招标，投标单位要同时入围了中国核工业及中国华能供应商库。
设备需求：3台ZTS8300。</t>
  </si>
  <si>
    <t>华能霞浦核电有限公司</t>
  </si>
  <si>
    <t>中交四航院</t>
  </si>
  <si>
    <t>ZTS8300-1
竖井掘进机</t>
  </si>
  <si>
    <t>1期排水隧道盾构机始发井采用22米竖井掘进机施工，施工标预计在6月份开标。与中铁15局与3月18日拜访了业主单位；3月23日，中铁15局与业主、总包单位做了竖井掘进机施工技术交流。</t>
  </si>
  <si>
    <t>配合系统内工程局完成项目承揽</t>
  </si>
  <si>
    <t>洪屏抽水蓄能</t>
  </si>
  <si>
    <t>江西省抽水蓄能规划“十四五”重点实施项目，总装机容量为180万千瓦，主要由上水库、输水系统、地下厂房系统、地面开关站及下水库等建筑物组成，与已建洪屏抽水蓄能电站一期工程共用上、下水库，项目投资51.14亿元。</t>
  </si>
  <si>
    <t>江西洪屛抽水蓄能有限公司</t>
  </si>
  <si>
    <t>华东电力勘测设计院</t>
  </si>
  <si>
    <t>十八局二公司</t>
  </si>
  <si>
    <t>竖井掘进机</t>
  </si>
  <si>
    <t>陈浩</t>
  </si>
  <si>
    <t>3月8日前往十八局二公司洪屏抽蓄项目部与项目经理李延浩交流竖井掘进机相关方案，目前掘进事业部设计人员已经提供给客户设备的配置方案及报价。</t>
  </si>
  <si>
    <t>积极配合十八局做好工法变更，并适时邀请业主到我司考察，获得认可</t>
  </si>
  <si>
    <t>上犹江水资源配置工程</t>
  </si>
  <si>
    <t>共27.4km引水隧洞</t>
  </si>
  <si>
    <t>赣州市市政公用集团</t>
  </si>
  <si>
    <t>TBM
土压平衡盾构机</t>
  </si>
  <si>
    <t>1.初步方案是16km采用双护盾TBM，8km采用土压平衡盾构，开挖直径5.3米，其它采用钻爆法（含2个支洞和2个工作井）
2.计划2026年6月份启动招标，系统内11局、18局、14局均在跟进。已协同11和18局对接赣州市水利院和市政公用集团。本周和18局江西负责人王国威、隧道公司魏总一起对接了资源方和市政公用集团，项目已完成可研，计划2026年下半年启动招标。</t>
  </si>
  <si>
    <t>协同十八局隧道公司拜访业主单位赣州市政公用集团，适时邀请客户回司考察。</t>
  </si>
  <si>
    <t>三明将乐方解石矿项目</t>
  </si>
  <si>
    <t>1条约11公里长的皮带机需</t>
  </si>
  <si>
    <t>中铁14局</t>
  </si>
  <si>
    <t>皮带机</t>
  </si>
  <si>
    <t>1.中铁14局、铁一院联合体中标，有1条约11公里长的皮带机需求，预计合同金额在6000万左右。
2.此项目施工框架协议已签，待业主方项目资金落实到位后启动下一步工作。</t>
  </si>
  <si>
    <t>与中铁14局、铁一院保持沟通，跟进后续设备需求</t>
  </si>
  <si>
    <t>杭淳开高速公路（衢州段）</t>
  </si>
  <si>
    <t>隧道 10631.25m/4 座，其中特长隧道 1 座(长苏隧道 4709m)、长隧道 3 座〔北源隧道 1935m，枫坞隧道 2629m，（道沃源遂道全长 2716.5m，TJ04 标段实施 1/2 即 1358.25m），（古田山隧道全长 1590m，TJ04 标段实施 1/2 即 795m）〕；3台三臂凿岩台车、5台双曲臂凿岩台车、4台拱架安装台车、4台锚杆台车、8台湿喷机；8台除尘台车。</t>
  </si>
  <si>
    <t>浙高建</t>
  </si>
  <si>
    <t>数智交院</t>
  </si>
  <si>
    <t>浙江交工宏途</t>
  </si>
  <si>
    <t>全电脑三臂6台
双曲臂11台
拱架台车9台
湿喷机26台
锚杆台车8台
除尘台车20台</t>
  </si>
  <si>
    <t>刘新峥</t>
  </si>
  <si>
    <t>1、项目施工招标前，邀请事业部拜访业主指挥部进行技术交流，加深业主对我司品牌的了解度，在招标文件中推介品牌加入我司；
2、施工单位进场后，组织业主各标段总工及事业部在业主指挥部进行大机配套技术交流；
3、组织公司领导拜访指挥部指挥长并邀请其到我司考察；
4、11月份走访各个标段项目部及队伍老板，了解其真实想法并反馈至领导及指挥部；
5、12月1日业主组织三个大机标段分公司副总及我司领导到指挥部进行交流
6/12月24日带业主及大机标段到川藏铁路项目考察一台设备，如果使用的好，全线1公里以上隧道全面推广。智能型湿喷台车：不做强制要求，但建议吴慧忠采购一台使用。拱架台车：不做要求，由队伍自己决定。。
2、目前1标队伍老板，正在与我司进行价格的最终谈判，预计需求时间为5月底；3标由于中标价格过低，目前暂未招到大机施工队伍；4标，吴慧忠自有一台，向圆其公司明确要求其进行租赁；刘日周自有鑫通设备，并态度坚决，宁可放弃施工也不采购新机。</t>
  </si>
  <si>
    <t>4月15日接待私人客户到我司考察并进行最终谈判；
4月20日继续对接指挥部，根据展馆方案与指挥部进行价格谈判</t>
  </si>
  <si>
    <t>杭淳开高速公路（杭州段）</t>
  </si>
  <si>
    <t>浙江段止于浙江省开化县与江西省德兴市交界处，终点桩号K246+057，路线全长约246km（含千黄高速公路利用段约20km），新建里程约226km。工程总投资约709亿</t>
  </si>
  <si>
    <t>浙江省交通投资集团有限公司</t>
  </si>
  <si>
    <t>浙江数智交院科技股份有限公司</t>
  </si>
  <si>
    <t>TJ01标 中交第三公路工程局有限公司
TJ02标 中交一公局集团有限公司
TJ03标 浙江交工集团股份有限公司
TJ05标 浙江交工金筑交通建设有限公司
TJ06标 浙江交工路桥建设有限公司
TJ07标 浙江交工宏途交通建设有限公司
TJ08标 中交第二公路工程局有限公司
TJ09标 中铁一局集团有限公司
TJ10标 中铁十六局集团有限公司
TJ11标 中交路桥建设有限公司
TJ12标 杭州市交通工程集团有限公司
TJ13标 中天交通建设投资集团有限公司
TJ14标 中交一公局第四工程有限公司</t>
  </si>
  <si>
    <t>全电脑三臂14台
双曲臂18台
拱架台车33台
多功能台车56台</t>
  </si>
  <si>
    <t>唐作栋</t>
  </si>
  <si>
    <t>3月24日已拜访项目经理，劳务队暂未签订分包合同，预计4月初完成，签订分包合同后由项目部引荐与劳务队就设备进行洽谈。</t>
  </si>
  <si>
    <t>1.4月15日前跟进分包队伍老板，与分包老板就设备采购进行洽谈
2.对接建设指挥部，促成由指挥部牵头进行设备整体采购洽谈</t>
  </si>
  <si>
    <t>温福高铁(浙江段）</t>
  </si>
  <si>
    <t>温福高铁正线全长302.246km，其中浙江省境内98.424km（350km/h，双线），乐清联络线单线长7.274km（200km/h，单线），杭温高铁联络线长度33.204km（200km/h，单线）。
新建隧道24.5座/46.906km，其中正线隧道12.5座/24.047km，乐清联络线隧道2座/4.583km，杭温联络线隧道10座/18.281km。隧道围岩以硬质岩为主，围岩级别以Ⅱ～Ⅲ级为主，整体地质条件较好。
温福高铁浙江段共3座隧道邻近既有工程，分别为番薯山隧道、石角门隧道（右线）、钱仓村隧道，为本项目施工重难点。</t>
  </si>
  <si>
    <t>中铁铁路上海局杭州铁路枢纽指挥部</t>
  </si>
  <si>
    <t>铁四院中标勘察设计</t>
  </si>
  <si>
    <t>中铁十六局三公司、铁建港航局二公司、十二局四公司</t>
  </si>
  <si>
    <t>5台三臂凿岩台车、4台拱架台车、4台钻锚注一体机、4台湿喷机、6台搅拌站</t>
  </si>
  <si>
    <t>袁志凌</t>
  </si>
  <si>
    <t>温州段共计7个标段，系统内中标3个，分别为：（2标）中铁十一局、（5标）中铁十六局（港航局）、（7标）中铁十二局，系统外四个，分别为中铁一局、二局、上海局、中交二航局；据对接了解，2标中铁十一局四公司2台240搅拌站已发货，5B标铁建港航局2公司计划采购3台180搅拌站，3月中已发货，十六局3公司初步需求两台240 搅拌站，由于场地未确认，暂未明确。7标有4台套隧道设备需求，目前4公司已确定钻锚注和拱架台车各4台共计1968万（华东590.4万），一公司但由于场地未确认，暂未明确设备需求。</t>
  </si>
  <si>
    <t>1、与中原、西北保持联系，跟进十二局集团及四公司设备采购动态
2.5月份前核实12局4公司凿岩台车需求设备来源；
3.4月份核实跟进跟进十六局三公司征地情况，核实明确搅拌站和二臂凿岩台车需求需求</t>
  </si>
  <si>
    <t>义龙庆高速公路义乌至龙泉段（金华段）</t>
  </si>
  <si>
    <t>全长约105.5公里，采用双向四/六车道高速公路标准，设计速度120km/h</t>
  </si>
  <si>
    <t>浙江金华义龙庆高速公路有限公司</t>
  </si>
  <si>
    <t>需求全电脑三臂凿岩台车16台、智能拱架台车29台、双曲臂凿岩台车10台、湿喷机21台、除尘台车2台、多功能钻机2台</t>
  </si>
  <si>
    <t>万赛</t>
  </si>
  <si>
    <t>1.已对接各项目部大机施工队伍还未确定。
2.已完成浙江易通特种基础工程股份有限公司凿岩台车投标</t>
  </si>
  <si>
    <t>1.跟进客户需求，争取年前签订需求全电脑凿岩台车合同。
2.跟进浙江易通特种基础工程股份有限公司凿岩台车招标结果</t>
  </si>
  <si>
    <t>宜涪高铁</t>
  </si>
  <si>
    <t>正线里程DK105+211.85～DK130+350，正线长度24.051公里，主要工程内容为：①杉树隧道、五峰隧道、三峰岗隧道、独岭隧道进口及进口平导工区等3.5座隧道，杉树湾中桥、湾潭河大桥、茅庄中桥等3.5座桥梁（简支梁均为现浇）等站前工程；②本标段无砟轨道施工，含双块式轨枕运输、卸车，不含预制及其装车，双块式轨枕由YFHBZQ-4标五峰轨枕场负责预制和装车；③四电配套房屋、区间警务区及岗亭及相关工程。</t>
  </si>
  <si>
    <t>中铁十九局华东公司</t>
  </si>
  <si>
    <t>ZYS113-2台HZS180-6台</t>
  </si>
  <si>
    <t>2月29日剩余两台拱架台车已完成发货，目前所有合同签订的设备已经完成交付。</t>
  </si>
  <si>
    <t>了解到后续还有全电脑三臂凿岩台车及拱架台车需求，保持跟进，落实设备需求数量及时间。</t>
  </si>
  <si>
    <t>建德乌龙山抽水蓄能项目</t>
  </si>
  <si>
    <t>主要由上水库、下水库、输水管道及发电厂房组成，拟建装机容量为360万千瓦，安装4台单机300兆瓦的可逆式水泵水轮机，年均发电量约12亿千瓦时。十四五重点项目</t>
  </si>
  <si>
    <t>东北区域指挥部</t>
  </si>
  <si>
    <t>江苏协鑫能源科技有限公司</t>
  </si>
  <si>
    <t>华东院</t>
  </si>
  <si>
    <t>水电一局</t>
  </si>
  <si>
    <t>ZYS113-1</t>
  </si>
  <si>
    <t>1.项目已确定不使用机械法进行廊道及厂房施工，无相关设备需求。
2.以对接中水一局机电安装公司，交流压力钢管焊接机器人</t>
  </si>
  <si>
    <t>4月30日前拜访项目部，就焊接机器人进行交流洽谈</t>
  </si>
  <si>
    <t>台州S2线3标</t>
  </si>
  <si>
    <t>项目概况
区间隧道：长3890.6803m（短链3.8197m）。其中盾构段3283.1803m</t>
  </si>
  <si>
    <t>台州市轨道交通，东华地方铁路代建</t>
  </si>
  <si>
    <t>中铁十四局大盾构公司</t>
  </si>
  <si>
    <t>2台ZTE9100土压平衡盾构机</t>
  </si>
  <si>
    <t>沈腾飞</t>
  </si>
  <si>
    <t>1.设备方案已给出，设备暂定DL530/1353，我司租赁报价9600元/米，第二轮报价8000元/米。2.项目部主导设备租赁，项目以提前支付合同金额90%的条件希望各单位设备报价降低，期望租赁价格6000元/米以下，目前已汇报事业部，事业部考虑连同十四局大盾构公司其他设备一起谈判，3.1月27日华东区域已组织同项目部技术交流；4.暂定2月1日华中区域刘志华和项目经理在武汉再次商谈租赁价格。5.设备租赁价格6880元/延米，已发启动函，5月15日完成合同签订。</t>
  </si>
  <si>
    <t>完合同签订</t>
  </si>
  <si>
    <t>中心大道过江隧道项目</t>
  </si>
  <si>
    <t>台州市椒江城市发展投资集团有限公司投资的世纪大道路过江隧道，隧道长度2.1km，由椒江区投资，项目已立项完成，采用16.3米泥水平衡盾构机。</t>
  </si>
  <si>
    <t>台州市椒江城市发展投资集团有限公司</t>
  </si>
  <si>
    <t>湖南交规院</t>
  </si>
  <si>
    <t>ZTS16330-1</t>
  </si>
  <si>
    <t>1.2025年6月拜访设计单位及项目专班，交流盾构机选型；
2.跟踪初步审查进展，2025年11月已完成初步审查；
3、资金来源采用专项债，目前到账3亿元，已启动前期道路项目；
4、预计2026年2季度施工招标；
5.隧道延米设计概算42万元/米；
6.目前台州市政府拟改造一桥，项目存在推迟风险，预计2026年下半年施工招标。</t>
  </si>
  <si>
    <t>1.了解代建单位招标时间、招标条件设置、业主资金到位情况等；
2.配合十四局接待业主到海太项目考察。</t>
  </si>
  <si>
    <t>绍兴市地铁4号线2标</t>
  </si>
  <si>
    <t>人民东路站～迎宾路站区间、迎宾路站、迎宾路站～独树路站区间总共1站2区间涉及的车站及区间的永久工程；迎宾路站：地下一层为站厅层，地下二层为站台层，站台宽度均为 11m。车站主体基坑长 167.00m，标准段宽 19.7m，端头井宽 24.0m，车站覆土约 3m。标准段坑深约 16.65m，西端头井挖深 18.35m，东端头井挖深18.65m；人民东路站～迎宾路站区间区间长度1500米，迎宾路站～独树路站盾构区间区间长度1980米</t>
  </si>
  <si>
    <t>华北区域指挥你</t>
  </si>
  <si>
    <t>绍兴地铁集团有限责任公司</t>
  </si>
  <si>
    <t>中铁十八局市政公司</t>
  </si>
  <si>
    <t>ZTE6950-4</t>
  </si>
  <si>
    <t>已与客户初步洽谈，该项目为合作中标项目，十八局施工1.5公里拟续租或回购杭州地铁10号线DL912/913；私人老板施工1.9公里区间，预计进场时间27年3月、4月份，设备来源暂未明确（需求时间27年4月、5月）。目前回购价格已初步核算1980万；</t>
  </si>
  <si>
    <t>继续对接十八局市政公司，明确其公司具体的批复情况，是否在市面上租赁设备</t>
  </si>
  <si>
    <t>浙江特高压交流环网嘉兴-宁波段跨越钱塘江输电工程GIL管廊</t>
  </si>
  <si>
    <t>项目处于可研阶段，管廊长度约4.9km，采用11m6管片外径泥水平衡盾构机施工</t>
  </si>
  <si>
    <t>华北区域指挥部</t>
  </si>
  <si>
    <t>国网浙江省电力有限公司</t>
  </si>
  <si>
    <t>中国电力工程顾问集团华东电力设计院有限公司</t>
  </si>
  <si>
    <t>ZTE12100-1</t>
  </si>
  <si>
    <t>1.中铁十四局大盾构公司已中标施工标，投标时为保证业绩分，使用海瑞克技术方案投标。
2.已拜访业主单位，业主暂未强制要求使用进口设备或投标厂商设备，国网特高压事业部拟考察国产设备厂商设备。</t>
  </si>
  <si>
    <t>1.4月10日前与十四局进行对接洽谈，了解十四局拟使用设备情况
2.配合华北区域邀请业主前往我司进行考察</t>
  </si>
  <si>
    <t>浙东水资源配置通道-宁波象山港北岸输配水（一期）</t>
  </si>
  <si>
    <t>主要建设内容为:（1）新建蒋家池头至大嵩水厂引（输）水管线，其中主管线长约 16.9 千米。输水线在张家墈转 1#隧洞（长约 4.26 千米）下穿金娥山，在车岭水库南侧山体出洞。再次以顶管（2#管道，长约 659 米）下穿下潘村后，转入 2#隧洞（长约 11.62 千米）穿越横岭山、梅溪，甬绍东天然气管、地铁12号线，在经堂寺南侧山体出洞，通过3#管道（长约 143 米）接入大嵩水厂调节阀室。（2）在梅溪水库上游新建联通支洞，长约 1.47 千米。项目总投资：约13.75亿元,</t>
  </si>
  <si>
    <t>宁波水投</t>
  </si>
  <si>
    <t>华东院（宁波水院）</t>
  </si>
  <si>
    <t>ZTT4030TBM一台，2026年4月</t>
  </si>
  <si>
    <t>1.10月14日拜访宁波水投工程技术部，项目可研审批中，计划元旦前招标。
2.浙江隧道已中标东西线水库联通工程，设备型号一致，且项目完成业主较认可，中标概率较大。
3.12月11日拜访宁波水投工程主管，项目可研近期批复，预计2026年2-3月招标。
4、1月20日施工招标，2月10日投标截止，目前中铁十八局、十九局业绩满足。
核实设备需求时间为 2026 年 8 月，计划 10—11月实现始发。设备拟由禹顺生态采购 4 米级 TBM，并计划租赁给广东省粤水电用于施工。3 月中旬及下旬，与禹顺生态柴总进行了两次沟通交流，目前主要竞争对手为中铁装备，安徽唐兴、华隧。3 月 28 日已向禹顺生态提交设备报价及配置参数资料。禹顺生态计划于 3 月底组织外部专家对各单位提交的参数方案进行评审，预计 4 月上旬确定设备中标单位。3月30日获悉华隧自有一台设备且带施工，粤水电不参与施工、仅收取管理费，禹顺自负盈亏。粤水电负责项目的设备招采流程（租赁）
3月底客户已告知业主租赁TBM。</t>
  </si>
  <si>
    <t>1、了解租赁招标流程，启动时间等；2、梳理TBM资源，价格等，再决策是否参与投标</t>
  </si>
  <si>
    <t>文一西路西延工程（三期）</t>
  </si>
  <si>
    <t>文一西路西延工程（三期）东起南湖围堤外侧（与二期预留的6#工作井相接），西至余杭区界，全长约5公里。项目主线下穿苕溪后接入科技大道，其中下穿苕溪段隧道全长约1.76公里（盾构段长约1.3公里），科技大道段长约3.24公里。</t>
  </si>
  <si>
    <t>杭州余杭城市发展投资集团有限公司</t>
  </si>
  <si>
    <t>上海勘察设计研究院（集团）股份有限公司</t>
  </si>
  <si>
    <t>未招标</t>
  </si>
  <si>
    <t>ZTS14960-1</t>
  </si>
  <si>
    <t>1.中交隧道局中标施工标，我司无可租赁设备
2.中铁十五局横琴项目设备目前闲置，正在对接进行转租或进行维修改造</t>
  </si>
  <si>
    <t>4月30日前跟进中交隧道局项目部，了解设备需求情况</t>
  </si>
  <si>
    <t>正在投标阶段项目汇总表</t>
  </si>
  <si>
    <r>
      <rPr>
        <b/>
        <sz val="12"/>
        <rFont val="微软雅黑"/>
        <charset val="134"/>
      </rPr>
      <t>备注:  1、各区域指挥部需要填写</t>
    </r>
    <r>
      <rPr>
        <b/>
        <sz val="12"/>
        <color rgb="FFFF0000"/>
        <rFont val="微软雅黑"/>
        <charset val="134"/>
      </rPr>
      <t>所有正在投标的项目</t>
    </r>
    <r>
      <rPr>
        <b/>
        <sz val="12"/>
        <rFont val="微软雅黑"/>
        <charset val="134"/>
      </rPr>
      <t>，更新到项目定标（即中标或丢标）为止，于每周日下午18:00前反馈至经营计划部。
          2、特殊商务条款包括但不限于:特殊服务条款、合同风险条款、</t>
    </r>
    <r>
      <rPr>
        <b/>
        <sz val="12"/>
        <color rgb="FFFF0000"/>
        <rFont val="微软雅黑"/>
        <charset val="134"/>
      </rPr>
      <t>不满足招标要求需偏离响应条款</t>
    </r>
    <r>
      <rPr>
        <b/>
        <sz val="12"/>
        <rFont val="微软雅黑"/>
        <charset val="134"/>
      </rPr>
      <t>，等等。
          3、评标办法根据招标文件规定，</t>
    </r>
    <r>
      <rPr>
        <b/>
        <sz val="12"/>
        <color rgb="FFFF0000"/>
        <rFont val="微软雅黑"/>
        <charset val="134"/>
      </rPr>
      <t>简明扼要概括填报（不要简单复制粘贴）</t>
    </r>
    <r>
      <rPr>
        <b/>
        <sz val="12"/>
        <rFont val="微软雅黑"/>
        <charset val="134"/>
      </rPr>
      <t>。</t>
    </r>
  </si>
  <si>
    <t>序号</t>
  </si>
  <si>
    <t>协办方 1</t>
  </si>
  <si>
    <t>协办方 2</t>
  </si>
  <si>
    <t>开标时间</t>
  </si>
  <si>
    <t>招标付款条款</t>
  </si>
  <si>
    <t>招标特殊商务条款</t>
  </si>
  <si>
    <t>项目综合风险等级</t>
  </si>
  <si>
    <t>其他竞标单位</t>
  </si>
  <si>
    <t>评标办法与特殊要约</t>
  </si>
  <si>
    <t>需协调解决事项</t>
  </si>
  <si>
    <t>是否是重点项目</t>
  </si>
  <si>
    <t>浙江易通特种基础工程股份有限公司凿岩台车采购项目</t>
  </si>
  <si>
    <t>采购方与项目背景：浙江易通特种基础工程股份有限公司承接义龙庆高速公路项目 7 标劳务施工，需采购专业凿岩台车设备。
采购清单：2 台全电脑三臂凿岩台车 + 2 台双曲臂凿岩台车，本次投标为整体项目，不划分多包，需统一响应。</t>
  </si>
  <si>
    <t>特种装备事业部</t>
  </si>
  <si>
    <t>浙江易通特种基础工程股份有限公司</t>
  </si>
  <si>
    <t>凿岩台车-4</t>
  </si>
  <si>
    <t>三臂凿岩台车2台：首台5月30日前交付，其余6月30日前交付
二臂凿岩台车2台：6月30日前交付</t>
  </si>
  <si>
    <t>设备投标</t>
  </si>
  <si>
    <t>1.合同签订后7个工作日内付总合同额的30%
2.设备出厂前付至合同总额的90%
3.质保期为设备交付验收无误后  12  个月</t>
  </si>
  <si>
    <t>蓝线</t>
  </si>
  <si>
    <t>江西鑫通、五新装备</t>
  </si>
  <si>
    <t>邀请招标</t>
  </si>
  <si>
    <t>已完成设备投标</t>
  </si>
  <si>
    <t>跟进开标结果</t>
  </si>
  <si>
    <t>新增</t>
  </si>
  <si>
    <t xml:space="preserve">  </t>
  </si>
  <si>
    <t>中标实施阶段项目汇总表</t>
  </si>
  <si>
    <r>
      <rPr>
        <b/>
        <sz val="12"/>
        <rFont val="微软雅黑"/>
        <charset val="134"/>
      </rPr>
      <t>备注:各区域指挥部需要填写</t>
    </r>
    <r>
      <rPr>
        <b/>
        <sz val="12"/>
        <color rgb="FFFF0000"/>
        <rFont val="微软雅黑"/>
        <charset val="134"/>
      </rPr>
      <t>重点</t>
    </r>
    <r>
      <rPr>
        <b/>
        <sz val="12"/>
        <rFont val="微软雅黑"/>
        <charset val="134"/>
      </rPr>
      <t>中标实施阶段项目，于</t>
    </r>
    <r>
      <rPr>
        <b/>
        <sz val="12"/>
        <color rgb="FFFF0000"/>
        <rFont val="微软雅黑"/>
        <charset val="134"/>
      </rPr>
      <t>每周日下午18:00前</t>
    </r>
    <r>
      <rPr>
        <b/>
        <sz val="12"/>
        <rFont val="微软雅黑"/>
        <charset val="134"/>
      </rPr>
      <t>反馈至经营计划部。</t>
    </r>
  </si>
  <si>
    <t>合同编号</t>
  </si>
  <si>
    <t>合同金额（万元）</t>
  </si>
  <si>
    <t>逾期金额</t>
  </si>
  <si>
    <t>中标设备名称与数量</t>
  </si>
  <si>
    <t>中标金额（万元）</t>
  </si>
  <si>
    <t>特殊合同条款</t>
  </si>
  <si>
    <t>金义东市域轨道交通工程土建施工15标段项目</t>
  </si>
  <si>
    <t>掘进机事业部</t>
  </si>
  <si>
    <t>中铁二十二局</t>
  </si>
  <si>
    <t>盾构机-2</t>
  </si>
  <si>
    <t>CRCHI-TD-2020-003</t>
  </si>
  <si>
    <t>拜访了二十二局四公司，目前该项目款项在公司清欠名录，该公司同意项目回款后可以给项目部兑换票据支付我司欠款；对接了项目经理李子健，给与回复是9月底会与金华轨道交通业主结算剩余款项，同意款项到账后给与支付剩余款项，但是到目前为止还未与业主结算。</t>
  </si>
  <si>
    <t>联合华北区域指挥部共同催款</t>
  </si>
  <si>
    <t>杭州地铁8号线一期工程施工总承包土建工区二项目部</t>
  </si>
  <si>
    <t>中铁十九局集团有限公司</t>
  </si>
  <si>
    <t>SBHT-09-HZ08-2019-016</t>
  </si>
  <si>
    <t>联合华北区域指挥部前往轨道公司催收欠款，此前承诺项目部收到款项后支付我司欠款</t>
  </si>
  <si>
    <t>跟进客户付款进度并向十九局轨道公司催收欠款</t>
  </si>
  <si>
    <t>混凝土喷射台车采购</t>
  </si>
  <si>
    <t>特装事业部</t>
  </si>
  <si>
    <t>福建省冠畅建筑工程有限公司</t>
  </si>
  <si>
    <t>混凝土喷射台车-1</t>
  </si>
  <si>
    <t>16jqzc-2fb-01</t>
  </si>
  <si>
    <t>1.和十六局二公司重新商谈付款计划，暂未有结果。
2.已和十六局二公司项目经理沟通，必须把15万欠款单独拿出来支付给我司。</t>
  </si>
  <si>
    <t>跟进十六局二公司付款进度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</si>
</sst>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yyyy&quot;年&quot;m&quot;月&quot;;@"/>
    <numFmt numFmtId="178" formatCode="0.00_ "/>
  </numFmts>
  <fonts count="35">
    <font>
      <sz val="11"/>
      <color theme="1"/>
      <name val="等线"/>
      <charset val="134"/>
      <scheme val="minor"/>
    </font>
    <font>
      <sz val="11"/>
      <color theme="1"/>
      <name val="微软雅黑"/>
      <charset val="134"/>
    </font>
    <font>
      <b/>
      <sz val="18"/>
      <name val="微软雅黑"/>
      <charset val="134"/>
    </font>
    <font>
      <b/>
      <sz val="12"/>
      <name val="微软雅黑"/>
      <charset val="134"/>
    </font>
    <font>
      <b/>
      <sz val="14"/>
      <name val="微软雅黑"/>
      <charset val="134"/>
    </font>
    <font>
      <sz val="18"/>
      <color theme="1"/>
      <name val="仿宋"/>
      <charset val="134"/>
    </font>
    <font>
      <sz val="18"/>
      <name val="仿宋"/>
      <charset val="134"/>
    </font>
    <font>
      <sz val="18"/>
      <name val="仿宋"/>
      <charset val="1"/>
    </font>
    <font>
      <sz val="20"/>
      <color theme="1"/>
      <name val="仿宋"/>
      <charset val="134"/>
    </font>
    <font>
      <sz val="20"/>
      <name val="仿宋"/>
      <charset val="134"/>
    </font>
    <font>
      <b/>
      <sz val="20"/>
      <name val="仿宋"/>
      <charset val="134"/>
    </font>
    <font>
      <sz val="20"/>
      <color indexed="8"/>
      <name val="仿宋"/>
      <charset val="134"/>
    </font>
    <font>
      <sz val="20"/>
      <color rgb="FF000000"/>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等线"/>
      <charset val="134"/>
      <scheme val="minor"/>
    </font>
    <font>
      <b/>
      <sz val="12"/>
      <color rgb="FFFF0000"/>
      <name val="微软雅黑"/>
      <charset val="134"/>
    </font>
    <font>
      <sz val="9"/>
      <name val="宋体"/>
      <charset val="134"/>
    </font>
  </fonts>
  <fills count="37">
    <fill>
      <patternFill patternType="none"/>
    </fill>
    <fill>
      <patternFill patternType="gray125"/>
    </fill>
    <fill>
      <patternFill patternType="solid">
        <fgColor rgb="FF00B050"/>
        <bgColor indexed="64"/>
      </patternFill>
    </fill>
    <fill>
      <patternFill patternType="solid">
        <fgColor rgb="FFFF8181"/>
        <bgColor indexed="64"/>
      </patternFill>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6"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7" borderId="6" applyNumberFormat="0" applyAlignment="0" applyProtection="0">
      <alignment vertical="center"/>
    </xf>
    <xf numFmtId="0" fontId="22" fillId="8" borderId="7" applyNumberFormat="0" applyAlignment="0" applyProtection="0">
      <alignment vertical="center"/>
    </xf>
    <xf numFmtId="0" fontId="23" fillId="8" borderId="6" applyNumberFormat="0" applyAlignment="0" applyProtection="0">
      <alignment vertical="center"/>
    </xf>
    <xf numFmtId="0" fontId="24" fillId="9"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0" fontId="32" fillId="0" borderId="0" applyBorder="0">
      <alignment vertical="center"/>
    </xf>
  </cellStyleXfs>
  <cellXfs count="57">
    <xf numFmtId="0" fontId="0" fillId="0" borderId="0" xfId="0">
      <alignment vertical="center"/>
    </xf>
    <xf numFmtId="0" fontId="1" fillId="0" borderId="0" xfId="0" applyFont="1">
      <alignment vertical="center"/>
    </xf>
    <xf numFmtId="0" fontId="0" fillId="0" borderId="0" xfId="0" applyFill="1" applyAlignment="1">
      <alignment horizontal="center" vertical="center" wrapText="1"/>
    </xf>
    <xf numFmtId="0" fontId="0" fillId="0" borderId="0" xfId="0" applyFill="1" applyAlignment="1">
      <alignment vertical="center" wrapText="1"/>
    </xf>
    <xf numFmtId="0" fontId="0" fillId="0" borderId="0" xfId="0" applyFill="1">
      <alignment vertical="center"/>
    </xf>
    <xf numFmtId="0" fontId="2" fillId="0" borderId="0" xfId="0" applyFont="1" applyFill="1" applyAlignment="1">
      <alignment horizontal="center" vertical="center"/>
    </xf>
    <xf numFmtId="0" fontId="3" fillId="0" borderId="0" xfId="0" applyFont="1" applyFill="1" applyAlignment="1">
      <alignment horizontal="left"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0" fillId="0" borderId="2" xfId="0" applyFill="1" applyBorder="1" applyAlignment="1">
      <alignment horizontal="center" vertical="center" wrapText="1"/>
    </xf>
    <xf numFmtId="176" fontId="7" fillId="0" borderId="2" xfId="0" applyNumberFormat="1" applyFont="1" applyFill="1" applyBorder="1" applyAlignment="1">
      <alignment horizontal="center" vertical="center" wrapText="1"/>
    </xf>
    <xf numFmtId="0" fontId="6" fillId="0" borderId="2" xfId="0" applyNumberFormat="1" applyFont="1" applyFill="1" applyBorder="1" applyAlignment="1">
      <alignment vertical="center" wrapText="1"/>
    </xf>
    <xf numFmtId="0" fontId="0" fillId="0" borderId="2" xfId="0" applyFill="1" applyBorder="1" applyAlignment="1">
      <alignment vertical="center" wrapText="1"/>
    </xf>
    <xf numFmtId="0" fontId="8" fillId="0" borderId="0" xfId="0" applyFont="1" applyAlignment="1">
      <alignment horizontal="center" vertical="center"/>
    </xf>
    <xf numFmtId="0" fontId="4" fillId="4" borderId="2"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58" fontId="8" fillId="0" borderId="2" xfId="0" applyNumberFormat="1" applyFont="1" applyBorder="1" applyAlignment="1">
      <alignment horizontal="center" vertical="center"/>
    </xf>
    <xf numFmtId="0" fontId="8" fillId="0" borderId="2" xfId="0" applyFont="1" applyBorder="1" applyAlignment="1">
      <alignment horizontal="left" vertical="center" wrapText="1"/>
    </xf>
    <xf numFmtId="0" fontId="8" fillId="0" borderId="0" xfId="0" applyFont="1" applyFill="1" applyAlignment="1">
      <alignment horizontal="center" vertical="center"/>
    </xf>
    <xf numFmtId="0" fontId="9" fillId="5" borderId="0" xfId="0" applyFont="1" applyFill="1" applyAlignment="1">
      <alignment horizontal="center" vertical="center" wrapText="1"/>
    </xf>
    <xf numFmtId="0" fontId="9" fillId="0" borderId="0" xfId="0" applyFont="1" applyFill="1" applyAlignment="1">
      <alignment horizontal="center" vertical="center"/>
    </xf>
    <xf numFmtId="0" fontId="9" fillId="5" borderId="0" xfId="0" applyFont="1" applyFill="1" applyAlignment="1">
      <alignment horizontal="center" vertical="center"/>
    </xf>
    <xf numFmtId="177" fontId="0" fillId="0" borderId="0" xfId="0" applyNumberFormat="1" applyFill="1">
      <alignment vertical="center"/>
    </xf>
    <xf numFmtId="0" fontId="0" fillId="0" borderId="0" xfId="0" applyFill="1" applyAlignment="1">
      <alignment horizontal="left" vertical="center"/>
    </xf>
    <xf numFmtId="0" fontId="10" fillId="0" borderId="2" xfId="0" applyFont="1" applyFill="1" applyBorder="1" applyAlignment="1">
      <alignment horizontal="center" vertical="center" wrapText="1"/>
    </xf>
    <xf numFmtId="177" fontId="10" fillId="0" borderId="2" xfId="0" applyNumberFormat="1" applyFont="1" applyFill="1" applyBorder="1" applyAlignment="1">
      <alignment horizontal="center" vertical="center" wrapText="1"/>
    </xf>
    <xf numFmtId="0" fontId="9" fillId="5"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57" fontId="9" fillId="5" borderId="2" xfId="0" applyNumberFormat="1" applyFont="1" applyFill="1" applyBorder="1" applyAlignment="1">
      <alignment horizontal="center" vertical="center" wrapText="1"/>
    </xf>
    <xf numFmtId="0" fontId="9" fillId="5" borderId="2" xfId="0" applyFont="1" applyFill="1" applyBorder="1" applyAlignment="1">
      <alignment horizontal="center" vertical="center" wrapText="1"/>
    </xf>
    <xf numFmtId="0" fontId="11" fillId="0"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57" fontId="9"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2" xfId="0" applyFont="1" applyFill="1" applyBorder="1" applyAlignment="1">
      <alignment vertical="center" wrapText="1"/>
    </xf>
    <xf numFmtId="0" fontId="9" fillId="5" borderId="2" xfId="0" applyFont="1" applyFill="1" applyBorder="1" applyAlignment="1">
      <alignment horizontal="center" vertical="center"/>
    </xf>
    <xf numFmtId="0" fontId="11" fillId="5" borderId="2" xfId="0" applyFont="1" applyFill="1" applyBorder="1" applyAlignment="1">
      <alignment vertical="center" wrapText="1"/>
    </xf>
    <xf numFmtId="0" fontId="11" fillId="0" borderId="2" xfId="0" applyFont="1" applyFill="1" applyBorder="1" applyAlignment="1">
      <alignment horizontal="center" vertical="center" wrapText="1"/>
    </xf>
    <xf numFmtId="57" fontId="9"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wrapText="1"/>
    </xf>
    <xf numFmtId="177" fontId="9" fillId="0" borderId="2" xfId="0" applyNumberFormat="1" applyFont="1" applyFill="1" applyBorder="1" applyAlignment="1">
      <alignment horizontal="center" vertical="center" wrapText="1"/>
    </xf>
    <xf numFmtId="178" fontId="9" fillId="0" borderId="2" xfId="0" applyNumberFormat="1" applyFont="1" applyFill="1" applyBorder="1" applyAlignment="1">
      <alignment horizontal="center" vertical="center" wrapText="1"/>
    </xf>
    <xf numFmtId="0" fontId="9" fillId="0" borderId="2" xfId="0" applyFont="1" applyFill="1" applyBorder="1" applyAlignment="1">
      <alignment horizontal="center" vertical="center"/>
    </xf>
    <xf numFmtId="177" fontId="9" fillId="5" borderId="2" xfId="0" applyNumberFormat="1" applyFont="1" applyFill="1" applyBorder="1" applyAlignment="1">
      <alignment horizontal="center" vertical="center" wrapText="1"/>
    </xf>
    <xf numFmtId="178" fontId="9" fillId="5" borderId="2" xfId="0" applyNumberFormat="1" applyFont="1" applyFill="1" applyBorder="1" applyAlignment="1">
      <alignment horizontal="center" vertical="center" wrapText="1"/>
    </xf>
    <xf numFmtId="57" fontId="9" fillId="5" borderId="2" xfId="0" applyNumberFormat="1" applyFont="1" applyFill="1" applyBorder="1" applyAlignment="1">
      <alignment horizontal="left" vertical="center" wrapText="1"/>
    </xf>
    <xf numFmtId="0" fontId="12" fillId="5"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colors>
    <mruColors>
      <color rgb="0000B050"/>
      <color rgb="00C00000"/>
      <color rgb="00FF8181"/>
      <color rgb="00FCAD36"/>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XFD47"/>
  <sheetViews>
    <sheetView tabSelected="1" zoomScale="40" zoomScaleNormal="40" workbookViewId="0">
      <pane xSplit="2" ySplit="1" topLeftCell="I15" activePane="bottomRight" state="frozen"/>
      <selection/>
      <selection pane="topRight"/>
      <selection pane="bottomLeft"/>
      <selection pane="bottomRight" activeCell="O16" sqref="O16"/>
    </sheetView>
  </sheetViews>
  <sheetFormatPr defaultColWidth="8.70833333333333" defaultRowHeight="14"/>
  <cols>
    <col min="1" max="1" width="52.0833333333333" style="4" customWidth="1"/>
    <col min="2" max="2" width="89.5833333333333" style="4" customWidth="1"/>
    <col min="3" max="5" width="11.6583333333333" style="4" customWidth="1"/>
    <col min="6" max="6" width="11.6583333333333" style="4" hidden="1" customWidth="1"/>
    <col min="7" max="7" width="11.6583333333333" style="4" customWidth="1"/>
    <col min="8" max="8" width="12.0166666666667" style="4" customWidth="1"/>
    <col min="9" max="9" width="15.7166666666667" style="4" customWidth="1"/>
    <col min="10" max="10" width="17.3833333333333" style="4" customWidth="1"/>
    <col min="11" max="11" width="20.3" style="4" customWidth="1"/>
    <col min="12" max="12" width="23.8083333333333" style="28" customWidth="1"/>
    <col min="13" max="13" width="13.7166666666667" style="4" customWidth="1"/>
    <col min="14" max="14" width="17.0166666666667" style="4" customWidth="1"/>
    <col min="15" max="15" width="63.3333333333333" style="4" customWidth="1"/>
    <col min="16" max="16" width="29.6416666666667" style="29" customWidth="1"/>
    <col min="17" max="17" width="32.0833333333333" style="29" customWidth="1"/>
    <col min="18" max="20" width="14.3333333333333" style="4" customWidth="1"/>
    <col min="21" max="16384" width="8.70833333333333" style="4"/>
  </cols>
  <sheetData>
    <row r="1" s="24" customFormat="1" ht="78" customHeight="1" spans="1:20 16384:16384">
      <c r="A1" s="30" t="s">
        <v>0</v>
      </c>
      <c r="B1" s="30" t="s">
        <v>1</v>
      </c>
      <c r="C1" s="30" t="s">
        <v>2</v>
      </c>
      <c r="D1" s="30" t="s">
        <v>3</v>
      </c>
      <c r="E1" s="30" t="s">
        <v>4</v>
      </c>
      <c r="F1" s="30" t="s">
        <v>5</v>
      </c>
      <c r="G1" s="30" t="s">
        <v>6</v>
      </c>
      <c r="H1" s="30" t="s">
        <v>7</v>
      </c>
      <c r="I1" s="30" t="s">
        <v>8</v>
      </c>
      <c r="J1" s="30" t="s">
        <v>9</v>
      </c>
      <c r="K1" s="30" t="s">
        <v>10</v>
      </c>
      <c r="L1" s="31" t="s">
        <v>11</v>
      </c>
      <c r="M1" s="30" t="s">
        <v>12</v>
      </c>
      <c r="N1" s="30" t="s">
        <v>13</v>
      </c>
      <c r="O1" s="30" t="s">
        <v>14</v>
      </c>
      <c r="P1" s="30" t="s">
        <v>15</v>
      </c>
      <c r="Q1" s="30" t="s">
        <v>16</v>
      </c>
      <c r="R1" s="30" t="s">
        <v>17</v>
      </c>
      <c r="S1" s="30" t="s">
        <v>18</v>
      </c>
      <c r="T1" s="30" t="s">
        <v>19</v>
      </c>
    </row>
    <row r="2" s="25" customFormat="1" ht="178" customHeight="1" spans="1:20 16384:16384">
      <c r="A2" s="32" t="s">
        <v>20</v>
      </c>
      <c r="B2" s="33" t="s">
        <v>21</v>
      </c>
      <c r="C2" s="33" t="s">
        <v>22</v>
      </c>
      <c r="D2" s="32" t="s">
        <v>23</v>
      </c>
      <c r="E2" s="32"/>
      <c r="F2" s="33"/>
      <c r="G2" s="33"/>
      <c r="H2" s="33"/>
      <c r="I2" s="32" t="s">
        <v>24</v>
      </c>
      <c r="J2" s="33" t="s">
        <v>25</v>
      </c>
      <c r="K2" s="34" t="s">
        <v>26</v>
      </c>
      <c r="L2" s="33" t="s">
        <v>27</v>
      </c>
      <c r="M2" s="33" t="s">
        <v>28</v>
      </c>
      <c r="N2" s="33" t="s">
        <v>29</v>
      </c>
      <c r="O2" s="35" t="s">
        <v>30</v>
      </c>
      <c r="P2" s="32"/>
      <c r="Q2" s="32" t="s">
        <v>31</v>
      </c>
      <c r="R2" s="32" t="s">
        <v>32</v>
      </c>
      <c r="S2" s="32"/>
      <c r="T2" s="35"/>
      <c r="XFD2" s="32"/>
    </row>
    <row r="3" s="25" customFormat="1" ht="178" customHeight="1" spans="1:20 16384:16384">
      <c r="A3" s="32" t="s">
        <v>33</v>
      </c>
      <c r="B3" s="33" t="s">
        <v>34</v>
      </c>
      <c r="C3" s="33" t="s">
        <v>22</v>
      </c>
      <c r="D3" s="32" t="s">
        <v>23</v>
      </c>
      <c r="E3" s="32"/>
      <c r="F3" s="33"/>
      <c r="G3" s="33" t="s">
        <v>35</v>
      </c>
      <c r="H3" s="33" t="s">
        <v>36</v>
      </c>
      <c r="I3" s="32" t="s">
        <v>37</v>
      </c>
      <c r="J3" s="33" t="s">
        <v>38</v>
      </c>
      <c r="K3" s="34" t="s">
        <v>26</v>
      </c>
      <c r="L3" s="33" t="s">
        <v>39</v>
      </c>
      <c r="M3" s="33" t="s">
        <v>28</v>
      </c>
      <c r="N3" s="33" t="s">
        <v>29</v>
      </c>
      <c r="O3" s="35" t="s">
        <v>40</v>
      </c>
      <c r="P3" s="32"/>
      <c r="Q3" s="32" t="s">
        <v>41</v>
      </c>
      <c r="R3" s="32" t="s">
        <v>32</v>
      </c>
      <c r="S3" s="32"/>
      <c r="T3" s="35"/>
      <c r="XFD3" s="32"/>
    </row>
    <row r="4" s="25" customFormat="1" ht="178" customHeight="1" spans="1:20 16384:16384">
      <c r="A4" s="32" t="s">
        <v>42</v>
      </c>
      <c r="B4" s="33" t="s">
        <v>43</v>
      </c>
      <c r="C4" s="33" t="s">
        <v>22</v>
      </c>
      <c r="D4" s="32" t="s">
        <v>23</v>
      </c>
      <c r="E4" s="32"/>
      <c r="F4" s="33"/>
      <c r="G4" s="33" t="s">
        <v>35</v>
      </c>
      <c r="H4" s="33" t="s">
        <v>44</v>
      </c>
      <c r="I4" s="32" t="s">
        <v>45</v>
      </c>
      <c r="J4" s="33" t="s">
        <v>46</v>
      </c>
      <c r="K4" s="34" t="s">
        <v>26</v>
      </c>
      <c r="L4" s="33">
        <v>46478</v>
      </c>
      <c r="M4" s="33" t="s">
        <v>28</v>
      </c>
      <c r="N4" s="33" t="s">
        <v>29</v>
      </c>
      <c r="O4" s="35" t="s">
        <v>47</v>
      </c>
      <c r="P4" s="32"/>
      <c r="Q4" s="32" t="s">
        <v>48</v>
      </c>
      <c r="R4" s="32" t="s">
        <v>32</v>
      </c>
      <c r="S4" s="32"/>
      <c r="T4" s="35"/>
      <c r="XFD4" s="32"/>
    </row>
    <row r="5" s="26" customFormat="1" ht="178" customHeight="1" spans="1:20 16384:16384">
      <c r="A5" s="36" t="s">
        <v>49</v>
      </c>
      <c r="B5" s="36" t="s">
        <v>50</v>
      </c>
      <c r="C5" s="36" t="s">
        <v>22</v>
      </c>
      <c r="D5" s="37" t="s">
        <v>23</v>
      </c>
      <c r="E5" s="37" t="s">
        <v>39</v>
      </c>
      <c r="F5" s="37"/>
      <c r="G5" s="36" t="s">
        <v>51</v>
      </c>
      <c r="H5" s="36" t="s">
        <v>36</v>
      </c>
      <c r="I5" s="36" t="s">
        <v>52</v>
      </c>
      <c r="J5" s="36" t="s">
        <v>53</v>
      </c>
      <c r="K5" s="37" t="s">
        <v>26</v>
      </c>
      <c r="L5" s="38" t="s">
        <v>39</v>
      </c>
      <c r="M5" s="36" t="s">
        <v>28</v>
      </c>
      <c r="N5" s="36" t="s">
        <v>29</v>
      </c>
      <c r="O5" s="36" t="s">
        <v>54</v>
      </c>
      <c r="P5" s="39"/>
      <c r="Q5" s="36" t="s">
        <v>55</v>
      </c>
      <c r="R5" s="39"/>
      <c r="S5" s="39"/>
      <c r="T5" s="39"/>
    </row>
    <row r="6" s="27" customFormat="1" ht="178" customHeight="1" spans="1:20 16384:16384">
      <c r="A6" s="33" t="s">
        <v>56</v>
      </c>
      <c r="B6" s="32" t="s">
        <v>57</v>
      </c>
      <c r="C6" s="33" t="s">
        <v>22</v>
      </c>
      <c r="D6" s="32" t="s">
        <v>39</v>
      </c>
      <c r="E6" s="32" t="s">
        <v>23</v>
      </c>
      <c r="F6" s="37"/>
      <c r="G6" s="33" t="s">
        <v>58</v>
      </c>
      <c r="H6" s="33" t="s">
        <v>59</v>
      </c>
      <c r="I6" s="33" t="s">
        <v>60</v>
      </c>
      <c r="J6" s="33" t="s">
        <v>61</v>
      </c>
      <c r="K6" s="32" t="s">
        <v>26</v>
      </c>
      <c r="L6" s="34" t="s">
        <v>39</v>
      </c>
      <c r="M6" s="33" t="s">
        <v>28</v>
      </c>
      <c r="N6" s="33" t="s">
        <v>29</v>
      </c>
      <c r="O6" s="33" t="s">
        <v>62</v>
      </c>
      <c r="P6" s="40"/>
      <c r="Q6" s="33" t="s">
        <v>63</v>
      </c>
      <c r="R6" s="40" t="s">
        <v>32</v>
      </c>
      <c r="S6" s="40"/>
      <c r="T6" s="40"/>
    </row>
    <row r="7" s="27" customFormat="1" ht="178" customHeight="1" spans="1:20 16384:16384">
      <c r="A7" s="33"/>
      <c r="B7" s="32"/>
      <c r="C7" s="33"/>
      <c r="D7" s="32"/>
      <c r="E7" s="32"/>
      <c r="F7" s="37"/>
      <c r="G7" s="33"/>
      <c r="H7" s="33"/>
      <c r="I7" s="32" t="s">
        <v>64</v>
      </c>
      <c r="J7" s="33" t="s">
        <v>65</v>
      </c>
      <c r="K7" s="32" t="s">
        <v>26</v>
      </c>
      <c r="L7" s="34">
        <v>46539</v>
      </c>
      <c r="M7" s="33" t="s">
        <v>28</v>
      </c>
      <c r="N7" s="33" t="s">
        <v>29</v>
      </c>
      <c r="O7" s="41" t="s">
        <v>66</v>
      </c>
      <c r="P7" s="42"/>
      <c r="Q7" s="32" t="s">
        <v>67</v>
      </c>
      <c r="R7" s="40" t="s">
        <v>32</v>
      </c>
      <c r="S7" s="40"/>
      <c r="T7" s="40"/>
    </row>
    <row r="8" s="27" customFormat="1" ht="178" customHeight="1" spans="1:20 16384:16384">
      <c r="A8" s="33"/>
      <c r="B8" s="32"/>
      <c r="C8" s="33"/>
      <c r="D8" s="32"/>
      <c r="E8" s="32"/>
      <c r="F8" s="37"/>
      <c r="G8" s="33"/>
      <c r="H8" s="33"/>
      <c r="I8" s="32" t="s">
        <v>68</v>
      </c>
      <c r="J8" s="33" t="s">
        <v>69</v>
      </c>
      <c r="K8" s="32" t="s">
        <v>26</v>
      </c>
      <c r="L8" s="34">
        <v>46508</v>
      </c>
      <c r="M8" s="33" t="s">
        <v>70</v>
      </c>
      <c r="N8" s="33" t="s">
        <v>71</v>
      </c>
      <c r="O8" s="32" t="s">
        <v>72</v>
      </c>
      <c r="P8" s="40"/>
      <c r="Q8" s="43" t="s">
        <v>73</v>
      </c>
      <c r="R8" s="40" t="s">
        <v>32</v>
      </c>
      <c r="S8" s="40"/>
      <c r="T8" s="40"/>
    </row>
    <row r="9" s="27" customFormat="1" ht="178" customHeight="1" spans="1:20 16384:16384">
      <c r="A9" s="33" t="s">
        <v>74</v>
      </c>
      <c r="B9" s="33" t="s">
        <v>75</v>
      </c>
      <c r="C9" s="33" t="s">
        <v>22</v>
      </c>
      <c r="D9" s="33" t="s">
        <v>23</v>
      </c>
      <c r="E9" s="33" t="s">
        <v>76</v>
      </c>
      <c r="F9" s="37"/>
      <c r="G9" s="33" t="s">
        <v>58</v>
      </c>
      <c r="H9" s="33" t="s">
        <v>59</v>
      </c>
      <c r="I9" s="32" t="s">
        <v>68</v>
      </c>
      <c r="J9" s="43" t="s">
        <v>77</v>
      </c>
      <c r="K9" s="33">
        <v>1000</v>
      </c>
      <c r="L9" s="34">
        <v>46600</v>
      </c>
      <c r="M9" s="33" t="s">
        <v>28</v>
      </c>
      <c r="N9" s="33" t="s">
        <v>71</v>
      </c>
      <c r="O9" s="41" t="s">
        <v>78</v>
      </c>
      <c r="P9" s="32"/>
      <c r="Q9" s="43" t="s">
        <v>79</v>
      </c>
      <c r="R9" s="40" t="s">
        <v>32</v>
      </c>
      <c r="S9" s="40"/>
      <c r="T9" s="40"/>
    </row>
    <row r="10" s="27" customFormat="1" ht="178" customHeight="1" spans="1:20 16384:16384">
      <c r="A10" s="33"/>
      <c r="B10" s="33"/>
      <c r="C10" s="33"/>
      <c r="D10" s="33"/>
      <c r="E10" s="33"/>
      <c r="F10" s="37"/>
      <c r="G10" s="33"/>
      <c r="H10" s="33"/>
      <c r="I10" s="33" t="s">
        <v>64</v>
      </c>
      <c r="J10" s="43" t="s">
        <v>77</v>
      </c>
      <c r="K10" s="32">
        <v>500</v>
      </c>
      <c r="L10" s="34">
        <v>46600</v>
      </c>
      <c r="M10" s="33" t="s">
        <v>80</v>
      </c>
      <c r="N10" s="33" t="s">
        <v>29</v>
      </c>
      <c r="O10" s="41" t="s">
        <v>81</v>
      </c>
      <c r="P10" s="35"/>
      <c r="Q10" s="32" t="s">
        <v>82</v>
      </c>
      <c r="R10" s="32" t="s">
        <v>32</v>
      </c>
      <c r="S10" s="40"/>
      <c r="T10" s="40"/>
    </row>
    <row r="11" s="27" customFormat="1" ht="178" customHeight="1" spans="1:20 16384:16384">
      <c r="A11" s="33" t="s">
        <v>83</v>
      </c>
      <c r="B11" s="33" t="s">
        <v>84</v>
      </c>
      <c r="C11" s="33" t="s">
        <v>22</v>
      </c>
      <c r="D11" s="34" t="s">
        <v>76</v>
      </c>
      <c r="E11" s="34" t="s">
        <v>23</v>
      </c>
      <c r="F11" s="37"/>
      <c r="G11" s="33"/>
      <c r="H11" s="33" t="s">
        <v>85</v>
      </c>
      <c r="I11" s="33" t="s">
        <v>86</v>
      </c>
      <c r="J11" s="33" t="s">
        <v>87</v>
      </c>
      <c r="K11" s="32" t="s">
        <v>26</v>
      </c>
      <c r="L11" s="32" t="s">
        <v>39</v>
      </c>
      <c r="M11" s="33" t="s">
        <v>28</v>
      </c>
      <c r="N11" s="33" t="s">
        <v>88</v>
      </c>
      <c r="O11" s="33" t="s">
        <v>89</v>
      </c>
      <c r="P11" s="35"/>
      <c r="Q11" s="32" t="s">
        <v>90</v>
      </c>
      <c r="R11" s="32" t="s">
        <v>32</v>
      </c>
      <c r="S11" s="40"/>
      <c r="T11" s="40"/>
    </row>
    <row r="12" s="27" customFormat="1" ht="178" customHeight="1" spans="1:20 16384:16384">
      <c r="A12" s="33" t="s">
        <v>91</v>
      </c>
      <c r="B12" s="33" t="s">
        <v>92</v>
      </c>
      <c r="C12" s="33" t="s">
        <v>93</v>
      </c>
      <c r="D12" s="34" t="s">
        <v>94</v>
      </c>
      <c r="E12" s="34" t="s">
        <v>23</v>
      </c>
      <c r="F12" s="37"/>
      <c r="G12" s="33" t="s">
        <v>95</v>
      </c>
      <c r="H12" s="33"/>
      <c r="I12" s="33"/>
      <c r="J12" s="33" t="s">
        <v>96</v>
      </c>
      <c r="K12" s="32">
        <v>4000</v>
      </c>
      <c r="L12" s="32" t="s">
        <v>27</v>
      </c>
      <c r="M12" s="33" t="s">
        <v>97</v>
      </c>
      <c r="N12" s="33" t="s">
        <v>98</v>
      </c>
      <c r="O12" s="33" t="s">
        <v>99</v>
      </c>
      <c r="P12" s="32"/>
      <c r="Q12" s="33" t="s">
        <v>100</v>
      </c>
      <c r="R12" s="32" t="s">
        <v>32</v>
      </c>
      <c r="S12" s="40"/>
      <c r="T12" s="40"/>
    </row>
    <row r="13" s="27" customFormat="1" ht="178" customHeight="1" spans="1:20 16384:16384">
      <c r="A13" s="33" t="s">
        <v>101</v>
      </c>
      <c r="B13" s="33" t="s">
        <v>102</v>
      </c>
      <c r="C13" s="33" t="s">
        <v>93</v>
      </c>
      <c r="D13" s="34" t="s">
        <v>103</v>
      </c>
      <c r="E13" s="34" t="s">
        <v>23</v>
      </c>
      <c r="F13" s="37"/>
      <c r="G13" s="33" t="s">
        <v>104</v>
      </c>
      <c r="H13" s="33" t="s">
        <v>105</v>
      </c>
      <c r="I13" s="33"/>
      <c r="J13" s="33" t="s">
        <v>106</v>
      </c>
      <c r="K13" s="32">
        <v>2000</v>
      </c>
      <c r="L13" s="32" t="s">
        <v>27</v>
      </c>
      <c r="M13" s="33" t="s">
        <v>97</v>
      </c>
      <c r="N13" s="33" t="s">
        <v>107</v>
      </c>
      <c r="O13" s="33" t="s">
        <v>108</v>
      </c>
      <c r="P13" s="32"/>
      <c r="Q13" s="33" t="s">
        <v>109</v>
      </c>
      <c r="R13" s="32" t="s">
        <v>32</v>
      </c>
      <c r="S13" s="40"/>
      <c r="T13" s="40"/>
    </row>
    <row r="14" s="26" customFormat="1" ht="178" customHeight="1" spans="1:20 16384:16384">
      <c r="A14" s="44" t="s">
        <v>110</v>
      </c>
      <c r="B14" s="44" t="s">
        <v>111</v>
      </c>
      <c r="C14" s="44" t="s">
        <v>22</v>
      </c>
      <c r="D14" s="45" t="s">
        <v>39</v>
      </c>
      <c r="E14" s="45" t="s">
        <v>23</v>
      </c>
      <c r="F14" s="37"/>
      <c r="G14" s="44" t="s">
        <v>112</v>
      </c>
      <c r="H14" s="44" t="s">
        <v>113</v>
      </c>
      <c r="I14" s="44"/>
      <c r="J14" s="44" t="s">
        <v>114</v>
      </c>
      <c r="K14" s="46">
        <v>2000</v>
      </c>
      <c r="L14" s="46" t="s">
        <v>27</v>
      </c>
      <c r="M14" s="44" t="s">
        <v>115</v>
      </c>
      <c r="N14" s="44" t="s">
        <v>116</v>
      </c>
      <c r="O14" s="44" t="s">
        <v>117</v>
      </c>
      <c r="P14" s="46"/>
      <c r="Q14" s="44" t="s">
        <v>118</v>
      </c>
      <c r="R14" s="46" t="s">
        <v>32</v>
      </c>
      <c r="S14" s="39"/>
      <c r="T14" s="39"/>
    </row>
    <row r="15" s="26" customFormat="1" ht="178" customHeight="1" spans="1:20 16384:16384">
      <c r="A15" s="36" t="s">
        <v>119</v>
      </c>
      <c r="B15" s="36" t="s">
        <v>120</v>
      </c>
      <c r="C15" s="36" t="s">
        <v>22</v>
      </c>
      <c r="D15" s="38" t="s">
        <v>39</v>
      </c>
      <c r="E15" s="38" t="s">
        <v>23</v>
      </c>
      <c r="F15" s="37"/>
      <c r="G15" s="36" t="s">
        <v>121</v>
      </c>
      <c r="H15" s="36" t="s">
        <v>122</v>
      </c>
      <c r="I15" s="36"/>
      <c r="J15" s="36" t="s">
        <v>123</v>
      </c>
      <c r="K15" s="37" t="s">
        <v>124</v>
      </c>
      <c r="L15" s="37" t="s">
        <v>125</v>
      </c>
      <c r="M15" s="36" t="s">
        <v>115</v>
      </c>
      <c r="N15" s="36" t="s">
        <v>116</v>
      </c>
      <c r="O15" s="36" t="s">
        <v>126</v>
      </c>
      <c r="P15" s="37"/>
      <c r="Q15" s="36" t="s">
        <v>127</v>
      </c>
      <c r="R15" s="37"/>
      <c r="S15" s="39"/>
      <c r="T15" s="39"/>
    </row>
    <row r="16" s="27" customFormat="1" ht="178" customHeight="1" spans="1:20 16384:16384">
      <c r="A16" s="33" t="s">
        <v>128</v>
      </c>
      <c r="B16" s="33" t="s">
        <v>129</v>
      </c>
      <c r="C16" s="33" t="s">
        <v>22</v>
      </c>
      <c r="D16" s="34" t="s">
        <v>39</v>
      </c>
      <c r="E16" s="34" t="s">
        <v>23</v>
      </c>
      <c r="F16" s="37"/>
      <c r="G16" s="33" t="s">
        <v>130</v>
      </c>
      <c r="H16" s="33" t="s">
        <v>131</v>
      </c>
      <c r="I16" s="33"/>
      <c r="J16" s="33" t="s">
        <v>132</v>
      </c>
      <c r="K16" s="32">
        <v>1000</v>
      </c>
      <c r="L16" s="32" t="s">
        <v>27</v>
      </c>
      <c r="M16" s="33" t="s">
        <v>115</v>
      </c>
      <c r="N16" s="33" t="s">
        <v>116</v>
      </c>
      <c r="O16" s="33" t="s">
        <v>133</v>
      </c>
      <c r="P16" s="32"/>
      <c r="Q16" s="33" t="s">
        <v>134</v>
      </c>
      <c r="R16" s="32" t="s">
        <v>32</v>
      </c>
      <c r="S16" s="40"/>
      <c r="T16" s="40"/>
    </row>
    <row r="17" s="27" customFormat="1" ht="178" customHeight="1" spans="1:20 16384:16384">
      <c r="A17" s="33" t="s">
        <v>135</v>
      </c>
      <c r="B17" s="33" t="s">
        <v>136</v>
      </c>
      <c r="C17" s="33" t="s">
        <v>22</v>
      </c>
      <c r="D17" s="34" t="s">
        <v>39</v>
      </c>
      <c r="E17" s="34" t="s">
        <v>23</v>
      </c>
      <c r="F17" s="37"/>
      <c r="G17" s="33" t="s">
        <v>137</v>
      </c>
      <c r="H17" s="33" t="s">
        <v>138</v>
      </c>
      <c r="I17" s="33"/>
      <c r="J17" s="33" t="s">
        <v>139</v>
      </c>
      <c r="K17" s="32">
        <v>1500</v>
      </c>
      <c r="L17" s="32">
        <v>2027</v>
      </c>
      <c r="M17" s="33" t="s">
        <v>115</v>
      </c>
      <c r="N17" s="33" t="s">
        <v>116</v>
      </c>
      <c r="O17" s="33" t="s">
        <v>140</v>
      </c>
      <c r="P17" s="32"/>
      <c r="Q17" s="33" t="s">
        <v>141</v>
      </c>
      <c r="R17" s="40" t="s">
        <v>32</v>
      </c>
      <c r="S17" s="40"/>
      <c r="T17" s="40"/>
    </row>
    <row r="18" s="27" customFormat="1" ht="178" customHeight="1" spans="1:20 16384:16384">
      <c r="A18" s="33" t="s">
        <v>142</v>
      </c>
      <c r="B18" s="33" t="s">
        <v>143</v>
      </c>
      <c r="C18" s="33" t="s">
        <v>22</v>
      </c>
      <c r="D18" s="34" t="s">
        <v>39</v>
      </c>
      <c r="E18" s="34" t="s">
        <v>23</v>
      </c>
      <c r="F18" s="37"/>
      <c r="G18" s="33" t="s">
        <v>144</v>
      </c>
      <c r="H18" s="33" t="s">
        <v>145</v>
      </c>
      <c r="I18" s="33" t="s">
        <v>146</v>
      </c>
      <c r="J18" s="33" t="s">
        <v>147</v>
      </c>
      <c r="K18" s="32" t="s">
        <v>124</v>
      </c>
      <c r="L18" s="32" t="s">
        <v>27</v>
      </c>
      <c r="M18" s="33" t="s">
        <v>148</v>
      </c>
      <c r="N18" s="33" t="s">
        <v>88</v>
      </c>
      <c r="O18" s="33" t="s">
        <v>149</v>
      </c>
      <c r="P18" s="32"/>
      <c r="Q18" s="33" t="s">
        <v>150</v>
      </c>
      <c r="R18" s="32" t="s">
        <v>32</v>
      </c>
      <c r="S18" s="40"/>
      <c r="T18" s="40"/>
    </row>
    <row r="19" s="26" customFormat="1" ht="178" customHeight="1" spans="1:20 16384:16384">
      <c r="A19" s="36" t="s">
        <v>151</v>
      </c>
      <c r="B19" s="36" t="s">
        <v>152</v>
      </c>
      <c r="C19" s="36" t="s">
        <v>22</v>
      </c>
      <c r="D19" s="38" t="s">
        <v>39</v>
      </c>
      <c r="E19" s="38" t="s">
        <v>23</v>
      </c>
      <c r="F19" s="37"/>
      <c r="G19" s="36" t="s">
        <v>153</v>
      </c>
      <c r="H19" s="36" t="s">
        <v>44</v>
      </c>
      <c r="I19" s="36"/>
      <c r="J19" s="36" t="s">
        <v>154</v>
      </c>
      <c r="K19" s="37"/>
      <c r="L19" s="37" t="s">
        <v>125</v>
      </c>
      <c r="M19" s="36" t="s">
        <v>97</v>
      </c>
      <c r="N19" s="36" t="s">
        <v>116</v>
      </c>
      <c r="O19" s="36" t="s">
        <v>155</v>
      </c>
      <c r="P19" s="37"/>
      <c r="Q19" s="36" t="s">
        <v>156</v>
      </c>
      <c r="R19" s="37"/>
      <c r="S19" s="39"/>
      <c r="T19" s="39"/>
    </row>
    <row r="20" s="27" customFormat="1" ht="178" customHeight="1" spans="1:20 16384:16384">
      <c r="A20" s="33" t="s">
        <v>157</v>
      </c>
      <c r="B20" s="33" t="s">
        <v>158</v>
      </c>
      <c r="C20" s="33"/>
      <c r="D20" s="34"/>
      <c r="E20" s="34"/>
      <c r="F20" s="37"/>
      <c r="G20" s="33"/>
      <c r="H20" s="33" t="s">
        <v>122</v>
      </c>
      <c r="I20" s="33" t="s">
        <v>159</v>
      </c>
      <c r="J20" s="33" t="s">
        <v>160</v>
      </c>
      <c r="K20" s="32">
        <v>6000</v>
      </c>
      <c r="L20" s="32" t="s">
        <v>27</v>
      </c>
      <c r="M20" s="33" t="s">
        <v>115</v>
      </c>
      <c r="N20" s="33" t="s">
        <v>88</v>
      </c>
      <c r="O20" s="33" t="s">
        <v>161</v>
      </c>
      <c r="P20" s="32"/>
      <c r="Q20" s="33" t="s">
        <v>162</v>
      </c>
      <c r="R20" s="40" t="s">
        <v>32</v>
      </c>
      <c r="S20" s="40"/>
      <c r="T20" s="40"/>
    </row>
    <row r="21" s="27" customFormat="1" ht="178" customHeight="1" spans="1:20 16384:16384">
      <c r="A21" s="33" t="s">
        <v>163</v>
      </c>
      <c r="B21" s="33" t="s">
        <v>164</v>
      </c>
      <c r="C21" s="33" t="s">
        <v>93</v>
      </c>
      <c r="D21" s="34" t="s">
        <v>23</v>
      </c>
      <c r="E21" s="34" t="s">
        <v>39</v>
      </c>
      <c r="F21" s="37"/>
      <c r="G21" s="33" t="s">
        <v>165</v>
      </c>
      <c r="H21" s="33" t="s">
        <v>166</v>
      </c>
      <c r="I21" s="33" t="s">
        <v>167</v>
      </c>
      <c r="J21" s="33" t="s">
        <v>168</v>
      </c>
      <c r="K21" s="32">
        <v>3000</v>
      </c>
      <c r="L21" s="32" t="s">
        <v>27</v>
      </c>
      <c r="M21" s="33" t="s">
        <v>169</v>
      </c>
      <c r="N21" s="33" t="s">
        <v>88</v>
      </c>
      <c r="O21" s="33" t="s">
        <v>170</v>
      </c>
      <c r="P21" s="32"/>
      <c r="Q21" s="33" t="s">
        <v>171</v>
      </c>
      <c r="R21" s="32" t="s">
        <v>32</v>
      </c>
      <c r="S21" s="40"/>
      <c r="T21" s="40"/>
    </row>
    <row r="22" s="27" customFormat="1" ht="178" customHeight="1" spans="1:20 16384:16384">
      <c r="A22" s="33" t="s">
        <v>172</v>
      </c>
      <c r="B22" s="33" t="s">
        <v>173</v>
      </c>
      <c r="C22" s="33" t="s">
        <v>93</v>
      </c>
      <c r="D22" s="34" t="s">
        <v>23</v>
      </c>
      <c r="E22" s="34" t="s">
        <v>39</v>
      </c>
      <c r="F22" s="37"/>
      <c r="G22" s="33" t="s">
        <v>174</v>
      </c>
      <c r="H22" s="33" t="s">
        <v>175</v>
      </c>
      <c r="I22" s="33" t="s">
        <v>176</v>
      </c>
      <c r="J22" s="33" t="s">
        <v>177</v>
      </c>
      <c r="K22" s="32">
        <v>3000</v>
      </c>
      <c r="L22" s="32" t="s">
        <v>27</v>
      </c>
      <c r="M22" s="33" t="s">
        <v>178</v>
      </c>
      <c r="N22" s="33" t="s">
        <v>88</v>
      </c>
      <c r="O22" s="33" t="s">
        <v>179</v>
      </c>
      <c r="P22" s="32"/>
      <c r="Q22" s="33" t="s">
        <v>180</v>
      </c>
      <c r="R22" s="32" t="s">
        <v>32</v>
      </c>
      <c r="S22" s="32"/>
      <c r="T22" s="40"/>
    </row>
    <row r="23" s="26" customFormat="1" ht="178" customHeight="1" spans="1:20 16384:16384">
      <c r="A23" s="33" t="s">
        <v>181</v>
      </c>
      <c r="B23" s="33" t="s">
        <v>182</v>
      </c>
      <c r="C23" s="33" t="s">
        <v>93</v>
      </c>
      <c r="D23" s="34" t="s">
        <v>23</v>
      </c>
      <c r="E23" s="34"/>
      <c r="F23" s="37"/>
      <c r="G23" s="33" t="s">
        <v>183</v>
      </c>
      <c r="H23" s="33" t="s">
        <v>184</v>
      </c>
      <c r="I23" s="33" t="s">
        <v>185</v>
      </c>
      <c r="J23" s="33" t="s">
        <v>186</v>
      </c>
      <c r="K23" s="32" t="s">
        <v>124</v>
      </c>
      <c r="L23" s="32" t="s">
        <v>27</v>
      </c>
      <c r="M23" s="33" t="s">
        <v>187</v>
      </c>
      <c r="N23" s="33" t="s">
        <v>88</v>
      </c>
      <c r="O23" s="33" t="s">
        <v>188</v>
      </c>
      <c r="P23" s="32"/>
      <c r="Q23" s="33" t="s">
        <v>189</v>
      </c>
      <c r="R23" s="32" t="s">
        <v>32</v>
      </c>
      <c r="S23" s="40"/>
      <c r="T23" s="40"/>
    </row>
    <row r="24" s="26" customFormat="1" ht="178" customHeight="1" spans="1:20 16384:16384">
      <c r="A24" s="33" t="s">
        <v>190</v>
      </c>
      <c r="B24" s="33" t="s">
        <v>191</v>
      </c>
      <c r="C24" s="33" t="s">
        <v>93</v>
      </c>
      <c r="D24" s="34" t="s">
        <v>23</v>
      </c>
      <c r="E24" s="34"/>
      <c r="F24" s="37"/>
      <c r="G24" s="33" t="s">
        <v>192</v>
      </c>
      <c r="H24" s="33" t="s">
        <v>175</v>
      </c>
      <c r="I24" s="33" t="s">
        <v>26</v>
      </c>
      <c r="J24" s="33" t="s">
        <v>193</v>
      </c>
      <c r="K24" s="32" t="s">
        <v>124</v>
      </c>
      <c r="L24" s="32" t="s">
        <v>27</v>
      </c>
      <c r="M24" s="33" t="s">
        <v>194</v>
      </c>
      <c r="N24" s="33" t="s">
        <v>98</v>
      </c>
      <c r="O24" s="33" t="s">
        <v>195</v>
      </c>
      <c r="P24" s="32"/>
      <c r="Q24" s="33" t="s">
        <v>196</v>
      </c>
      <c r="R24" s="32" t="s">
        <v>32</v>
      </c>
      <c r="S24" s="40"/>
      <c r="T24" s="40"/>
    </row>
    <row r="25" s="26" customFormat="1" ht="178" customHeight="1" spans="1:20 16384:16384">
      <c r="A25" s="37" t="s">
        <v>197</v>
      </c>
      <c r="B25" s="37" t="s">
        <v>198</v>
      </c>
      <c r="C25" s="36" t="s">
        <v>93</v>
      </c>
      <c r="D25" s="38" t="s">
        <v>23</v>
      </c>
      <c r="E25" s="37"/>
      <c r="F25" s="37"/>
      <c r="G25" s="37"/>
      <c r="H25" s="37"/>
      <c r="I25" s="47" t="s">
        <v>199</v>
      </c>
      <c r="J25" s="37" t="s">
        <v>200</v>
      </c>
      <c r="K25" s="48">
        <v>2000</v>
      </c>
      <c r="L25" s="37" t="s">
        <v>27</v>
      </c>
      <c r="M25" s="37" t="s">
        <v>194</v>
      </c>
      <c r="N25" s="37" t="s">
        <v>88</v>
      </c>
      <c r="O25" s="38" t="s">
        <v>201</v>
      </c>
      <c r="P25" s="49"/>
      <c r="Q25" s="38" t="s">
        <v>202</v>
      </c>
      <c r="R25" s="39"/>
      <c r="S25" s="39"/>
      <c r="T25" s="39"/>
    </row>
    <row r="26" s="27" customFormat="1" ht="178" customHeight="1" spans="1:20 16384:16384">
      <c r="A26" s="32" t="s">
        <v>203</v>
      </c>
      <c r="B26" s="32" t="s">
        <v>204</v>
      </c>
      <c r="C26" s="34" t="s">
        <v>93</v>
      </c>
      <c r="D26" s="32" t="s">
        <v>205</v>
      </c>
      <c r="E26" s="32" t="s">
        <v>23</v>
      </c>
      <c r="F26" s="37"/>
      <c r="G26" s="32" t="s">
        <v>206</v>
      </c>
      <c r="H26" s="32" t="s">
        <v>207</v>
      </c>
      <c r="I26" s="50" t="s">
        <v>208</v>
      </c>
      <c r="J26" s="32" t="s">
        <v>209</v>
      </c>
      <c r="K26" s="51">
        <v>800</v>
      </c>
      <c r="L26" s="32" t="s">
        <v>27</v>
      </c>
      <c r="M26" s="32" t="s">
        <v>178</v>
      </c>
      <c r="N26" s="32" t="s">
        <v>88</v>
      </c>
      <c r="O26" s="34" t="s">
        <v>210</v>
      </c>
      <c r="P26" s="34"/>
      <c r="Q26" s="34" t="s">
        <v>211</v>
      </c>
      <c r="R26" s="40" t="s">
        <v>32</v>
      </c>
      <c r="S26" s="40"/>
      <c r="T26" s="40"/>
    </row>
    <row r="27" s="27" customFormat="1" ht="178" customHeight="1" spans="1:20 16384:16384">
      <c r="A27" s="32" t="s">
        <v>212</v>
      </c>
      <c r="B27" s="32" t="s">
        <v>213</v>
      </c>
      <c r="C27" s="34" t="s">
        <v>22</v>
      </c>
      <c r="D27" s="32" t="s">
        <v>76</v>
      </c>
      <c r="E27" s="32" t="s">
        <v>23</v>
      </c>
      <c r="F27" s="37"/>
      <c r="G27" s="32" t="s">
        <v>214</v>
      </c>
      <c r="H27" s="32" t="s">
        <v>105</v>
      </c>
      <c r="I27" s="50" t="s">
        <v>215</v>
      </c>
      <c r="J27" s="32" t="s">
        <v>216</v>
      </c>
      <c r="K27" s="51">
        <v>4500</v>
      </c>
      <c r="L27" s="32" t="s">
        <v>27</v>
      </c>
      <c r="M27" s="32" t="s">
        <v>217</v>
      </c>
      <c r="N27" s="32" t="s">
        <v>88</v>
      </c>
      <c r="O27" s="52" t="s">
        <v>218</v>
      </c>
      <c r="P27" s="34"/>
      <c r="Q27" s="34" t="s">
        <v>219</v>
      </c>
      <c r="R27" s="40" t="s">
        <v>32</v>
      </c>
      <c r="S27" s="40"/>
      <c r="T27" s="40"/>
    </row>
    <row r="28" s="27" customFormat="1" ht="178" customHeight="1" spans="1:20 16384:16384">
      <c r="A28" s="32" t="s">
        <v>220</v>
      </c>
      <c r="B28" s="32" t="s">
        <v>221</v>
      </c>
      <c r="C28" s="34" t="s">
        <v>22</v>
      </c>
      <c r="D28" s="32" t="s">
        <v>39</v>
      </c>
      <c r="E28" s="32" t="s">
        <v>23</v>
      </c>
      <c r="F28" s="37"/>
      <c r="G28" s="33" t="s">
        <v>222</v>
      </c>
      <c r="H28" s="33" t="s">
        <v>223</v>
      </c>
      <c r="I28" s="53"/>
      <c r="J28" s="32" t="s">
        <v>224</v>
      </c>
      <c r="K28" s="51">
        <f>4000</f>
        <v>4000</v>
      </c>
      <c r="L28" s="32" t="s">
        <v>27</v>
      </c>
      <c r="M28" s="32" t="s">
        <v>217</v>
      </c>
      <c r="N28" s="32" t="s">
        <v>116</v>
      </c>
      <c r="O28" s="32" t="s">
        <v>225</v>
      </c>
      <c r="P28" s="54"/>
      <c r="Q28" s="32" t="s">
        <v>226</v>
      </c>
      <c r="R28" s="40" t="s">
        <v>32</v>
      </c>
      <c r="S28" s="40"/>
      <c r="T28" s="40"/>
    </row>
    <row r="29" s="26" customFormat="1" ht="178" customHeight="1" spans="1:20 16384:16384">
      <c r="A29" s="37" t="s">
        <v>227</v>
      </c>
      <c r="B29" s="37" t="s">
        <v>228</v>
      </c>
      <c r="C29" s="38" t="s">
        <v>22</v>
      </c>
      <c r="D29" s="37" t="s">
        <v>229</v>
      </c>
      <c r="E29" s="37" t="s">
        <v>23</v>
      </c>
      <c r="F29" s="37"/>
      <c r="G29" s="36" t="s">
        <v>230</v>
      </c>
      <c r="H29" s="36" t="s">
        <v>113</v>
      </c>
      <c r="I29" s="55" t="s">
        <v>231</v>
      </c>
      <c r="J29" s="37" t="s">
        <v>232</v>
      </c>
      <c r="K29" s="48">
        <v>2700</v>
      </c>
      <c r="L29" s="37" t="s">
        <v>125</v>
      </c>
      <c r="M29" s="37" t="s">
        <v>169</v>
      </c>
      <c r="N29" s="37" t="s">
        <v>88</v>
      </c>
      <c r="O29" s="37" t="s">
        <v>233</v>
      </c>
      <c r="P29" s="56"/>
      <c r="Q29" s="37" t="s">
        <v>234</v>
      </c>
      <c r="R29" s="39"/>
      <c r="S29" s="39"/>
      <c r="T29" s="39"/>
    </row>
    <row r="30" s="27" customFormat="1" ht="178" customHeight="1" spans="1:20 16384:16384">
      <c r="A30" s="32" t="s">
        <v>235</v>
      </c>
      <c r="B30" s="32" t="s">
        <v>236</v>
      </c>
      <c r="C30" s="34" t="s">
        <v>22</v>
      </c>
      <c r="D30" s="32" t="s">
        <v>237</v>
      </c>
      <c r="E30" s="32" t="s">
        <v>23</v>
      </c>
      <c r="F30" s="37"/>
      <c r="G30" s="33" t="s">
        <v>238</v>
      </c>
      <c r="H30" s="33" t="s">
        <v>239</v>
      </c>
      <c r="I30" s="53"/>
      <c r="J30" s="32" t="s">
        <v>240</v>
      </c>
      <c r="K30" s="51">
        <v>10000</v>
      </c>
      <c r="L30" s="32" t="s">
        <v>125</v>
      </c>
      <c r="M30" s="32" t="s">
        <v>178</v>
      </c>
      <c r="N30" s="32" t="s">
        <v>88</v>
      </c>
      <c r="O30" s="32" t="s">
        <v>241</v>
      </c>
      <c r="P30" s="54"/>
      <c r="Q30" s="32" t="s">
        <v>242</v>
      </c>
      <c r="R30" s="40" t="s">
        <v>32</v>
      </c>
      <c r="S30" s="40"/>
      <c r="T30" s="40"/>
    </row>
    <row r="31" s="27" customFormat="1" ht="178" customHeight="1" spans="1:20 16384:16384">
      <c r="A31" s="32" t="s">
        <v>243</v>
      </c>
      <c r="B31" s="32" t="s">
        <v>244</v>
      </c>
      <c r="C31" s="34" t="s">
        <v>22</v>
      </c>
      <c r="D31" s="32" t="s">
        <v>39</v>
      </c>
      <c r="E31" s="32" t="s">
        <v>23</v>
      </c>
      <c r="F31" s="37"/>
      <c r="G31" s="33" t="s">
        <v>245</v>
      </c>
      <c r="H31" s="33" t="s">
        <v>246</v>
      </c>
      <c r="I31" s="53" t="s">
        <v>39</v>
      </c>
      <c r="J31" s="32" t="s">
        <v>247</v>
      </c>
      <c r="K31" s="51">
        <v>3000</v>
      </c>
      <c r="L31" s="32" t="s">
        <v>125</v>
      </c>
      <c r="M31" s="32" t="s">
        <v>217</v>
      </c>
      <c r="N31" s="32" t="s">
        <v>107</v>
      </c>
      <c r="O31" s="32" t="s">
        <v>248</v>
      </c>
      <c r="P31" s="54"/>
      <c r="Q31" s="32" t="s">
        <v>249</v>
      </c>
      <c r="R31" s="40" t="s">
        <v>32</v>
      </c>
      <c r="S31" s="40"/>
      <c r="T31" s="40"/>
    </row>
    <row r="32" s="27" customFormat="1" ht="178" customHeight="1" spans="1:20 16384:16384">
      <c r="A32" s="32" t="s">
        <v>250</v>
      </c>
      <c r="B32" s="32" t="s">
        <v>251</v>
      </c>
      <c r="C32" s="34" t="s">
        <v>22</v>
      </c>
      <c r="D32" s="32" t="s">
        <v>39</v>
      </c>
      <c r="E32" s="32" t="s">
        <v>23</v>
      </c>
      <c r="F32" s="33"/>
      <c r="G32" s="33" t="s">
        <v>252</v>
      </c>
      <c r="H32" s="53" t="s">
        <v>253</v>
      </c>
      <c r="I32" s="32" t="s">
        <v>254</v>
      </c>
      <c r="J32" s="51" t="s">
        <v>255</v>
      </c>
      <c r="K32" s="32" t="s">
        <v>26</v>
      </c>
      <c r="L32" s="32" t="s">
        <v>125</v>
      </c>
      <c r="M32" s="32" t="s">
        <v>178</v>
      </c>
      <c r="N32" s="32" t="s">
        <v>107</v>
      </c>
      <c r="O32" s="54" t="s">
        <v>256</v>
      </c>
      <c r="P32" s="32"/>
      <c r="Q32" s="32" t="s">
        <v>257</v>
      </c>
      <c r="R32" s="40" t="s">
        <v>32</v>
      </c>
      <c r="S32" s="40"/>
      <c r="T32" s="42"/>
      <c r="XFD32" s="32"/>
    </row>
    <row r="33" s="4" customFormat="1" spans="12:17">
      <c r="L33" s="28"/>
      <c r="P33" s="29"/>
      <c r="Q33" s="29"/>
    </row>
    <row r="34" s="4" customFormat="1" spans="12:17">
      <c r="L34" s="28"/>
      <c r="P34" s="29"/>
      <c r="Q34" s="29"/>
    </row>
    <row r="35" s="4" customFormat="1" spans="12:17">
      <c r="L35" s="28"/>
      <c r="P35" s="29"/>
      <c r="Q35" s="29"/>
    </row>
    <row r="36" s="4" customFormat="1" spans="12:17">
      <c r="L36" s="28"/>
      <c r="P36" s="29"/>
      <c r="Q36" s="29"/>
    </row>
    <row r="37" s="4" customFormat="1" spans="12:17">
      <c r="L37" s="28"/>
      <c r="P37" s="29"/>
      <c r="Q37" s="29"/>
    </row>
    <row r="38" s="4" customFormat="1" spans="12:17">
      <c r="L38" s="28"/>
      <c r="P38" s="29"/>
      <c r="Q38" s="29"/>
    </row>
    <row r="39" s="4" customFormat="1" spans="12:17">
      <c r="L39" s="28"/>
      <c r="P39" s="29"/>
      <c r="Q39" s="29"/>
    </row>
    <row r="40" s="4" customFormat="1" spans="12:17">
      <c r="L40" s="28"/>
      <c r="P40" s="29"/>
      <c r="Q40" s="29"/>
    </row>
    <row r="41" s="4" customFormat="1" spans="12:17">
      <c r="L41" s="28"/>
      <c r="P41" s="29"/>
      <c r="Q41" s="29"/>
    </row>
    <row r="42" s="4" customFormat="1" spans="12:17">
      <c r="L42" s="28"/>
      <c r="P42" s="29"/>
      <c r="Q42" s="29"/>
    </row>
    <row r="43" s="4" customFormat="1" spans="12:17">
      <c r="L43" s="28"/>
      <c r="P43" s="29"/>
      <c r="Q43" s="29"/>
    </row>
    <row r="44" s="4" customFormat="1" spans="12:17">
      <c r="L44" s="28"/>
      <c r="P44" s="29"/>
      <c r="Q44" s="29"/>
    </row>
    <row r="45" s="4" customFormat="1" spans="12:17">
      <c r="L45" s="28"/>
      <c r="P45" s="29"/>
      <c r="Q45" s="29"/>
    </row>
    <row r="46" s="4" customFormat="1" spans="12:17">
      <c r="L46" s="28"/>
      <c r="P46" s="29"/>
      <c r="Q46" s="29"/>
    </row>
    <row r="47" s="4" customFormat="1" spans="12:17">
      <c r="L47" s="28"/>
      <c r="P47" s="29"/>
      <c r="Q47" s="29"/>
    </row>
  </sheetData>
  <autoFilter xmlns:etc="http://www.wps.cn/officeDocument/2017/etCustomData" ref="A1:XFD32" etc:filterBottomFollowUsedRange="0">
    <extLst/>
  </autoFilter>
  <mergeCells count="14">
    <mergeCell ref="A6:A8"/>
    <mergeCell ref="A9:A10"/>
    <mergeCell ref="B6:B8"/>
    <mergeCell ref="B9:B10"/>
    <mergeCell ref="C6:C8"/>
    <mergeCell ref="C9:C10"/>
    <mergeCell ref="D6:D8"/>
    <mergeCell ref="D9:D10"/>
    <mergeCell ref="E6:E8"/>
    <mergeCell ref="E9:E10"/>
    <mergeCell ref="G6:G8"/>
    <mergeCell ref="G9:G10"/>
    <mergeCell ref="H6:H8"/>
    <mergeCell ref="H9:H10"/>
  </mergeCells>
  <dataValidations count="2">
    <dataValidation type="list" allowBlank="1" showInputMessage="1" showErrorMessage="1" sqref="E10 E11">
      <formula1>"东北区域,华北区域,中原区域,华中区域,华东区域,华南区域,西南区域,西北区域"</formula1>
    </dataValidation>
    <dataValidation type="list" allowBlank="1" showInputMessage="1" showErrorMessage="1" sqref="N20 N12:N17 N24:N30">
      <formula1>"项目立项阶段,可行性研究报告获批,定测及初步设计阶段,施工图设计阶段,项目施工招标阶段,项目施工中标公示,设计联络,商务交流,项目招标阶段,标书购买,标书编制,递交标书,结果公示,技术交流,工号下达,合同评审,合同签订,工号下达,工厂验收,产品发货,组装调试,开票回款"</formula1>
    </dataValidation>
  </dataValidations>
  <pageMargins left="0.75" right="0.75" top="1" bottom="1" header="0.5" footer="0.5"/>
  <pageSetup paperSize="9" orientation="portrait"/>
  <headerFooter/>
  <ignoredErrors>
    <ignoredError sqref="E1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B26"/>
  <sheetViews>
    <sheetView zoomScale="40" zoomScaleNormal="40" workbookViewId="0">
      <pane xSplit="3" ySplit="3" topLeftCell="D4" activePane="bottomRight" state="frozen"/>
      <selection/>
      <selection pane="topRight"/>
      <selection pane="bottomLeft"/>
      <selection pane="bottomRight" activeCell="D4" sqref="D4"/>
    </sheetView>
  </sheetViews>
  <sheetFormatPr defaultColWidth="8.70833333333333" defaultRowHeight="14"/>
  <cols>
    <col min="1" max="1" width="6.525" customWidth="1"/>
    <col min="2" max="2" width="17.7166666666667" customWidth="1"/>
    <col min="3" max="4" width="17.6333333333333" customWidth="1"/>
    <col min="5" max="5" width="11.3" customWidth="1"/>
    <col min="6" max="7" width="11.5083333333333" customWidth="1"/>
    <col min="8" max="8" width="11.25" customWidth="1"/>
    <col min="9" max="9" width="11.525" customWidth="1"/>
    <col min="10" max="10" width="15.45" customWidth="1"/>
    <col min="11" max="12" width="19.3916666666667" customWidth="1"/>
    <col min="13" max="13" width="21.1666666666667" customWidth="1"/>
    <col min="14" max="14" width="17.9166666666667" customWidth="1"/>
    <col min="15" max="15" width="11.3916666666667" customWidth="1"/>
    <col min="16" max="16" width="20.5833333333333" customWidth="1"/>
    <col min="17" max="17" width="46.1916666666667" customWidth="1"/>
    <col min="18" max="18" width="40.3333333333333" customWidth="1"/>
    <col min="19" max="19" width="13.775" customWidth="1"/>
    <col min="20" max="20" width="17.1416666666667" customWidth="1"/>
    <col min="21" max="21" width="27.7666666666667" customWidth="1"/>
    <col min="22" max="24" width="25.775" customWidth="1"/>
    <col min="25" max="25" width="20.15" customWidth="1"/>
    <col min="26" max="26" width="11.6666666666667" customWidth="1"/>
    <col min="27" max="28" width="15.0666666666667" customWidth="1"/>
  </cols>
  <sheetData>
    <row r="1" ht="35" customHeight="1" spans="1:28">
      <c r="A1" s="5" t="s">
        <v>258</v>
      </c>
      <c r="B1" s="5"/>
      <c r="C1" s="5"/>
      <c r="D1" s="5"/>
      <c r="E1" s="5"/>
      <c r="F1" s="5"/>
      <c r="G1" s="5"/>
      <c r="H1" s="5"/>
      <c r="I1" s="5"/>
      <c r="J1" s="5"/>
      <c r="K1" s="5"/>
      <c r="L1" s="5"/>
      <c r="M1" s="5"/>
      <c r="N1" s="5"/>
      <c r="O1" s="5"/>
      <c r="P1" s="5"/>
      <c r="Q1" s="5"/>
      <c r="R1" s="5"/>
      <c r="S1" s="5"/>
      <c r="T1" s="5"/>
      <c r="U1" s="5"/>
      <c r="V1" s="5"/>
      <c r="W1" s="5"/>
      <c r="X1" s="5"/>
      <c r="Y1" s="5"/>
      <c r="Z1" s="5"/>
      <c r="AA1" s="5"/>
      <c r="AB1" s="5"/>
    </row>
    <row r="2" ht="58" customHeight="1" spans="1:28">
      <c r="A2" s="6" t="s">
        <v>259</v>
      </c>
      <c r="B2" s="6"/>
      <c r="C2" s="6"/>
      <c r="D2" s="6"/>
      <c r="E2" s="6"/>
      <c r="F2" s="6"/>
      <c r="G2" s="6"/>
      <c r="H2" s="6"/>
      <c r="I2" s="6"/>
      <c r="J2" s="6"/>
      <c r="K2" s="6"/>
      <c r="L2" s="6"/>
      <c r="M2" s="6"/>
      <c r="N2" s="6"/>
      <c r="O2" s="6"/>
      <c r="P2" s="6"/>
      <c r="Q2" s="6"/>
      <c r="R2" s="6"/>
      <c r="S2" s="6"/>
      <c r="T2" s="6"/>
      <c r="U2" s="6"/>
      <c r="V2" s="6"/>
      <c r="W2" s="6"/>
      <c r="X2" s="6"/>
      <c r="Y2" s="6"/>
      <c r="Z2" s="6"/>
      <c r="AA2" s="6"/>
      <c r="AB2" s="6"/>
    </row>
    <row r="3" ht="60" customHeight="1" spans="1:28">
      <c r="A3" s="8" t="s">
        <v>260</v>
      </c>
      <c r="B3" s="8" t="s">
        <v>0</v>
      </c>
      <c r="C3" s="8" t="s">
        <v>1</v>
      </c>
      <c r="D3" s="8" t="s">
        <v>2</v>
      </c>
      <c r="E3" s="8" t="s">
        <v>3</v>
      </c>
      <c r="F3" s="8" t="s">
        <v>261</v>
      </c>
      <c r="G3" s="8" t="s">
        <v>262</v>
      </c>
      <c r="H3" s="8" t="s">
        <v>6</v>
      </c>
      <c r="I3" s="8" t="s">
        <v>7</v>
      </c>
      <c r="J3" s="8" t="s">
        <v>8</v>
      </c>
      <c r="K3" s="8" t="s">
        <v>9</v>
      </c>
      <c r="L3" s="8" t="s">
        <v>10</v>
      </c>
      <c r="M3" s="8" t="s">
        <v>11</v>
      </c>
      <c r="N3" s="8" t="s">
        <v>12</v>
      </c>
      <c r="O3" s="19" t="s">
        <v>13</v>
      </c>
      <c r="P3" s="19" t="s">
        <v>263</v>
      </c>
      <c r="Q3" s="19" t="s">
        <v>264</v>
      </c>
      <c r="R3" s="19" t="s">
        <v>265</v>
      </c>
      <c r="S3" s="19" t="s">
        <v>266</v>
      </c>
      <c r="T3" s="19" t="s">
        <v>267</v>
      </c>
      <c r="U3" s="19" t="s">
        <v>268</v>
      </c>
      <c r="V3" s="8" t="s">
        <v>14</v>
      </c>
      <c r="W3" s="19" t="s">
        <v>15</v>
      </c>
      <c r="X3" s="19" t="s">
        <v>16</v>
      </c>
      <c r="Y3" s="19" t="s">
        <v>269</v>
      </c>
      <c r="Z3" s="19" t="s">
        <v>17</v>
      </c>
      <c r="AA3" s="19" t="s">
        <v>270</v>
      </c>
      <c r="AB3" s="19" t="s">
        <v>19</v>
      </c>
    </row>
    <row r="4" s="18" customFormat="1" ht="153" customHeight="1" spans="1:28">
      <c r="A4" s="20">
        <v>1</v>
      </c>
      <c r="B4" s="21" t="s">
        <v>271</v>
      </c>
      <c r="C4" s="21" t="s">
        <v>272</v>
      </c>
      <c r="D4" s="21" t="s">
        <v>273</v>
      </c>
      <c r="E4" s="21" t="s">
        <v>23</v>
      </c>
      <c r="F4" s="20"/>
      <c r="G4" s="20"/>
      <c r="H4" s="21" t="s">
        <v>274</v>
      </c>
      <c r="I4" s="20"/>
      <c r="J4" s="21"/>
      <c r="K4" s="21" t="s">
        <v>275</v>
      </c>
      <c r="L4" s="21" t="s">
        <v>124</v>
      </c>
      <c r="M4" s="21" t="s">
        <v>276</v>
      </c>
      <c r="N4" s="21" t="s">
        <v>194</v>
      </c>
      <c r="O4" s="21" t="s">
        <v>277</v>
      </c>
      <c r="P4" s="22">
        <v>46104</v>
      </c>
      <c r="Q4" s="21" t="s">
        <v>278</v>
      </c>
      <c r="R4" s="21" t="s">
        <v>124</v>
      </c>
      <c r="S4" s="21" t="s">
        <v>279</v>
      </c>
      <c r="T4" s="21" t="s">
        <v>280</v>
      </c>
      <c r="U4" s="21" t="s">
        <v>281</v>
      </c>
      <c r="V4" s="23" t="s">
        <v>282</v>
      </c>
      <c r="W4" s="20"/>
      <c r="X4" s="21" t="s">
        <v>283</v>
      </c>
      <c r="Y4" s="20"/>
      <c r="Z4" s="20" t="s">
        <v>284</v>
      </c>
      <c r="AA4" s="20"/>
      <c r="AB4" s="20"/>
    </row>
    <row r="26" spans="14:14">
      <c r="N26" t="s">
        <v>285</v>
      </c>
    </row>
  </sheetData>
  <mergeCells count="2">
    <mergeCell ref="A1:AB1"/>
    <mergeCell ref="A2:AB2"/>
  </mergeCells>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8181"/>
  </sheetPr>
  <dimension ref="A1:AA6"/>
  <sheetViews>
    <sheetView zoomScale="50" zoomScaleNormal="50" workbookViewId="0">
      <pane xSplit="3" ySplit="3" topLeftCell="D4" activePane="bottomRight" state="frozen"/>
      <selection/>
      <selection pane="topRight"/>
      <selection pane="bottomLeft"/>
      <selection pane="bottomRight" activeCell="M10" sqref="M10"/>
    </sheetView>
  </sheetViews>
  <sheetFormatPr defaultColWidth="8.70833333333333" defaultRowHeight="14" outlineLevelRow="5"/>
  <cols>
    <col min="1" max="1" width="6.525" hidden="1" customWidth="1"/>
    <col min="2" max="2" width="21.0416666666667" customWidth="1"/>
    <col min="3" max="3" width="17.6333333333333" hidden="1" customWidth="1"/>
    <col min="4" max="4" width="17.6333333333333" customWidth="1"/>
    <col min="5" max="5" width="11.3" customWidth="1"/>
    <col min="6" max="6" width="19.1666666666667" customWidth="1"/>
    <col min="7" max="7" width="11.5083333333333" hidden="1" customWidth="1"/>
    <col min="8" max="8" width="11.25" hidden="1" customWidth="1"/>
    <col min="9" max="9" width="11.525" hidden="1" customWidth="1"/>
    <col min="10" max="10" width="11.5166666666667" customWidth="1"/>
    <col min="11" max="13" width="19.3916666666667" customWidth="1"/>
    <col min="14" max="14" width="21.1666666666667" customWidth="1"/>
    <col min="15" max="15" width="21.1666666666667" hidden="1" customWidth="1"/>
    <col min="16" max="16" width="17.9166666666667" hidden="1" customWidth="1"/>
    <col min="17" max="17" width="11.3916666666667" hidden="1" customWidth="1"/>
    <col min="18" max="18" width="25.2083333333333" hidden="1" customWidth="1"/>
    <col min="19" max="19" width="17.1416666666667" hidden="1" customWidth="1"/>
    <col min="20" max="20" width="56.025" hidden="1" customWidth="1"/>
    <col min="21" max="21" width="13.775" hidden="1" customWidth="1"/>
    <col min="22" max="22" width="28.0416666666667" customWidth="1"/>
    <col min="23" max="24" width="25.775" customWidth="1"/>
    <col min="25" max="25" width="20.15" style="4" customWidth="1"/>
    <col min="26" max="26" width="11.6666666666667" customWidth="1"/>
    <col min="27" max="27" width="15.1583333333333" customWidth="1"/>
  </cols>
  <sheetData>
    <row r="1" ht="29" customHeight="1" spans="1:27">
      <c r="A1" s="5" t="s">
        <v>286</v>
      </c>
      <c r="B1" s="5"/>
      <c r="C1" s="5"/>
      <c r="D1" s="5"/>
      <c r="E1" s="5"/>
      <c r="F1" s="5"/>
      <c r="G1" s="5"/>
      <c r="H1" s="5"/>
      <c r="I1" s="5"/>
      <c r="J1" s="5"/>
      <c r="K1" s="5"/>
      <c r="L1" s="5"/>
      <c r="M1" s="5"/>
      <c r="N1" s="5"/>
      <c r="O1" s="5"/>
      <c r="P1" s="5"/>
      <c r="Q1" s="5"/>
      <c r="R1" s="5"/>
      <c r="S1" s="5"/>
      <c r="T1" s="5"/>
      <c r="U1" s="5"/>
      <c r="V1" s="5"/>
      <c r="W1" s="5"/>
      <c r="X1" s="5"/>
      <c r="Y1" s="5"/>
      <c r="Z1" s="5"/>
      <c r="AA1" s="5"/>
    </row>
    <row r="2" ht="27" hidden="1" customHeight="1" spans="1:27">
      <c r="A2" s="6" t="s">
        <v>287</v>
      </c>
      <c r="B2" s="6"/>
      <c r="C2" s="6"/>
      <c r="D2" s="6"/>
      <c r="E2" s="6"/>
      <c r="F2" s="6"/>
      <c r="G2" s="6"/>
      <c r="H2" s="6"/>
      <c r="I2" s="6"/>
      <c r="J2" s="6"/>
      <c r="K2" s="6"/>
      <c r="L2" s="6"/>
      <c r="M2" s="6"/>
      <c r="N2" s="6"/>
      <c r="O2" s="6"/>
      <c r="P2" s="6"/>
      <c r="Q2" s="6"/>
      <c r="R2" s="6"/>
      <c r="S2" s="6"/>
      <c r="T2" s="6"/>
      <c r="U2" s="6"/>
      <c r="V2" s="6"/>
      <c r="W2" s="6"/>
      <c r="X2" s="6"/>
      <c r="Y2" s="6"/>
      <c r="Z2" s="6"/>
      <c r="AA2" s="6"/>
    </row>
    <row r="3" s="1" customFormat="1" ht="60" customHeight="1" spans="1:27">
      <c r="A3" s="7" t="s">
        <v>260</v>
      </c>
      <c r="B3" s="8" t="s">
        <v>0</v>
      </c>
      <c r="C3" s="8" t="s">
        <v>1</v>
      </c>
      <c r="D3" s="8" t="s">
        <v>2</v>
      </c>
      <c r="E3" s="8" t="s">
        <v>3</v>
      </c>
      <c r="F3" s="8" t="s">
        <v>261</v>
      </c>
      <c r="G3" s="8" t="s">
        <v>262</v>
      </c>
      <c r="H3" s="8" t="s">
        <v>6</v>
      </c>
      <c r="I3" s="8" t="s">
        <v>7</v>
      </c>
      <c r="J3" s="8" t="s">
        <v>8</v>
      </c>
      <c r="K3" s="8" t="s">
        <v>9</v>
      </c>
      <c r="L3" s="8" t="s">
        <v>288</v>
      </c>
      <c r="M3" s="8" t="s">
        <v>289</v>
      </c>
      <c r="N3" s="8" t="s">
        <v>290</v>
      </c>
      <c r="O3" s="8" t="s">
        <v>11</v>
      </c>
      <c r="P3" s="8" t="s">
        <v>12</v>
      </c>
      <c r="Q3" s="9" t="s">
        <v>13</v>
      </c>
      <c r="R3" s="9" t="s">
        <v>291</v>
      </c>
      <c r="S3" s="9" t="s">
        <v>292</v>
      </c>
      <c r="T3" s="9" t="s">
        <v>293</v>
      </c>
      <c r="U3" s="9" t="s">
        <v>266</v>
      </c>
      <c r="V3" s="9" t="s">
        <v>14</v>
      </c>
      <c r="W3" s="9" t="s">
        <v>15</v>
      </c>
      <c r="X3" s="9" t="s">
        <v>16</v>
      </c>
      <c r="Y3" s="10" t="s">
        <v>269</v>
      </c>
      <c r="Z3" s="9" t="s">
        <v>17</v>
      </c>
      <c r="AA3" s="9" t="s">
        <v>19</v>
      </c>
    </row>
    <row r="4" s="2" customFormat="1" ht="113" customHeight="1" spans="1:27">
      <c r="B4" s="11" t="s">
        <v>294</v>
      </c>
      <c r="C4" s="11"/>
      <c r="D4" s="11" t="s">
        <v>295</v>
      </c>
      <c r="E4" s="12" t="s">
        <v>23</v>
      </c>
      <c r="F4" s="11" t="s">
        <v>237</v>
      </c>
      <c r="G4" s="11"/>
      <c r="H4" s="11"/>
      <c r="I4" s="11"/>
      <c r="J4" s="11" t="s">
        <v>296</v>
      </c>
      <c r="K4" s="11" t="s">
        <v>297</v>
      </c>
      <c r="L4" s="13" t="s">
        <v>298</v>
      </c>
      <c r="M4" s="11">
        <v>25548600</v>
      </c>
      <c r="N4" s="11">
        <v>2769998.5</v>
      </c>
      <c r="O4" s="14"/>
      <c r="P4" s="14"/>
      <c r="Q4" s="14"/>
      <c r="R4" s="14"/>
      <c r="S4" s="14"/>
      <c r="T4" s="14"/>
      <c r="U4" s="14"/>
      <c r="V4" s="13" t="s">
        <v>299</v>
      </c>
      <c r="W4" s="13"/>
      <c r="X4" s="13" t="s">
        <v>300</v>
      </c>
      <c r="Y4" s="13"/>
      <c r="Z4" s="14"/>
      <c r="AA4" s="14"/>
    </row>
    <row r="5" s="3" customFormat="1" ht="113" customHeight="1" spans="1:27">
      <c r="B5" s="15" t="s">
        <v>301</v>
      </c>
      <c r="C5" s="11"/>
      <c r="D5" s="11" t="s">
        <v>295</v>
      </c>
      <c r="E5" s="12" t="s">
        <v>23</v>
      </c>
      <c r="F5" s="11" t="s">
        <v>237</v>
      </c>
      <c r="G5" s="11"/>
      <c r="H5" s="11"/>
      <c r="I5" s="11"/>
      <c r="J5" s="11" t="s">
        <v>302</v>
      </c>
      <c r="K5" s="11" t="s">
        <v>297</v>
      </c>
      <c r="L5" s="16" t="s">
        <v>303</v>
      </c>
      <c r="M5" s="11">
        <v>9095400</v>
      </c>
      <c r="N5" s="11">
        <v>1249600</v>
      </c>
      <c r="O5" s="17"/>
      <c r="P5" s="17"/>
      <c r="Q5" s="17"/>
      <c r="R5" s="17"/>
      <c r="S5" s="17"/>
      <c r="T5" s="17"/>
      <c r="U5" s="17"/>
      <c r="V5" s="16" t="s">
        <v>304</v>
      </c>
      <c r="W5" s="17"/>
      <c r="X5" s="16" t="s">
        <v>305</v>
      </c>
      <c r="Y5" s="13"/>
      <c r="Z5" s="17"/>
      <c r="AA5" s="17"/>
    </row>
    <row r="6" s="3" customFormat="1" ht="113" customHeight="1" spans="1:27">
      <c r="B6" s="11" t="s">
        <v>306</v>
      </c>
      <c r="C6" s="11"/>
      <c r="D6" s="11" t="s">
        <v>307</v>
      </c>
      <c r="E6" s="12" t="s">
        <v>23</v>
      </c>
      <c r="F6" s="11"/>
      <c r="G6" s="11"/>
      <c r="H6" s="11"/>
      <c r="I6" s="11"/>
      <c r="J6" s="11" t="s">
        <v>308</v>
      </c>
      <c r="K6" s="11" t="s">
        <v>309</v>
      </c>
      <c r="L6" s="16" t="s">
        <v>310</v>
      </c>
      <c r="M6" s="11">
        <v>1980000</v>
      </c>
      <c r="N6" s="11">
        <v>15000</v>
      </c>
      <c r="O6" s="17"/>
      <c r="P6" s="17"/>
      <c r="Q6" s="17"/>
      <c r="R6" s="17"/>
      <c r="S6" s="17"/>
      <c r="T6" s="17"/>
      <c r="U6" s="17"/>
      <c r="V6" s="16" t="s">
        <v>311</v>
      </c>
      <c r="W6" s="16"/>
      <c r="X6" s="16" t="s">
        <v>312</v>
      </c>
      <c r="Y6" s="16"/>
      <c r="Z6" s="17"/>
      <c r="AA6" s="17"/>
    </row>
  </sheetData>
  <mergeCells count="2">
    <mergeCell ref="A1:AA1"/>
    <mergeCell ref="A2:AA2"/>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信息跟踪阶段 </vt:lpstr>
      <vt:lpstr>正在投标阶段</vt:lpstr>
      <vt:lpstr>中标实施阶段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aoliya</dc:creator>
  <cp:lastModifiedBy>刘柯</cp:lastModifiedBy>
  <dcterms:created xsi:type="dcterms:W3CDTF">2021-04-17T08:04:00Z</dcterms:created>
  <dcterms:modified xsi:type="dcterms:W3CDTF">2026-04-08T03:53:00Z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71B9B6B4F887462C91DD4F5437ABD174_13</vt:lpwstr>
  </property>
  <property fmtid="{D5CDD505-2E9C-101B-9397-08002B2CF9AE}" pid="4" name="KSOReadingLayout">
    <vt:bool>true</vt:bool>
  </property>
  <property fmtid="{D5CDD505-2E9C-101B-9397-08002B2CF9AE}" pid="5" name="CalculationRule">
    <vt:i4>0</vt:i4>
  </property>
</Properties>
</file>