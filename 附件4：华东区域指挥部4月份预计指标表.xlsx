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 activeTab="2"/>
  </bookViews>
  <sheets>
    <sheet name="新签" sheetId="5" r:id="rId1"/>
    <sheet name="营收" sheetId="6" r:id="rId2"/>
    <sheet name="回款" sheetId="4" r:id="rId3"/>
  </sheets>
  <definedNames>
    <definedName name="_xlnm._FilterDatabase" localSheetId="2" hidden="1">回款!$A$1:$X$7</definedName>
    <definedName name="_xlnm._FilterDatabase" localSheetId="1" hidden="1">营收!$A$1:$X$2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<sst xmlns="http://schemas.openxmlformats.org/spreadsheetml/2006/main" count="520" uniqueCount="197">
  <si>
    <t>序号</t>
  </si>
  <si>
    <t>填报区域*</t>
  </si>
  <si>
    <t>承揽主办方*</t>
  </si>
  <si>
    <t>承揽协办方1</t>
  </si>
  <si>
    <t>承揽协办方2</t>
  </si>
  <si>
    <t>承揽主办方比例（%）</t>
  </si>
  <si>
    <t>承揽协办方1比例（%）</t>
  </si>
  <si>
    <t>承揽协办方2比例（%）</t>
  </si>
  <si>
    <t>主办省级经营部*</t>
  </si>
  <si>
    <t>主办经营小组*</t>
  </si>
  <si>
    <t>主办方责任人*</t>
  </si>
  <si>
    <t>客户名称*</t>
  </si>
  <si>
    <t>产品线*</t>
  </si>
  <si>
    <t>产品名称*</t>
  </si>
  <si>
    <t>业务形态*</t>
  </si>
  <si>
    <t>产品规格型号</t>
  </si>
  <si>
    <t>产品数量*</t>
  </si>
  <si>
    <t>预计新签金额（元）*</t>
  </si>
  <si>
    <t>预计新签完成月*（例：1月）</t>
  </si>
  <si>
    <t>预计新签完成周*（例：第1周）</t>
  </si>
  <si>
    <t>跟进状态*</t>
  </si>
  <si>
    <t>项目名称*</t>
  </si>
  <si>
    <t>供货地点*</t>
  </si>
  <si>
    <t>所属省/直辖市*</t>
  </si>
  <si>
    <t>是否经过招投标*（是/否）</t>
  </si>
  <si>
    <t>华东区域</t>
  </si>
  <si>
    <t>华东区域指挥部</t>
  </si>
  <si>
    <t>浙江省经营部</t>
  </si>
  <si>
    <t>宁波经营小组</t>
  </si>
  <si>
    <t>袁志凌</t>
  </si>
  <si>
    <t>浙江浙商装备工程服务有限公司</t>
  </si>
  <si>
    <t>掘进机</t>
  </si>
  <si>
    <t>泥水平衡盾构机</t>
  </si>
  <si>
    <t>销售</t>
  </si>
  <si>
    <t>ZTS16220</t>
  </si>
  <si>
    <t>4月</t>
  </si>
  <si>
    <t>第4周</t>
  </si>
  <si>
    <t>商务洽谈</t>
  </si>
  <si>
    <t>甬舟公路复线高速公路项目TJ1标</t>
  </si>
  <si>
    <t>浙江省宁波市</t>
  </si>
  <si>
    <t>是</t>
  </si>
  <si>
    <t>万赛</t>
  </si>
  <si>
    <t>浙江省易通特种基础工程股份有限公司</t>
  </si>
  <si>
    <t>特种装备</t>
  </si>
  <si>
    <t>全电脑三臂凿岩台车</t>
  </si>
  <si>
    <t>ZYS113/ZYS133</t>
  </si>
  <si>
    <t>义龙庆高速公路金华段项目</t>
  </si>
  <si>
    <t>浙江省金华市</t>
  </si>
  <si>
    <t>否</t>
  </si>
  <si>
    <t>杭州经营小组</t>
  </si>
  <si>
    <t>刘新峥</t>
  </si>
  <si>
    <t>徐州利畅源建筑工程有限公司</t>
  </si>
  <si>
    <t>ZYS113</t>
  </si>
  <si>
    <t>杭淳开衢州段项目</t>
  </si>
  <si>
    <t>浙江省衢州市</t>
  </si>
  <si>
    <t>上海市经营部</t>
  </si>
  <si>
    <t>上海经营小组</t>
  </si>
  <si>
    <t>穆华清</t>
  </si>
  <si>
    <t>上海基础</t>
  </si>
  <si>
    <t>4套250沉井设备</t>
  </si>
  <si>
    <t>\</t>
  </si>
  <si>
    <t>钢绞线油缸系统销售</t>
  </si>
  <si>
    <t>上海市</t>
  </si>
  <si>
    <t>华南区域指挥部</t>
  </si>
  <si>
    <t>唐作栋</t>
  </si>
  <si>
    <t>浙江物产工程技术服务有限公司</t>
  </si>
  <si>
    <t>土压平衡盾构机</t>
  </si>
  <si>
    <t>再制造（含维修改造）</t>
  </si>
  <si>
    <t>ZTE6410</t>
  </si>
  <si>
    <t>深圳地铁15号线</t>
  </si>
  <si>
    <t>深圳市</t>
  </si>
  <si>
    <t>海外区域指挥部</t>
  </si>
  <si>
    <t>上海经营部</t>
  </si>
  <si>
    <t>赵宇瑄</t>
  </si>
  <si>
    <t>中铁十五局二公司</t>
  </si>
  <si>
    <t>多功能钻机</t>
  </si>
  <si>
    <t>产品销售</t>
  </si>
  <si>
    <t>DGZ150</t>
  </si>
  <si>
    <t>合同评审中</t>
  </si>
  <si>
    <t>中吉乌铁路</t>
  </si>
  <si>
    <t>新疆</t>
  </si>
  <si>
    <t>预计营收完成月*（例：1月）</t>
  </si>
  <si>
    <t>预计营收完成周*（例：第1周）</t>
  </si>
  <si>
    <t>设备工号*</t>
  </si>
  <si>
    <t>发货时间（文本）</t>
  </si>
  <si>
    <t>合同编号*</t>
  </si>
  <si>
    <t>合同金额*（元）</t>
  </si>
  <si>
    <t>本合同累计已确认收入金额（不含税）（元）</t>
  </si>
  <si>
    <t>预计确认收入金额*（不含税）（元）</t>
  </si>
  <si>
    <t>执行主办方责任人*</t>
  </si>
  <si>
    <t>执行主办方*</t>
  </si>
  <si>
    <t>执行协办方1</t>
  </si>
  <si>
    <t>执行协办方2</t>
  </si>
  <si>
    <t>执行主办分割比例*（%）</t>
  </si>
  <si>
    <t>执行协办方1分割比例（%）</t>
  </si>
  <si>
    <t>执行协办方2分割比例（%）</t>
  </si>
  <si>
    <t>力争/必保*</t>
  </si>
  <si>
    <t>中铁十五局</t>
  </si>
  <si>
    <t>福建省</t>
  </si>
  <si>
    <t>彭泽县东线廊道项目</t>
  </si>
  <si>
    <t>皮带机</t>
  </si>
  <si>
    <t>CR15G2C-TL（房建、市政）彭泽廊道项目-SBCG-2025-001</t>
  </si>
  <si>
    <t>陈浩</t>
  </si>
  <si>
    <t>必保</t>
  </si>
  <si>
    <t>中铁14局隧道公司</t>
  </si>
  <si>
    <t>江西省</t>
  </si>
  <si>
    <t>长赣铁路</t>
  </si>
  <si>
    <t>凿岩台车</t>
  </si>
  <si>
    <t>ZTSSJ-SDGS-SB-2025-1211</t>
  </si>
  <si>
    <t>周斌</t>
  </si>
  <si>
    <t>中原区域指挥部</t>
  </si>
  <si>
    <t>中铁12局</t>
  </si>
  <si>
    <t>温福高铁</t>
  </si>
  <si>
    <t>CR24FJ-SBCG-2026-01、CR24FJ-SBCG-2026-02</t>
  </si>
  <si>
    <t>上海城建市政工程（集团）有限公司</t>
  </si>
  <si>
    <t>合流污水</t>
  </si>
  <si>
    <t>干租</t>
  </si>
  <si>
    <t>土压盾构机</t>
  </si>
  <si>
    <t>DL1689</t>
  </si>
  <si>
    <t>(2025-ZLPS-000088) -号</t>
  </si>
  <si>
    <t>中铁十四局集团大盾构工程有限公司</t>
  </si>
  <si>
    <t>DL1234</t>
  </si>
  <si>
    <t>1412-SHHL-SBZL-2025-001</t>
  </si>
  <si>
    <t>华中区域指挥部</t>
  </si>
  <si>
    <t>中铁二十四局集团有限公司</t>
  </si>
  <si>
    <t>上海东站</t>
  </si>
  <si>
    <t>DL682/685</t>
  </si>
  <si>
    <t>SHDZ-2025-DZ-001</t>
  </si>
  <si>
    <t>中铁十六局集团有限公司</t>
  </si>
  <si>
    <t>嘉闵线</t>
  </si>
  <si>
    <t>DL1558/1559</t>
  </si>
  <si>
    <t>CRCC-16J-JMWZ-2024-008</t>
  </si>
  <si>
    <t>华北区域指挥部</t>
  </si>
  <si>
    <t>预计回款完成月*（例：1月）</t>
  </si>
  <si>
    <t>预计回款完成周*（例：第1周）</t>
  </si>
  <si>
    <t>所属省/直辖市</t>
  </si>
  <si>
    <t>项目名称</t>
  </si>
  <si>
    <t>设备工号</t>
  </si>
  <si>
    <t>预计回款金额*（元）</t>
  </si>
  <si>
    <t>回款方式*（现金、银行转账、银行承兑汇票、商业承兑汇票、云信、银信、融信、抵账、其他）</t>
  </si>
  <si>
    <t>跟进状态</t>
  </si>
  <si>
    <t>江西</t>
  </si>
  <si>
    <t>隧道大机</t>
  </si>
  <si>
    <t>/</t>
  </si>
  <si>
    <t>ZT12-CGJXZQ8-001、002、003、006、007、008</t>
  </si>
  <si>
    <t>银信</t>
  </si>
  <si>
    <t>杨志胜</t>
  </si>
  <si>
    <t>西北区域指挥部</t>
  </si>
  <si>
    <t>力争</t>
  </si>
  <si>
    <t>中铁十二局集团有限公司</t>
  </si>
  <si>
    <t>瑞梅铁路</t>
  </si>
  <si>
    <t>租赁</t>
  </si>
  <si>
    <t>G100215004Y</t>
  </si>
  <si>
    <t>局合专6（2024）-052号</t>
  </si>
  <si>
    <t>银行转账</t>
  </si>
  <si>
    <t>中铁二十五局集团有限公司</t>
  </si>
  <si>
    <t>奉新抽蓄项目</t>
  </si>
  <si>
    <t>TBM</t>
  </si>
  <si>
    <t>DL1509</t>
  </si>
  <si>
    <t>CGGC2GS-SB-TBMYYZX-2024-001</t>
  </si>
  <si>
    <t>西南区域指挥部</t>
  </si>
  <si>
    <t>中国葛洲坝集团第二工程有限公司</t>
  </si>
  <si>
    <t>福建</t>
  </si>
  <si>
    <t>福州地铁</t>
  </si>
  <si>
    <t>107003021【2017】55SZ83-07</t>
  </si>
  <si>
    <t>中建海峡建设发展有限公司</t>
  </si>
  <si>
    <t>长赣铁路项目</t>
  </si>
  <si>
    <t>搅拌站</t>
  </si>
  <si>
    <t>G020325033/G020325034</t>
  </si>
  <si>
    <t>CR-2005-长赣物设-SC-25-003</t>
  </si>
  <si>
    <t>中铁二十局集团有限公第三工程有限公司</t>
  </si>
  <si>
    <t>湿喷台车</t>
  </si>
  <si>
    <t>G070120021/G070125024</t>
  </si>
  <si>
    <t>ZT2003CGWS20250004</t>
  </si>
  <si>
    <t>G02031129/ G02031130</t>
  </si>
  <si>
    <t>CR2003-CGWS-SB-25-003</t>
  </si>
  <si>
    <t>中铁二十局集团有限公第五工程有限公司</t>
  </si>
  <si>
    <t>G070125020</t>
  </si>
  <si>
    <t>CR2005-长赣物设-SC-25-007</t>
  </si>
  <si>
    <t>中铁二十局集团第五工程有限公司</t>
  </si>
  <si>
    <t>DL685/687</t>
  </si>
  <si>
    <t>竖井掘进机</t>
  </si>
  <si>
    <t>上海</t>
  </si>
  <si>
    <t>DG1590</t>
  </si>
  <si>
    <t>（2025-ZLPS-000088）-号</t>
  </si>
  <si>
    <t>上海城建市政</t>
  </si>
  <si>
    <t>浙江</t>
  </si>
  <si>
    <t>杭州地铁18号线</t>
  </si>
  <si>
    <t>CRCHI-GZ-2025-002</t>
  </si>
  <si>
    <t>中铁十一局</t>
  </si>
  <si>
    <t>杭州地铁12号线SG12-2标</t>
  </si>
  <si>
    <t>改造</t>
  </si>
  <si>
    <t>DG1563/1564</t>
  </si>
  <si>
    <t>ZT12-4HZDT12-01</t>
  </si>
  <si>
    <t>中铁十二局四公司</t>
  </si>
  <si>
    <t>C2000010001100004011002025019</t>
  </si>
  <si>
    <t>中铁十一局四公司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</si>
</sst>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 "/>
    <numFmt numFmtId="178" formatCode="0.00_ "/>
    <numFmt numFmtId="179" formatCode="yyyy&quot;年&quot;m&quot;月&quot;;@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仿宋"/>
      <charset val="0"/>
    </font>
    <font>
      <sz val="10"/>
      <color theme="1"/>
      <name val="仿宋"/>
      <charset val="1"/>
    </font>
    <font>
      <sz val="12"/>
      <color theme="1"/>
      <name val="仿宋"/>
      <charset val="134"/>
    </font>
    <font>
      <sz val="10"/>
      <name val="仿宋"/>
      <charset val="0"/>
    </font>
    <font>
      <sz val="11"/>
      <name val="仿宋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protection locked="0"/>
    </xf>
    <xf numFmtId="0" fontId="28" fillId="0" borderId="0">
      <protection locked="0"/>
    </xf>
  </cellStyleXfs>
  <cellXfs count="16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0" xfId="0" applyNumberFormat="1" applyFont="1" applyFill="1" applyAlignment="1"/>
    <xf numFmtId="0" fontId="0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zoomScale="55" zoomScaleNormal="55" workbookViewId="0">
      <selection activeCell="R2" sqref="R2:R7"/>
    </sheetView>
  </sheetViews>
  <sheetFormatPr defaultColWidth="9.81818181818182" defaultRowHeight="15" outlineLevelRow="6"/>
  <cols>
    <col min="1" max="1" width="7.27272727272727" customWidth="1"/>
    <col min="2" max="5" width="9.81818181818182" style="10"/>
    <col min="6" max="6" width="12.8181818181818" style="10"/>
    <col min="7" max="13" width="9.81818181818182" style="10"/>
    <col min="14" max="14" width="18.6909090909091" style="10" customWidth="1"/>
    <col min="15" max="16" width="9.81818181818182" style="10"/>
    <col min="17" max="17" width="14" style="10"/>
    <col min="18" max="18" width="15.8727272727273" style="10" customWidth="1"/>
    <col min="19" max="25" width="9.81818181818182" style="10"/>
    <col min="26" max="26" width="12.3909090909091" style="10" customWidth="1"/>
    <col min="27" max="27" width="12.5636363636364" style="10" customWidth="1"/>
    <col min="28" max="16384" width="9.81818181818182" style="10"/>
  </cols>
  <sheetData>
    <row r="1" s="1" customFormat="1" ht="75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="2" customFormat="1" ht="78" customHeight="1" spans="1:25">
      <c r="A2" s="4">
        <v>1</v>
      </c>
      <c r="B2" s="3" t="s">
        <v>25</v>
      </c>
      <c r="C2" s="3" t="s">
        <v>26</v>
      </c>
      <c r="D2" s="3"/>
      <c r="E2" s="3"/>
      <c r="F2" s="4">
        <v>100</v>
      </c>
      <c r="G2" s="4"/>
      <c r="H2" s="3"/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>
        <v>1</v>
      </c>
      <c r="R2" s="3">
        <v>248000000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39</v>
      </c>
      <c r="Y2" s="3" t="s">
        <v>40</v>
      </c>
    </row>
    <row r="3" s="2" customFormat="1" ht="78" customHeight="1" spans="1:25">
      <c r="A3" s="4">
        <v>2</v>
      </c>
      <c r="B3" s="3" t="s">
        <v>25</v>
      </c>
      <c r="C3" s="3" t="s">
        <v>26</v>
      </c>
      <c r="D3" s="3"/>
      <c r="E3" s="3"/>
      <c r="F3" s="4">
        <v>100</v>
      </c>
      <c r="G3" s="4"/>
      <c r="H3" s="3"/>
      <c r="I3" s="3" t="s">
        <v>27</v>
      </c>
      <c r="J3" s="3" t="s">
        <v>28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33</v>
      </c>
      <c r="P3" s="3" t="s">
        <v>45</v>
      </c>
      <c r="Q3" s="3">
        <v>2</v>
      </c>
      <c r="R3" s="3">
        <v>15000000</v>
      </c>
      <c r="S3" s="3" t="s">
        <v>35</v>
      </c>
      <c r="T3" s="3" t="s">
        <v>36</v>
      </c>
      <c r="U3" s="3" t="s">
        <v>37</v>
      </c>
      <c r="V3" s="3" t="s">
        <v>46</v>
      </c>
      <c r="W3" s="3" t="s">
        <v>39</v>
      </c>
      <c r="X3" s="3" t="s">
        <v>47</v>
      </c>
      <c r="Y3" s="3" t="s">
        <v>48</v>
      </c>
    </row>
    <row r="4" s="2" customFormat="1" ht="78" customHeight="1" spans="1:25">
      <c r="A4" s="4">
        <v>3</v>
      </c>
      <c r="B4" s="3" t="s">
        <v>25</v>
      </c>
      <c r="C4" s="3" t="s">
        <v>26</v>
      </c>
      <c r="D4" s="3"/>
      <c r="E4" s="3"/>
      <c r="F4" s="4">
        <v>100</v>
      </c>
      <c r="G4" s="4"/>
      <c r="H4" s="3"/>
      <c r="I4" s="3" t="s">
        <v>27</v>
      </c>
      <c r="J4" s="3" t="s">
        <v>49</v>
      </c>
      <c r="K4" s="3" t="s">
        <v>50</v>
      </c>
      <c r="L4" s="3" t="s">
        <v>51</v>
      </c>
      <c r="M4" s="3" t="s">
        <v>43</v>
      </c>
      <c r="N4" s="3" t="s">
        <v>44</v>
      </c>
      <c r="O4" s="3" t="s">
        <v>33</v>
      </c>
      <c r="P4" s="3" t="s">
        <v>52</v>
      </c>
      <c r="Q4" s="3">
        <v>1</v>
      </c>
      <c r="R4" s="3">
        <v>7500000</v>
      </c>
      <c r="S4" s="3" t="s">
        <v>35</v>
      </c>
      <c r="T4" s="3" t="s">
        <v>36</v>
      </c>
      <c r="U4" s="3" t="s">
        <v>37</v>
      </c>
      <c r="V4" s="3" t="s">
        <v>53</v>
      </c>
      <c r="W4" s="3" t="s">
        <v>39</v>
      </c>
      <c r="X4" s="3" t="s">
        <v>54</v>
      </c>
      <c r="Y4" s="3" t="s">
        <v>48</v>
      </c>
    </row>
    <row r="5" s="2" customFormat="1" ht="78" customHeight="1" spans="1:25">
      <c r="A5" s="4">
        <v>4</v>
      </c>
      <c r="B5" s="3" t="s">
        <v>25</v>
      </c>
      <c r="C5" s="3" t="s">
        <v>26</v>
      </c>
      <c r="D5" s="3"/>
      <c r="E5" s="3"/>
      <c r="F5" s="4">
        <v>100</v>
      </c>
      <c r="G5" s="4"/>
      <c r="H5" s="3"/>
      <c r="I5" s="3" t="s">
        <v>55</v>
      </c>
      <c r="J5" s="3" t="s">
        <v>56</v>
      </c>
      <c r="K5" s="3" t="s">
        <v>57</v>
      </c>
      <c r="L5" s="3" t="s">
        <v>58</v>
      </c>
      <c r="M5" s="3" t="s">
        <v>31</v>
      </c>
      <c r="N5" s="3" t="s">
        <v>59</v>
      </c>
      <c r="O5" s="3" t="s">
        <v>33</v>
      </c>
      <c r="P5" s="3" t="s">
        <v>60</v>
      </c>
      <c r="Q5" s="3">
        <v>1</v>
      </c>
      <c r="R5" s="3">
        <v>1450000</v>
      </c>
      <c r="S5" s="3" t="s">
        <v>35</v>
      </c>
      <c r="T5" s="3" t="s">
        <v>36</v>
      </c>
      <c r="U5" s="3" t="s">
        <v>37</v>
      </c>
      <c r="V5" s="3" t="s">
        <v>61</v>
      </c>
      <c r="W5" s="3" t="s">
        <v>62</v>
      </c>
      <c r="X5" s="3" t="s">
        <v>62</v>
      </c>
      <c r="Y5" s="3" t="s">
        <v>48</v>
      </c>
    </row>
    <row r="6" s="2" customFormat="1" ht="78" customHeight="1" spans="1:25">
      <c r="A6" s="4">
        <v>5</v>
      </c>
      <c r="B6" s="3" t="s">
        <v>25</v>
      </c>
      <c r="C6" s="3" t="s">
        <v>26</v>
      </c>
      <c r="D6" s="3" t="s">
        <v>63</v>
      </c>
      <c r="E6" s="3"/>
      <c r="F6" s="4">
        <v>100</v>
      </c>
      <c r="G6" s="4">
        <v>70</v>
      </c>
      <c r="H6" s="3"/>
      <c r="I6" s="3" t="s">
        <v>27</v>
      </c>
      <c r="J6" s="3" t="s">
        <v>49</v>
      </c>
      <c r="K6" s="3" t="s">
        <v>64</v>
      </c>
      <c r="L6" s="3" t="s">
        <v>65</v>
      </c>
      <c r="M6" s="3" t="s">
        <v>31</v>
      </c>
      <c r="N6" s="3" t="s">
        <v>66</v>
      </c>
      <c r="O6" s="3" t="s">
        <v>67</v>
      </c>
      <c r="P6" s="3" t="s">
        <v>68</v>
      </c>
      <c r="Q6" s="3">
        <v>1</v>
      </c>
      <c r="R6" s="3">
        <v>5900000</v>
      </c>
      <c r="S6" s="3" t="s">
        <v>35</v>
      </c>
      <c r="T6" s="3" t="s">
        <v>36</v>
      </c>
      <c r="U6" s="3" t="s">
        <v>37</v>
      </c>
      <c r="V6" s="3" t="s">
        <v>69</v>
      </c>
      <c r="W6" s="3" t="s">
        <v>70</v>
      </c>
      <c r="X6" s="3" t="s">
        <v>70</v>
      </c>
      <c r="Y6" s="3" t="s">
        <v>40</v>
      </c>
    </row>
    <row r="7" s="2" customFormat="1" ht="64" customHeight="1" spans="1:25">
      <c r="A7" s="4">
        <v>6</v>
      </c>
      <c r="B7" s="3" t="s">
        <v>25</v>
      </c>
      <c r="C7" s="3" t="s">
        <v>26</v>
      </c>
      <c r="D7" s="3" t="s">
        <v>71</v>
      </c>
      <c r="E7" s="3"/>
      <c r="F7" s="4">
        <v>50</v>
      </c>
      <c r="G7" s="4">
        <v>50</v>
      </c>
      <c r="H7" s="3"/>
      <c r="I7" s="3" t="s">
        <v>72</v>
      </c>
      <c r="J7" s="3" t="s">
        <v>56</v>
      </c>
      <c r="K7" s="3" t="s">
        <v>73</v>
      </c>
      <c r="L7" s="3" t="s">
        <v>74</v>
      </c>
      <c r="M7" s="3" t="s">
        <v>43</v>
      </c>
      <c r="N7" s="3" t="s">
        <v>75</v>
      </c>
      <c r="O7" s="3" t="s">
        <v>76</v>
      </c>
      <c r="P7" s="3" t="s">
        <v>77</v>
      </c>
      <c r="Q7" s="3">
        <v>1</v>
      </c>
      <c r="R7" s="3">
        <v>2910000</v>
      </c>
      <c r="S7" s="3" t="s">
        <v>35</v>
      </c>
      <c r="T7" s="3" t="s">
        <v>36</v>
      </c>
      <c r="U7" s="3" t="s">
        <v>78</v>
      </c>
      <c r="V7" s="3" t="s">
        <v>79</v>
      </c>
      <c r="W7" s="3" t="s">
        <v>80</v>
      </c>
      <c r="X7" s="3" t="s">
        <v>80</v>
      </c>
      <c r="Y7" s="3" t="s">
        <v>48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zoomScale="55" zoomScaleNormal="55" workbookViewId="0">
      <selection activeCell="P8" sqref="P2:P8"/>
    </sheetView>
  </sheetViews>
  <sheetFormatPr defaultColWidth="9.81818181818182" defaultRowHeight="15" outlineLevelRow="7"/>
  <cols>
    <col min="1" max="1" width="9.81818181818182" style="9"/>
    <col min="2" max="4" width="9.81818181818182" style="10"/>
    <col min="5" max="5" width="14.8181818181818" style="10" customWidth="1"/>
    <col min="6" max="6" width="9.81818181818182" style="10"/>
    <col min="7" max="7" width="15.2" style="10" customWidth="1"/>
    <col min="8" max="9" width="9.81818181818182" style="10"/>
    <col min="10" max="10" width="14" style="10"/>
    <col min="11" max="11" width="9.81818181818182" style="10"/>
    <col min="12" max="12" width="21.9727272727273" style="10" customWidth="1"/>
    <col min="13" max="13" width="19.2727272727273" style="10" customWidth="1"/>
    <col min="14" max="14" width="16.4545454545455" style="10" customWidth="1"/>
    <col min="15" max="15" width="15.2727272727273" style="10" customWidth="1"/>
    <col min="16" max="16" width="19.0090909090909" style="10" customWidth="1"/>
    <col min="17" max="17" width="14.3909090909091" style="10" customWidth="1"/>
    <col min="18" max="19" width="10.2363636363636" style="10" customWidth="1"/>
    <col min="20" max="24" width="9.81818181818182" style="10"/>
    <col min="25" max="26" width="14" style="10"/>
    <col min="27" max="16384" width="9.81818181818182" style="10"/>
  </cols>
  <sheetData>
    <row r="1" s="1" customFormat="1" ht="60" spans="1:24">
      <c r="A1" s="3" t="s">
        <v>0</v>
      </c>
      <c r="B1" s="3" t="s">
        <v>1</v>
      </c>
      <c r="C1" s="3" t="s">
        <v>81</v>
      </c>
      <c r="D1" s="3" t="s">
        <v>82</v>
      </c>
      <c r="E1" s="3" t="s">
        <v>11</v>
      </c>
      <c r="F1" s="3" t="s">
        <v>23</v>
      </c>
      <c r="G1" s="3" t="s">
        <v>21</v>
      </c>
      <c r="H1" s="3" t="s">
        <v>14</v>
      </c>
      <c r="I1" s="3" t="s">
        <v>12</v>
      </c>
      <c r="J1" s="3" t="s">
        <v>13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s="3" t="s">
        <v>90</v>
      </c>
      <c r="S1" s="3" t="s">
        <v>91</v>
      </c>
      <c r="T1" s="3" t="s">
        <v>92</v>
      </c>
      <c r="U1" s="3" t="s">
        <v>93</v>
      </c>
      <c r="V1" s="3" t="s">
        <v>94</v>
      </c>
      <c r="W1" s="3" t="s">
        <v>95</v>
      </c>
      <c r="X1" s="3" t="s">
        <v>96</v>
      </c>
    </row>
    <row r="2" s="1" customFormat="1" ht="74" customHeight="1" spans="1:24">
      <c r="A2" s="11">
        <v>1</v>
      </c>
      <c r="B2" s="3" t="s">
        <v>25</v>
      </c>
      <c r="C2" s="11" t="s">
        <v>35</v>
      </c>
      <c r="D2" s="11" t="s">
        <v>36</v>
      </c>
      <c r="E2" s="12" t="s">
        <v>97</v>
      </c>
      <c r="F2" s="3" t="s">
        <v>98</v>
      </c>
      <c r="G2" s="12" t="s">
        <v>99</v>
      </c>
      <c r="H2" s="13" t="s">
        <v>76</v>
      </c>
      <c r="I2" s="13" t="s">
        <v>43</v>
      </c>
      <c r="J2" s="12" t="s">
        <v>100</v>
      </c>
      <c r="K2" s="12" t="s">
        <v>60</v>
      </c>
      <c r="L2" s="12" t="s">
        <v>60</v>
      </c>
      <c r="M2" s="12" t="s">
        <v>101</v>
      </c>
      <c r="N2" s="14">
        <v>358069500</v>
      </c>
      <c r="O2" s="14">
        <f>53710425.0028/1.13</f>
        <v>47531349.56</v>
      </c>
      <c r="P2" s="14">
        <f>50000000/1.13</f>
        <v>44247787.6106195</v>
      </c>
      <c r="Q2" s="12" t="s">
        <v>102</v>
      </c>
      <c r="R2" s="13" t="s">
        <v>26</v>
      </c>
      <c r="S2" s="13"/>
      <c r="T2" s="3"/>
      <c r="U2" s="3">
        <v>100</v>
      </c>
      <c r="V2" s="3"/>
      <c r="W2" s="3"/>
      <c r="X2" s="3" t="s">
        <v>103</v>
      </c>
    </row>
    <row r="3" s="1" customFormat="1" ht="74" customHeight="1" spans="1:24">
      <c r="A3" s="11">
        <v>2</v>
      </c>
      <c r="B3" s="3" t="s">
        <v>25</v>
      </c>
      <c r="C3" s="11" t="s">
        <v>35</v>
      </c>
      <c r="D3" s="11" t="s">
        <v>36</v>
      </c>
      <c r="E3" s="12" t="s">
        <v>104</v>
      </c>
      <c r="F3" s="3" t="s">
        <v>105</v>
      </c>
      <c r="G3" s="12" t="s">
        <v>106</v>
      </c>
      <c r="H3" s="13" t="s">
        <v>76</v>
      </c>
      <c r="I3" s="13" t="s">
        <v>43</v>
      </c>
      <c r="J3" s="12" t="s">
        <v>107</v>
      </c>
      <c r="K3" s="12" t="s">
        <v>60</v>
      </c>
      <c r="L3" s="12" t="s">
        <v>60</v>
      </c>
      <c r="M3" s="12" t="s">
        <v>108</v>
      </c>
      <c r="N3" s="14">
        <v>36560000</v>
      </c>
      <c r="O3" s="14">
        <f>28660000.0018/1.13</f>
        <v>25362831.86</v>
      </c>
      <c r="P3" s="14">
        <f>7900000/1.13</f>
        <v>6991150.44247788</v>
      </c>
      <c r="Q3" s="12" t="s">
        <v>109</v>
      </c>
      <c r="R3" s="13" t="s">
        <v>26</v>
      </c>
      <c r="S3" s="13" t="s">
        <v>110</v>
      </c>
      <c r="T3" s="3"/>
      <c r="U3" s="3">
        <v>70</v>
      </c>
      <c r="V3" s="3">
        <v>30</v>
      </c>
      <c r="W3" s="3"/>
      <c r="X3" s="3" t="s">
        <v>103</v>
      </c>
    </row>
    <row r="4" s="1" customFormat="1" ht="74" customHeight="1" spans="1:24">
      <c r="A4" s="11">
        <v>3</v>
      </c>
      <c r="B4" s="3" t="s">
        <v>25</v>
      </c>
      <c r="C4" s="11" t="s">
        <v>35</v>
      </c>
      <c r="D4" s="11" t="s">
        <v>36</v>
      </c>
      <c r="E4" s="12" t="s">
        <v>111</v>
      </c>
      <c r="F4" s="3" t="s">
        <v>98</v>
      </c>
      <c r="G4" s="12" t="s">
        <v>112</v>
      </c>
      <c r="H4" s="13" t="s">
        <v>76</v>
      </c>
      <c r="I4" s="13" t="s">
        <v>43</v>
      </c>
      <c r="J4" s="12" t="s">
        <v>107</v>
      </c>
      <c r="K4" s="12" t="s">
        <v>60</v>
      </c>
      <c r="L4" s="12" t="s">
        <v>60</v>
      </c>
      <c r="M4" s="12" t="s">
        <v>113</v>
      </c>
      <c r="N4" s="14">
        <v>44260000</v>
      </c>
      <c r="O4" s="14">
        <f>20000000.0065/1.13</f>
        <v>17699115.05</v>
      </c>
      <c r="P4" s="14">
        <f>22450000/1.13</f>
        <v>19867256.6371681</v>
      </c>
      <c r="Q4" s="12" t="s">
        <v>109</v>
      </c>
      <c r="R4" s="13" t="s">
        <v>26</v>
      </c>
      <c r="S4" s="13"/>
      <c r="T4" s="3"/>
      <c r="U4" s="3">
        <v>100</v>
      </c>
      <c r="V4" s="3"/>
      <c r="W4" s="3"/>
      <c r="X4" s="3" t="s">
        <v>103</v>
      </c>
    </row>
    <row r="5" s="1" customFormat="1" ht="74" customHeight="1" spans="1:24">
      <c r="A5" s="11">
        <v>4</v>
      </c>
      <c r="B5" s="3" t="s">
        <v>25</v>
      </c>
      <c r="C5" s="11" t="s">
        <v>35</v>
      </c>
      <c r="D5" s="11" t="s">
        <v>36</v>
      </c>
      <c r="E5" s="12" t="s">
        <v>114</v>
      </c>
      <c r="F5" s="3" t="s">
        <v>62</v>
      </c>
      <c r="G5" s="12" t="s">
        <v>115</v>
      </c>
      <c r="H5" s="13" t="s">
        <v>116</v>
      </c>
      <c r="I5" s="13" t="s">
        <v>31</v>
      </c>
      <c r="J5" s="12" t="s">
        <v>117</v>
      </c>
      <c r="K5" s="12" t="s">
        <v>118</v>
      </c>
      <c r="L5" s="15">
        <v>45931</v>
      </c>
      <c r="M5" s="12" t="s">
        <v>119</v>
      </c>
      <c r="N5" s="14">
        <v>28820400</v>
      </c>
      <c r="O5" s="14"/>
      <c r="P5" s="14">
        <v>2000000</v>
      </c>
      <c r="Q5" s="12" t="s">
        <v>73</v>
      </c>
      <c r="R5" s="13" t="s">
        <v>26</v>
      </c>
      <c r="S5" s="13"/>
      <c r="T5" s="3"/>
      <c r="U5" s="3">
        <v>100</v>
      </c>
      <c r="V5" s="3"/>
      <c r="W5" s="3"/>
      <c r="X5" s="3" t="s">
        <v>103</v>
      </c>
    </row>
    <row r="6" s="1" customFormat="1" ht="74" customHeight="1" spans="1:24">
      <c r="A6" s="11">
        <v>5</v>
      </c>
      <c r="B6" s="3" t="s">
        <v>25</v>
      </c>
      <c r="C6" s="11" t="s">
        <v>35</v>
      </c>
      <c r="D6" s="11" t="s">
        <v>36</v>
      </c>
      <c r="E6" s="12" t="s">
        <v>120</v>
      </c>
      <c r="F6" s="3" t="s">
        <v>62</v>
      </c>
      <c r="G6" s="12" t="s">
        <v>115</v>
      </c>
      <c r="H6" s="13" t="s">
        <v>116</v>
      </c>
      <c r="I6" s="13" t="s">
        <v>31</v>
      </c>
      <c r="J6" s="12" t="s">
        <v>117</v>
      </c>
      <c r="K6" s="12" t="s">
        <v>121</v>
      </c>
      <c r="L6" s="15">
        <v>45931</v>
      </c>
      <c r="M6" s="12" t="s">
        <v>122</v>
      </c>
      <c r="N6" s="14">
        <v>20430900</v>
      </c>
      <c r="O6" s="14"/>
      <c r="P6" s="14">
        <v>600000</v>
      </c>
      <c r="Q6" s="12" t="s">
        <v>73</v>
      </c>
      <c r="R6" s="13" t="s">
        <v>26</v>
      </c>
      <c r="S6" s="13" t="s">
        <v>123</v>
      </c>
      <c r="T6" s="3"/>
      <c r="U6" s="3">
        <v>70</v>
      </c>
      <c r="V6" s="3">
        <v>30</v>
      </c>
      <c r="W6" s="3"/>
      <c r="X6" s="3" t="s">
        <v>103</v>
      </c>
    </row>
    <row r="7" s="1" customFormat="1" ht="74" customHeight="1" spans="1:24">
      <c r="A7" s="11">
        <v>6</v>
      </c>
      <c r="B7" s="3" t="s">
        <v>25</v>
      </c>
      <c r="C7" s="11" t="s">
        <v>35</v>
      </c>
      <c r="D7" s="11" t="s">
        <v>36</v>
      </c>
      <c r="E7" s="12" t="s">
        <v>124</v>
      </c>
      <c r="F7" s="3" t="s">
        <v>62</v>
      </c>
      <c r="G7" s="12" t="s">
        <v>125</v>
      </c>
      <c r="H7" s="13" t="s">
        <v>116</v>
      </c>
      <c r="I7" s="13" t="s">
        <v>31</v>
      </c>
      <c r="J7" s="12" t="s">
        <v>117</v>
      </c>
      <c r="K7" s="12" t="s">
        <v>126</v>
      </c>
      <c r="L7" s="15">
        <v>45931</v>
      </c>
      <c r="M7" s="12" t="s">
        <v>127</v>
      </c>
      <c r="N7" s="14">
        <v>10300000</v>
      </c>
      <c r="O7" s="14"/>
      <c r="P7" s="14">
        <v>500000</v>
      </c>
      <c r="Q7" s="12" t="s">
        <v>73</v>
      </c>
      <c r="R7" s="13" t="s">
        <v>26</v>
      </c>
      <c r="S7" s="13"/>
      <c r="T7" s="3"/>
      <c r="U7" s="3">
        <v>100</v>
      </c>
      <c r="V7" s="3"/>
      <c r="W7" s="3"/>
      <c r="X7" s="3" t="s">
        <v>103</v>
      </c>
    </row>
    <row r="8" s="1" customFormat="1" ht="74" customHeight="1" spans="1:24">
      <c r="A8" s="11">
        <v>7</v>
      </c>
      <c r="B8" s="3" t="s">
        <v>25</v>
      </c>
      <c r="C8" s="11" t="s">
        <v>35</v>
      </c>
      <c r="D8" s="11" t="s">
        <v>36</v>
      </c>
      <c r="E8" s="12" t="s">
        <v>128</v>
      </c>
      <c r="F8" s="3" t="s">
        <v>62</v>
      </c>
      <c r="G8" s="12" t="s">
        <v>129</v>
      </c>
      <c r="H8" s="13" t="s">
        <v>116</v>
      </c>
      <c r="I8" s="13" t="s">
        <v>31</v>
      </c>
      <c r="J8" s="12" t="s">
        <v>117</v>
      </c>
      <c r="K8" s="12" t="s">
        <v>130</v>
      </c>
      <c r="L8" s="15">
        <v>45809</v>
      </c>
      <c r="M8" s="12" t="s">
        <v>131</v>
      </c>
      <c r="N8" s="14">
        <v>56654400</v>
      </c>
      <c r="O8" s="14">
        <v>51530000</v>
      </c>
      <c r="P8" s="14">
        <v>1500000</v>
      </c>
      <c r="Q8" s="12" t="s">
        <v>73</v>
      </c>
      <c r="R8" s="13" t="s">
        <v>26</v>
      </c>
      <c r="S8" s="13" t="s">
        <v>132</v>
      </c>
      <c r="T8" s="3"/>
      <c r="U8" s="3">
        <v>70</v>
      </c>
      <c r="V8" s="3">
        <v>30</v>
      </c>
      <c r="W8" s="3"/>
      <c r="X8" s="3" t="s">
        <v>103</v>
      </c>
    </row>
  </sheetData>
  <dataValidations count="1">
    <dataValidation type="list" allowBlank="1" showInputMessage="1" showErrorMessage="1" sqref="H2:H8">
      <formula1>"产品销售,干租,湿租,再制造（含维修改造）,配件销售,有偿服务,解决方案,投资运营"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zoomScale="55" zoomScaleNormal="55" workbookViewId="0">
      <selection activeCell="M1" sqref="M$1:M$1048576"/>
    </sheetView>
  </sheetViews>
  <sheetFormatPr defaultColWidth="9.81818181818182" defaultRowHeight="15"/>
  <cols>
    <col min="1" max="23" width="13.3636363636364" style="2" customWidth="1"/>
    <col min="24" max="24" width="13.3636363636364" style="1" customWidth="1"/>
    <col min="25" max="25" width="13.0545454545455" style="2" customWidth="1"/>
    <col min="26" max="16384" width="9.81818181818182" style="2"/>
  </cols>
  <sheetData>
    <row r="1" s="1" customFormat="1" ht="60" customHeight="1" spans="1:24">
      <c r="A1" s="3" t="s">
        <v>0</v>
      </c>
      <c r="B1" s="3" t="s">
        <v>1</v>
      </c>
      <c r="C1" s="3" t="s">
        <v>133</v>
      </c>
      <c r="D1" s="3" t="s">
        <v>134</v>
      </c>
      <c r="E1" s="3" t="s">
        <v>135</v>
      </c>
      <c r="F1" s="3" t="s">
        <v>136</v>
      </c>
      <c r="G1" s="3" t="s">
        <v>14</v>
      </c>
      <c r="H1" s="3" t="s">
        <v>12</v>
      </c>
      <c r="I1" s="3" t="s">
        <v>13</v>
      </c>
      <c r="J1" s="3" t="s">
        <v>137</v>
      </c>
      <c r="K1" s="3" t="s">
        <v>85</v>
      </c>
      <c r="L1" s="3" t="s">
        <v>86</v>
      </c>
      <c r="M1" s="3" t="s">
        <v>138</v>
      </c>
      <c r="N1" s="3" t="s">
        <v>139</v>
      </c>
      <c r="O1" s="3" t="s">
        <v>89</v>
      </c>
      <c r="P1" s="3" t="s">
        <v>90</v>
      </c>
      <c r="Q1" s="3" t="s">
        <v>91</v>
      </c>
      <c r="R1" s="3" t="s">
        <v>92</v>
      </c>
      <c r="S1" s="3" t="s">
        <v>93</v>
      </c>
      <c r="T1" s="3" t="s">
        <v>94</v>
      </c>
      <c r="U1" s="3" t="s">
        <v>95</v>
      </c>
      <c r="V1" s="3" t="s">
        <v>140</v>
      </c>
      <c r="W1" s="3" t="s">
        <v>96</v>
      </c>
      <c r="X1" s="3" t="s">
        <v>11</v>
      </c>
    </row>
    <row r="2" s="2" customFormat="1" ht="55" customHeight="1" spans="1:24">
      <c r="A2" s="4">
        <v>1</v>
      </c>
      <c r="B2" s="3" t="s">
        <v>25</v>
      </c>
      <c r="C2" s="3" t="s">
        <v>35</v>
      </c>
      <c r="D2" s="3" t="s">
        <v>36</v>
      </c>
      <c r="E2" s="3" t="s">
        <v>141</v>
      </c>
      <c r="F2" s="5" t="s">
        <v>106</v>
      </c>
      <c r="G2" s="5" t="s">
        <v>33</v>
      </c>
      <c r="H2" s="5" t="s">
        <v>43</v>
      </c>
      <c r="I2" s="5" t="s">
        <v>142</v>
      </c>
      <c r="J2" s="6" t="s">
        <v>143</v>
      </c>
      <c r="K2" s="6" t="s">
        <v>144</v>
      </c>
      <c r="L2" s="7">
        <v>45300000</v>
      </c>
      <c r="M2" s="7">
        <v>7000000</v>
      </c>
      <c r="N2" s="3" t="s">
        <v>145</v>
      </c>
      <c r="O2" s="5" t="s">
        <v>146</v>
      </c>
      <c r="P2" s="5" t="s">
        <v>26</v>
      </c>
      <c r="Q2" s="5" t="s">
        <v>147</v>
      </c>
      <c r="R2" s="5" t="s">
        <v>110</v>
      </c>
      <c r="S2" s="4">
        <v>50</v>
      </c>
      <c r="T2" s="4">
        <v>30</v>
      </c>
      <c r="U2" s="3">
        <v>20</v>
      </c>
      <c r="V2" s="3"/>
      <c r="W2" s="3" t="s">
        <v>148</v>
      </c>
      <c r="X2" s="5" t="s">
        <v>149</v>
      </c>
    </row>
    <row r="3" s="2" customFormat="1" ht="55" customHeight="1" spans="1:24">
      <c r="A3" s="4">
        <v>2</v>
      </c>
      <c r="B3" s="3" t="s">
        <v>25</v>
      </c>
      <c r="C3" s="3" t="s">
        <v>35</v>
      </c>
      <c r="D3" s="3" t="s">
        <v>36</v>
      </c>
      <c r="E3" s="3" t="s">
        <v>141</v>
      </c>
      <c r="F3" s="5" t="s">
        <v>150</v>
      </c>
      <c r="G3" s="5" t="s">
        <v>151</v>
      </c>
      <c r="H3" s="5" t="s">
        <v>43</v>
      </c>
      <c r="I3" s="5" t="s">
        <v>107</v>
      </c>
      <c r="J3" s="6" t="s">
        <v>152</v>
      </c>
      <c r="K3" s="6" t="s">
        <v>153</v>
      </c>
      <c r="L3" s="7">
        <v>640000</v>
      </c>
      <c r="M3" s="7">
        <v>90000</v>
      </c>
      <c r="N3" s="3" t="s">
        <v>154</v>
      </c>
      <c r="O3" s="5" t="s">
        <v>146</v>
      </c>
      <c r="P3" s="5" t="s">
        <v>26</v>
      </c>
      <c r="Q3" s="5"/>
      <c r="R3" s="5"/>
      <c r="S3" s="4">
        <v>100</v>
      </c>
      <c r="T3" s="3"/>
      <c r="U3" s="3"/>
      <c r="V3" s="3"/>
      <c r="W3" s="3" t="s">
        <v>148</v>
      </c>
      <c r="X3" s="5" t="s">
        <v>155</v>
      </c>
    </row>
    <row r="4" s="2" customFormat="1" ht="55" customHeight="1" spans="1:24">
      <c r="A4" s="4">
        <v>3</v>
      </c>
      <c r="B4" s="3" t="s">
        <v>25</v>
      </c>
      <c r="C4" s="3" t="s">
        <v>35</v>
      </c>
      <c r="D4" s="3" t="s">
        <v>36</v>
      </c>
      <c r="E4" s="3" t="s">
        <v>105</v>
      </c>
      <c r="F4" s="5" t="s">
        <v>156</v>
      </c>
      <c r="G4" s="5" t="s">
        <v>33</v>
      </c>
      <c r="H4" s="5" t="s">
        <v>31</v>
      </c>
      <c r="I4" s="5" t="s">
        <v>157</v>
      </c>
      <c r="J4" s="6" t="s">
        <v>158</v>
      </c>
      <c r="K4" s="6" t="s">
        <v>159</v>
      </c>
      <c r="L4" s="7">
        <v>25355200</v>
      </c>
      <c r="M4" s="7">
        <v>1402142.56</v>
      </c>
      <c r="N4" s="3" t="s">
        <v>154</v>
      </c>
      <c r="O4" s="5" t="s">
        <v>102</v>
      </c>
      <c r="P4" s="5" t="s">
        <v>26</v>
      </c>
      <c r="Q4" s="5" t="s">
        <v>160</v>
      </c>
      <c r="R4" s="5"/>
      <c r="S4" s="4">
        <v>70</v>
      </c>
      <c r="T4" s="4">
        <v>30</v>
      </c>
      <c r="U4" s="3"/>
      <c r="V4" s="3"/>
      <c r="W4" s="3" t="s">
        <v>148</v>
      </c>
      <c r="X4" s="5" t="s">
        <v>161</v>
      </c>
    </row>
    <row r="5" s="2" customFormat="1" ht="55" customHeight="1" spans="1:24">
      <c r="A5" s="4">
        <v>4</v>
      </c>
      <c r="B5" s="3" t="s">
        <v>25</v>
      </c>
      <c r="C5" s="3" t="s">
        <v>35</v>
      </c>
      <c r="D5" s="3" t="s">
        <v>36</v>
      </c>
      <c r="E5" s="3" t="s">
        <v>162</v>
      </c>
      <c r="F5" s="5" t="s">
        <v>163</v>
      </c>
      <c r="G5" s="5" t="s">
        <v>151</v>
      </c>
      <c r="H5" s="5" t="s">
        <v>31</v>
      </c>
      <c r="I5" s="5" t="s">
        <v>66</v>
      </c>
      <c r="J5" s="7" t="s">
        <v>60</v>
      </c>
      <c r="K5" s="6" t="s">
        <v>164</v>
      </c>
      <c r="L5" s="7" t="s">
        <v>60</v>
      </c>
      <c r="M5" s="7">
        <v>480000</v>
      </c>
      <c r="N5" s="3" t="s">
        <v>154</v>
      </c>
      <c r="O5" s="5" t="s">
        <v>109</v>
      </c>
      <c r="P5" s="5" t="s">
        <v>26</v>
      </c>
      <c r="Q5" s="5"/>
      <c r="R5" s="5"/>
      <c r="S5" s="4">
        <v>100</v>
      </c>
      <c r="T5" s="4"/>
      <c r="U5" s="3"/>
      <c r="V5" s="3"/>
      <c r="W5" s="3" t="s">
        <v>103</v>
      </c>
      <c r="X5" s="5" t="s">
        <v>165</v>
      </c>
    </row>
    <row r="6" s="2" customFormat="1" ht="55" customHeight="1" spans="1:24">
      <c r="A6" s="4">
        <v>5</v>
      </c>
      <c r="B6" s="3" t="s">
        <v>25</v>
      </c>
      <c r="C6" s="3" t="s">
        <v>35</v>
      </c>
      <c r="D6" s="3" t="s">
        <v>36</v>
      </c>
      <c r="E6" s="3" t="s">
        <v>141</v>
      </c>
      <c r="F6" s="5" t="s">
        <v>166</v>
      </c>
      <c r="G6" s="5" t="s">
        <v>33</v>
      </c>
      <c r="H6" s="5" t="s">
        <v>43</v>
      </c>
      <c r="I6" s="5" t="s">
        <v>167</v>
      </c>
      <c r="J6" s="6" t="s">
        <v>168</v>
      </c>
      <c r="K6" s="6" t="s">
        <v>169</v>
      </c>
      <c r="L6" s="7">
        <v>2793000</v>
      </c>
      <c r="M6" s="7">
        <v>1000000</v>
      </c>
      <c r="N6" s="3" t="s">
        <v>145</v>
      </c>
      <c r="O6" s="5" t="s">
        <v>102</v>
      </c>
      <c r="P6" s="5" t="s">
        <v>26</v>
      </c>
      <c r="Q6" s="5" t="s">
        <v>160</v>
      </c>
      <c r="R6" s="5"/>
      <c r="S6" s="4">
        <v>70</v>
      </c>
      <c r="T6" s="4">
        <v>30</v>
      </c>
      <c r="U6" s="3"/>
      <c r="V6" s="3"/>
      <c r="W6" s="3" t="s">
        <v>148</v>
      </c>
      <c r="X6" s="5" t="s">
        <v>170</v>
      </c>
    </row>
    <row r="7" s="2" customFormat="1" ht="55" customHeight="1" spans="1:24">
      <c r="A7" s="4">
        <v>6</v>
      </c>
      <c r="B7" s="3" t="s">
        <v>25</v>
      </c>
      <c r="C7" s="3" t="s">
        <v>35</v>
      </c>
      <c r="D7" s="3" t="s">
        <v>36</v>
      </c>
      <c r="E7" s="3" t="s">
        <v>141</v>
      </c>
      <c r="F7" s="5" t="s">
        <v>166</v>
      </c>
      <c r="G7" s="5" t="s">
        <v>33</v>
      </c>
      <c r="H7" s="5" t="s">
        <v>43</v>
      </c>
      <c r="I7" s="5" t="s">
        <v>171</v>
      </c>
      <c r="J7" s="6" t="s">
        <v>172</v>
      </c>
      <c r="K7" s="6" t="s">
        <v>173</v>
      </c>
      <c r="L7" s="7">
        <v>1960000</v>
      </c>
      <c r="M7" s="7">
        <v>1000000</v>
      </c>
      <c r="N7" s="3" t="s">
        <v>145</v>
      </c>
      <c r="O7" s="5" t="s">
        <v>102</v>
      </c>
      <c r="P7" s="5" t="s">
        <v>26</v>
      </c>
      <c r="Q7" s="5" t="s">
        <v>160</v>
      </c>
      <c r="R7" s="5"/>
      <c r="S7" s="4">
        <v>70</v>
      </c>
      <c r="T7" s="4">
        <v>30</v>
      </c>
      <c r="U7" s="3"/>
      <c r="V7" s="3"/>
      <c r="W7" s="3" t="s">
        <v>148</v>
      </c>
      <c r="X7" s="5" t="s">
        <v>170</v>
      </c>
    </row>
    <row r="8" s="2" customFormat="1" ht="55" customHeight="1" spans="1:24">
      <c r="A8" s="4">
        <v>7</v>
      </c>
      <c r="B8" s="3" t="s">
        <v>25</v>
      </c>
      <c r="C8" s="3" t="s">
        <v>35</v>
      </c>
      <c r="D8" s="3" t="s">
        <v>36</v>
      </c>
      <c r="E8" s="3" t="s">
        <v>141</v>
      </c>
      <c r="F8" s="5" t="s">
        <v>166</v>
      </c>
      <c r="G8" s="5" t="s">
        <v>33</v>
      </c>
      <c r="H8" s="5" t="s">
        <v>43</v>
      </c>
      <c r="I8" s="5" t="s">
        <v>167</v>
      </c>
      <c r="J8" s="6" t="s">
        <v>174</v>
      </c>
      <c r="K8" s="6" t="s">
        <v>175</v>
      </c>
      <c r="L8" s="7">
        <v>2631800</v>
      </c>
      <c r="M8" s="7">
        <v>1117200</v>
      </c>
      <c r="N8" s="3" t="s">
        <v>145</v>
      </c>
      <c r="O8" s="5" t="s">
        <v>102</v>
      </c>
      <c r="P8" s="5" t="s">
        <v>26</v>
      </c>
      <c r="Q8" s="5" t="s">
        <v>160</v>
      </c>
      <c r="R8" s="5"/>
      <c r="S8" s="4">
        <v>70</v>
      </c>
      <c r="T8" s="4">
        <v>30</v>
      </c>
      <c r="U8" s="3"/>
      <c r="V8" s="3"/>
      <c r="W8" s="3" t="s">
        <v>148</v>
      </c>
      <c r="X8" s="5" t="s">
        <v>176</v>
      </c>
    </row>
    <row r="9" s="2" customFormat="1" ht="55" customHeight="1" spans="1:24">
      <c r="A9" s="4">
        <v>8</v>
      </c>
      <c r="B9" s="3" t="s">
        <v>25</v>
      </c>
      <c r="C9" s="3" t="s">
        <v>35</v>
      </c>
      <c r="D9" s="3" t="s">
        <v>36</v>
      </c>
      <c r="E9" s="3" t="s">
        <v>141</v>
      </c>
      <c r="F9" s="5" t="s">
        <v>166</v>
      </c>
      <c r="G9" s="5" t="s">
        <v>33</v>
      </c>
      <c r="H9" s="5" t="s">
        <v>43</v>
      </c>
      <c r="I9" s="5" t="s">
        <v>171</v>
      </c>
      <c r="J9" s="6" t="s">
        <v>177</v>
      </c>
      <c r="K9" s="6" t="s">
        <v>178</v>
      </c>
      <c r="L9" s="7">
        <v>980000</v>
      </c>
      <c r="M9" s="7">
        <v>588000</v>
      </c>
      <c r="N9" s="3" t="s">
        <v>145</v>
      </c>
      <c r="O9" s="5" t="s">
        <v>102</v>
      </c>
      <c r="P9" s="5" t="s">
        <v>26</v>
      </c>
      <c r="Q9" s="5" t="s">
        <v>160</v>
      </c>
      <c r="R9" s="5"/>
      <c r="S9" s="4">
        <v>70</v>
      </c>
      <c r="T9" s="4">
        <v>30</v>
      </c>
      <c r="U9" s="3"/>
      <c r="V9" s="3"/>
      <c r="W9" s="3" t="s">
        <v>148</v>
      </c>
      <c r="X9" s="5" t="s">
        <v>179</v>
      </c>
    </row>
    <row r="10" s="2" customFormat="1" ht="55" customHeight="1" spans="1:24">
      <c r="A10" s="4">
        <v>9</v>
      </c>
      <c r="B10" s="3" t="s">
        <v>25</v>
      </c>
      <c r="C10" s="3" t="s">
        <v>35</v>
      </c>
      <c r="D10" s="3" t="s">
        <v>36</v>
      </c>
      <c r="E10" s="3" t="s">
        <v>62</v>
      </c>
      <c r="F10" s="5" t="s">
        <v>125</v>
      </c>
      <c r="G10" s="5" t="s">
        <v>116</v>
      </c>
      <c r="H10" s="5" t="s">
        <v>31</v>
      </c>
      <c r="I10" s="5" t="s">
        <v>117</v>
      </c>
      <c r="J10" s="6" t="s">
        <v>180</v>
      </c>
      <c r="K10" s="6" t="s">
        <v>127</v>
      </c>
      <c r="L10" s="7">
        <v>10300000</v>
      </c>
      <c r="M10" s="7">
        <v>1000000</v>
      </c>
      <c r="N10" s="3" t="s">
        <v>145</v>
      </c>
      <c r="O10" s="5" t="s">
        <v>73</v>
      </c>
      <c r="P10" s="5" t="s">
        <v>26</v>
      </c>
      <c r="Q10" s="5"/>
      <c r="R10" s="5"/>
      <c r="S10" s="8">
        <v>100</v>
      </c>
      <c r="T10" s="3"/>
      <c r="U10" s="3"/>
      <c r="V10" s="3"/>
      <c r="W10" s="3" t="s">
        <v>148</v>
      </c>
      <c r="X10" s="5" t="s">
        <v>124</v>
      </c>
    </row>
    <row r="11" s="2" customFormat="1" ht="55" customHeight="1" spans="1:24">
      <c r="A11" s="4">
        <v>10</v>
      </c>
      <c r="B11" s="3" t="s">
        <v>25</v>
      </c>
      <c r="C11" s="3" t="s">
        <v>35</v>
      </c>
      <c r="D11" s="3" t="s">
        <v>36</v>
      </c>
      <c r="E11" s="3" t="s">
        <v>62</v>
      </c>
      <c r="F11" s="5" t="s">
        <v>129</v>
      </c>
      <c r="G11" s="5" t="s">
        <v>116</v>
      </c>
      <c r="H11" s="5" t="s">
        <v>31</v>
      </c>
      <c r="I11" s="5" t="s">
        <v>117</v>
      </c>
      <c r="J11" s="6" t="s">
        <v>130</v>
      </c>
      <c r="K11" s="6" t="s">
        <v>131</v>
      </c>
      <c r="L11" s="7">
        <v>56654400</v>
      </c>
      <c r="M11" s="7">
        <v>2000000</v>
      </c>
      <c r="N11" s="3" t="s">
        <v>145</v>
      </c>
      <c r="O11" s="5" t="s">
        <v>73</v>
      </c>
      <c r="P11" s="5" t="s">
        <v>26</v>
      </c>
      <c r="Q11" s="5" t="s">
        <v>132</v>
      </c>
      <c r="R11" s="5"/>
      <c r="S11" s="8">
        <v>70</v>
      </c>
      <c r="T11" s="3">
        <v>30</v>
      </c>
      <c r="U11" s="3"/>
      <c r="V11" s="3"/>
      <c r="W11" s="3" t="s">
        <v>148</v>
      </c>
      <c r="X11" s="5" t="s">
        <v>128</v>
      </c>
    </row>
    <row r="12" s="2" customFormat="1" ht="55" customHeight="1" spans="1:24">
      <c r="A12" s="4">
        <v>11</v>
      </c>
      <c r="B12" s="3" t="s">
        <v>25</v>
      </c>
      <c r="C12" s="3" t="s">
        <v>35</v>
      </c>
      <c r="D12" s="3" t="s">
        <v>36</v>
      </c>
      <c r="E12" s="3" t="s">
        <v>62</v>
      </c>
      <c r="F12" s="5" t="s">
        <v>115</v>
      </c>
      <c r="G12" s="5" t="s">
        <v>116</v>
      </c>
      <c r="H12" s="5" t="s">
        <v>31</v>
      </c>
      <c r="I12" s="5" t="s">
        <v>181</v>
      </c>
      <c r="J12" s="6" t="s">
        <v>60</v>
      </c>
      <c r="K12" s="6" t="s">
        <v>122</v>
      </c>
      <c r="L12" s="7">
        <v>20430900</v>
      </c>
      <c r="M12" s="7">
        <v>400000</v>
      </c>
      <c r="N12" s="3" t="s">
        <v>154</v>
      </c>
      <c r="O12" s="5" t="s">
        <v>73</v>
      </c>
      <c r="P12" s="5" t="s">
        <v>26</v>
      </c>
      <c r="Q12" s="5" t="s">
        <v>123</v>
      </c>
      <c r="R12" s="5"/>
      <c r="S12" s="8">
        <v>70</v>
      </c>
      <c r="T12" s="3">
        <v>30</v>
      </c>
      <c r="U12" s="3"/>
      <c r="V12" s="3"/>
      <c r="W12" s="3" t="s">
        <v>148</v>
      </c>
      <c r="X12" s="5" t="s">
        <v>120</v>
      </c>
    </row>
    <row r="13" s="2" customFormat="1" ht="55" customHeight="1" spans="1:24">
      <c r="A13" s="4">
        <v>12</v>
      </c>
      <c r="B13" s="3" t="s">
        <v>25</v>
      </c>
      <c r="C13" s="3" t="s">
        <v>35</v>
      </c>
      <c r="D13" s="3" t="s">
        <v>36</v>
      </c>
      <c r="E13" s="3" t="s">
        <v>182</v>
      </c>
      <c r="F13" s="5" t="s">
        <v>115</v>
      </c>
      <c r="G13" s="5" t="s">
        <v>116</v>
      </c>
      <c r="H13" s="5" t="s">
        <v>31</v>
      </c>
      <c r="I13" s="5" t="s">
        <v>181</v>
      </c>
      <c r="J13" s="6" t="s">
        <v>183</v>
      </c>
      <c r="K13" s="6" t="s">
        <v>184</v>
      </c>
      <c r="L13" s="7">
        <v>24000000</v>
      </c>
      <c r="M13" s="7">
        <v>400000</v>
      </c>
      <c r="N13" s="3" t="s">
        <v>154</v>
      </c>
      <c r="O13" s="5" t="s">
        <v>57</v>
      </c>
      <c r="P13" s="5" t="s">
        <v>26</v>
      </c>
      <c r="Q13" s="5"/>
      <c r="R13" s="5"/>
      <c r="S13" s="8">
        <v>100</v>
      </c>
      <c r="T13" s="3"/>
      <c r="U13" s="3"/>
      <c r="V13" s="3"/>
      <c r="W13" s="3" t="s">
        <v>103</v>
      </c>
      <c r="X13" s="5" t="s">
        <v>185</v>
      </c>
    </row>
    <row r="14" s="2" customFormat="1" ht="55" customHeight="1" spans="1:24">
      <c r="A14" s="4">
        <v>13</v>
      </c>
      <c r="B14" s="3" t="s">
        <v>25</v>
      </c>
      <c r="C14" s="3" t="s">
        <v>35</v>
      </c>
      <c r="D14" s="3" t="s">
        <v>36</v>
      </c>
      <c r="E14" s="3" t="s">
        <v>186</v>
      </c>
      <c r="F14" s="5" t="s">
        <v>187</v>
      </c>
      <c r="G14" s="5" t="s">
        <v>116</v>
      </c>
      <c r="H14" s="5" t="s">
        <v>31</v>
      </c>
      <c r="I14" s="5" t="s">
        <v>117</v>
      </c>
      <c r="J14" s="6" t="s">
        <v>60</v>
      </c>
      <c r="K14" s="6" t="s">
        <v>188</v>
      </c>
      <c r="L14" s="7">
        <v>25386350</v>
      </c>
      <c r="M14" s="7">
        <v>4000000</v>
      </c>
      <c r="N14" s="3" t="s">
        <v>145</v>
      </c>
      <c r="O14" s="5" t="s">
        <v>64</v>
      </c>
      <c r="P14" s="5" t="s">
        <v>26</v>
      </c>
      <c r="Q14" s="5" t="s">
        <v>123</v>
      </c>
      <c r="R14" s="5"/>
      <c r="S14" s="8">
        <v>70</v>
      </c>
      <c r="T14" s="3">
        <v>30</v>
      </c>
      <c r="U14" s="3"/>
      <c r="V14" s="3"/>
      <c r="W14" s="3" t="s">
        <v>148</v>
      </c>
      <c r="X14" s="5" t="s">
        <v>189</v>
      </c>
    </row>
    <row r="15" s="2" customFormat="1" ht="55" customHeight="1" spans="1:24">
      <c r="A15" s="4">
        <v>14</v>
      </c>
      <c r="B15" s="3" t="s">
        <v>25</v>
      </c>
      <c r="C15" s="3" t="s">
        <v>35</v>
      </c>
      <c r="D15" s="3" t="s">
        <v>36</v>
      </c>
      <c r="E15" s="3" t="s">
        <v>186</v>
      </c>
      <c r="F15" s="6" t="s">
        <v>190</v>
      </c>
      <c r="G15" s="6" t="s">
        <v>191</v>
      </c>
      <c r="H15" s="5" t="s">
        <v>31</v>
      </c>
      <c r="I15" s="5" t="s">
        <v>66</v>
      </c>
      <c r="J15" s="6" t="s">
        <v>192</v>
      </c>
      <c r="K15" s="6" t="s">
        <v>193</v>
      </c>
      <c r="L15" s="7" t="s">
        <v>60</v>
      </c>
      <c r="M15" s="7">
        <v>2000000</v>
      </c>
      <c r="N15" s="3" t="s">
        <v>145</v>
      </c>
      <c r="O15" s="5" t="s">
        <v>64</v>
      </c>
      <c r="P15" s="5" t="s">
        <v>26</v>
      </c>
      <c r="Q15" s="5" t="s">
        <v>147</v>
      </c>
      <c r="R15" s="5"/>
      <c r="S15" s="8">
        <v>70</v>
      </c>
      <c r="T15" s="3">
        <v>30</v>
      </c>
      <c r="U15" s="3"/>
      <c r="V15" s="3"/>
      <c r="W15" s="3" t="s">
        <v>103</v>
      </c>
      <c r="X15" s="5" t="s">
        <v>194</v>
      </c>
    </row>
    <row r="16" s="2" customFormat="1" ht="55" customHeight="1" spans="1:24">
      <c r="A16" s="4">
        <v>15</v>
      </c>
      <c r="B16" s="3" t="s">
        <v>25</v>
      </c>
      <c r="C16" s="3" t="s">
        <v>35</v>
      </c>
      <c r="D16" s="3" t="s">
        <v>36</v>
      </c>
      <c r="E16" s="3" t="s">
        <v>186</v>
      </c>
      <c r="F16" s="5" t="s">
        <v>112</v>
      </c>
      <c r="G16" s="5" t="s">
        <v>33</v>
      </c>
      <c r="H16" s="5" t="s">
        <v>43</v>
      </c>
      <c r="I16" s="5" t="s">
        <v>167</v>
      </c>
      <c r="J16" s="6" t="s">
        <v>60</v>
      </c>
      <c r="K16" s="6" t="s">
        <v>195</v>
      </c>
      <c r="L16" s="7">
        <v>3500000</v>
      </c>
      <c r="M16" s="7">
        <v>1050000</v>
      </c>
      <c r="N16" s="3" t="s">
        <v>145</v>
      </c>
      <c r="O16" s="5" t="s">
        <v>29</v>
      </c>
      <c r="P16" s="5" t="s">
        <v>26</v>
      </c>
      <c r="Q16" s="5" t="s">
        <v>123</v>
      </c>
      <c r="R16" s="8"/>
      <c r="S16" s="8">
        <v>70</v>
      </c>
      <c r="T16" s="3">
        <v>30</v>
      </c>
      <c r="U16" s="3"/>
      <c r="V16" s="3"/>
      <c r="W16" s="3" t="s">
        <v>148</v>
      </c>
      <c r="X16" s="5" t="s">
        <v>196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新签</vt:lpstr>
      <vt:lpstr>营收</vt:lpstr>
      <vt:lpstr>回款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刘柯2</dc:creator>
  <cp:lastModifiedBy>刘柯</cp:lastModifiedBy>
  <dcterms:created xsi:type="dcterms:W3CDTF">2023-05-12T11:15:00Z</dcterms:created>
  <dcterms:modified xsi:type="dcterms:W3CDTF">2026-04-08T01:48:09Z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2E41425F63324CC4BC056304AC8E09F9_13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