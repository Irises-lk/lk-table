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新签" sheetId="5" r:id="rId1"/>
    <sheet name="营收" sheetId="6" r:id="rId2"/>
    <sheet name="回款" sheetId="4" r:id="rId3"/>
  </sheets>
  <definedNames>
    <definedName name="_xlnm._FilterDatabase" localSheetId="2" hidden="1">回款!$A$1:$X$7</definedName>
    <definedName name="_xlnm._FilterDatabase" localSheetId="1" hidden="1">营收!$A$1:$X$2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<sst xmlns="http://schemas.openxmlformats.org/spreadsheetml/2006/main" count="470" uniqueCount="181">
  <si>
    <t>序号</t>
  </si>
  <si>
    <t>填报区域*</t>
  </si>
  <si>
    <t>承揽主办方*</t>
  </si>
  <si>
    <t>承揽协办方1</t>
  </si>
  <si>
    <t>承揽协办方2</t>
  </si>
  <si>
    <t>承揽主办方比例（%）</t>
  </si>
  <si>
    <t>承揽协办方1比例（%）</t>
  </si>
  <si>
    <t>承揽协办方2比例（%）</t>
  </si>
  <si>
    <t>主办省级经营部*</t>
  </si>
  <si>
    <t>主办经营小组*</t>
  </si>
  <si>
    <t>主办方责任人*</t>
  </si>
  <si>
    <t>客户名称*</t>
  </si>
  <si>
    <t>产品线*</t>
  </si>
  <si>
    <t>产品名称*</t>
  </si>
  <si>
    <t>业务形态*</t>
  </si>
  <si>
    <t>产品规格型号</t>
  </si>
  <si>
    <t>产品数量*</t>
  </si>
  <si>
    <t>预计新签金额（元）*</t>
  </si>
  <si>
    <t>预计新签完成月*（例：1月）</t>
  </si>
  <si>
    <t>预计新签完成周*（例：第1周）</t>
  </si>
  <si>
    <t>跟进状态*</t>
  </si>
  <si>
    <t>项目名称*</t>
  </si>
  <si>
    <t>供货地点*</t>
  </si>
  <si>
    <t>所属省/直辖市*</t>
  </si>
  <si>
    <t>是否经过招投标*（是/否）</t>
  </si>
  <si>
    <t>华东区域</t>
  </si>
  <si>
    <t>浙江省经营部</t>
  </si>
  <si>
    <t>宁波经营小组</t>
  </si>
  <si>
    <t>万赛</t>
  </si>
  <si>
    <t>浙江省易通特种基础工程股份有限公司</t>
  </si>
  <si>
    <t>特装</t>
  </si>
  <si>
    <t>全电脑三臂凿岩台车</t>
  </si>
  <si>
    <t>销售</t>
  </si>
  <si>
    <t>ZYS113/ZYS133</t>
  </si>
  <si>
    <t>商务洽谈</t>
  </si>
  <si>
    <t>义龙庆高速公路金华段项目</t>
  </si>
  <si>
    <t>浙江省金华市武义县义龙庆项目7标</t>
  </si>
  <si>
    <t>浙江省金华市</t>
  </si>
  <si>
    <t>否</t>
  </si>
  <si>
    <t>上海经营部</t>
  </si>
  <si>
    <t>上海经营小组</t>
  </si>
  <si>
    <t>赵宇瑄</t>
  </si>
  <si>
    <t>中铁十五局二公司</t>
  </si>
  <si>
    <t>特种装备</t>
  </si>
  <si>
    <t>多功能钻机</t>
  </si>
  <si>
    <t>产品销售</t>
  </si>
  <si>
    <t>DGZ150</t>
  </si>
  <si>
    <t>3月</t>
  </si>
  <si>
    <t>第4周</t>
  </si>
  <si>
    <t>合同评审中</t>
  </si>
  <si>
    <t>中吉乌铁路</t>
  </si>
  <si>
    <t>新疆</t>
  </si>
  <si>
    <t>穆华清</t>
  </si>
  <si>
    <t>上海基础</t>
  </si>
  <si>
    <t>掘进机</t>
  </si>
  <si>
    <t>泥水平衡盾构机</t>
  </si>
  <si>
    <t>维修改造</t>
  </si>
  <si>
    <t>ZTS13990</t>
  </si>
  <si>
    <t>2月</t>
  </si>
  <si>
    <t>合同签订中</t>
  </si>
  <si>
    <t>沪苏锡常铁路项目</t>
  </si>
  <si>
    <t>上海</t>
  </si>
  <si>
    <t>泥水平衡盾构机主驱动</t>
  </si>
  <si>
    <t>/</t>
  </si>
  <si>
    <t>预计营收完成月*（例：1月）</t>
  </si>
  <si>
    <t>预计营收完成周*（例：第1周）</t>
  </si>
  <si>
    <t>设备工号*</t>
  </si>
  <si>
    <t>发货时间（文本）</t>
  </si>
  <si>
    <t>合同编号*</t>
  </si>
  <si>
    <t>合同金额*（元）</t>
  </si>
  <si>
    <t>本合同累计已确认收入金额（不含税）（元）</t>
  </si>
  <si>
    <t>预计确认收入金额*（不含税）（元）</t>
  </si>
  <si>
    <t>执行主办方责任人*</t>
  </si>
  <si>
    <t>执行主办方*</t>
  </si>
  <si>
    <t>执行协办方1</t>
  </si>
  <si>
    <t>执行协办方2</t>
  </si>
  <si>
    <t>执行主办分割比例*（%）</t>
  </si>
  <si>
    <t>执行协办方1分割比例（%）</t>
  </si>
  <si>
    <t>执行协办方2分割比例（%）</t>
  </si>
  <si>
    <t>力争/必保*</t>
  </si>
  <si>
    <t>中铁二十四局集团有限公司</t>
  </si>
  <si>
    <t>上海市</t>
  </si>
  <si>
    <t>上海东站</t>
  </si>
  <si>
    <t>干租</t>
  </si>
  <si>
    <t>土压盾构机</t>
  </si>
  <si>
    <t>DL682/685</t>
  </si>
  <si>
    <t>SHDZ-2025-DZ-001</t>
  </si>
  <si>
    <t>华东区域指挥部</t>
  </si>
  <si>
    <t>力争</t>
  </si>
  <si>
    <t>中铁十六局集团有限公司</t>
  </si>
  <si>
    <t>嘉闵线</t>
  </si>
  <si>
    <t>DL1558/1559</t>
  </si>
  <si>
    <t>CRCC-16J-JMWZ-2024-008</t>
  </si>
  <si>
    <t>华北区域指挥部</t>
  </si>
  <si>
    <t>中铁十四局集团大盾构工程有限公司</t>
  </si>
  <si>
    <t>合流污水</t>
  </si>
  <si>
    <t>DL1234</t>
  </si>
  <si>
    <t>1412-SHHL-SBZL-2025-001</t>
  </si>
  <si>
    <t>华中区域指挥部</t>
  </si>
  <si>
    <t>上海城建市政工程（集团）有限公司</t>
  </si>
  <si>
    <t>DL1689</t>
  </si>
  <si>
    <t>(2025-ZLPS-000088) -号</t>
  </si>
  <si>
    <t>中铁二十局集团第五工程有限公司</t>
  </si>
  <si>
    <t>长赣铁路项目</t>
  </si>
  <si>
    <t>湿喷台车</t>
  </si>
  <si>
    <t>G070125020</t>
  </si>
  <si>
    <t>CR2005-长赣物设-SC-25-007</t>
  </si>
  <si>
    <t>陈浩</t>
  </si>
  <si>
    <t>西南区域指挥部</t>
  </si>
  <si>
    <t>必保</t>
  </si>
  <si>
    <t>第2周</t>
  </si>
  <si>
    <t>中铁十二局集团有限公司</t>
  </si>
  <si>
    <t>江西赣州</t>
  </si>
  <si>
    <t>长赣铁路</t>
  </si>
  <si>
    <t>全电脑              三臂凿岩台车</t>
  </si>
  <si>
    <t>G100125041</t>
  </si>
  <si>
    <t>ZT12-CGJXZQ8-004、005、009</t>
  </si>
  <si>
    <t>杨志胜</t>
  </si>
  <si>
    <t>西北区域指挥部</t>
  </si>
  <si>
    <t>中原区域指挥部</t>
  </si>
  <si>
    <t>拱架安装台车</t>
  </si>
  <si>
    <t>G190225009</t>
  </si>
  <si>
    <t>ZT12-CGJXZQ8-001、002、003、006、007、008</t>
  </si>
  <si>
    <t>G19010129</t>
  </si>
  <si>
    <t>CG0803-DJ-001</t>
  </si>
  <si>
    <t>钻锚注一体机</t>
  </si>
  <si>
    <t>G23010140</t>
  </si>
  <si>
    <t>G23010146</t>
  </si>
  <si>
    <t>预计回款完成月*（例：1月）</t>
  </si>
  <si>
    <t>预计回款完成周*（例：第1周）</t>
  </si>
  <si>
    <t>所属省/直辖市</t>
  </si>
  <si>
    <t>项目名称</t>
  </si>
  <si>
    <t>设备工号</t>
  </si>
  <si>
    <t>预计回款金额*（元）</t>
  </si>
  <si>
    <t>回款方式*（现金、银行转账、银行承兑汇票、商业承兑汇票、云信、银信、融信、抵账、其他）</t>
  </si>
  <si>
    <t>跟进状态</t>
  </si>
  <si>
    <t>浙江省</t>
  </si>
  <si>
    <t>台州S2线2标中铁二十二局项目部</t>
  </si>
  <si>
    <t>维修再制造</t>
  </si>
  <si>
    <t>土压平衡盾构机</t>
  </si>
  <si>
    <t>DZ1653</t>
  </si>
  <si>
    <t>CR22GD-GD-TZSYTL-SBWX-2025-002</t>
  </si>
  <si>
    <t>银信</t>
  </si>
  <si>
    <t>沈腾飞</t>
  </si>
  <si>
    <t>中铁二十二局轨道公司</t>
  </si>
  <si>
    <t>DL685/687</t>
  </si>
  <si>
    <t>江西省</t>
  </si>
  <si>
    <t>奉新抽蓄项目</t>
  </si>
  <si>
    <t>TBM</t>
  </si>
  <si>
    <t>DL1509</t>
  </si>
  <si>
    <t>CGGC2GS-SB-TBMYYZX-2024-001</t>
  </si>
  <si>
    <t>银行转账</t>
  </si>
  <si>
    <t>联系项目白雪原副经理得知葛洲坝二公司财务总会计师为了2025年年度报表数据冻结了对外付款流程,目前已经在办理付款手续，争取2月底前付出。</t>
  </si>
  <si>
    <t>中国葛洲坝集团第二工程有限公司</t>
  </si>
  <si>
    <t>江西</t>
  </si>
  <si>
    <t>中铁十五局彭泽东线公用运输廊道项目</t>
  </si>
  <si>
    <t>矿山设备</t>
  </si>
  <si>
    <t>皮带机输送系统</t>
  </si>
  <si>
    <t>DP1779</t>
  </si>
  <si>
    <t>CR15G2C-TL（房建、市政）彭泽廊道项目-SBCG-2025-001</t>
  </si>
  <si>
    <t>跟进中</t>
  </si>
  <si>
    <t>中铁十五局集团第二工程有限公司</t>
  </si>
  <si>
    <t>搅拌站</t>
  </si>
  <si>
    <t>G020325033/G020325034</t>
  </si>
  <si>
    <t>CR-2005-长赣物设-SC-25-003</t>
  </si>
  <si>
    <t>客户已经上报付款计划。</t>
  </si>
  <si>
    <t>中铁二十局集团有限公第三工程有限公司</t>
  </si>
  <si>
    <t>G070120021/G070125024</t>
  </si>
  <si>
    <t>ZT2003CGWS20250004</t>
  </si>
  <si>
    <t>G02031129/ G02031130</t>
  </si>
  <si>
    <t>CR2003-CGWS-SB-25-003</t>
  </si>
  <si>
    <t>中铁二十局集团有限公第五工程有限公司</t>
  </si>
  <si>
    <t>隧道大机</t>
  </si>
  <si>
    <t>正在沟通</t>
  </si>
  <si>
    <t>瑞梅铁路</t>
  </si>
  <si>
    <t>租赁</t>
  </si>
  <si>
    <t>凿岩台车</t>
  </si>
  <si>
    <t>G100215004Y</t>
  </si>
  <si>
    <t>局合专6（2024）-052号</t>
  </si>
  <si>
    <t>业主春节钱没有付款给项目部，跟进中。</t>
  </si>
  <si>
    <t>中铁二十五局集团有限公司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</si>
</sst>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 "/>
    <numFmt numFmtId="178" formatCode="yyyy&quot;年&quot;m&quot;月&quot;;@"/>
    <numFmt numFmtId="179" formatCode="0.00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仿宋"/>
      <charset val="0"/>
    </font>
    <font>
      <sz val="10"/>
      <color theme="1"/>
      <name val="仿宋"/>
      <charset val="1"/>
    </font>
    <font>
      <sz val="12"/>
      <color theme="1"/>
      <name val="仿宋"/>
      <charset val="134"/>
    </font>
    <font>
      <sz val="10"/>
      <name val="仿宋"/>
      <charset val="0"/>
    </font>
    <font>
      <sz val="11"/>
      <name val="仿宋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protection locked="0"/>
    </xf>
    <xf numFmtId="0" fontId="28" fillId="0" borderId="0">
      <protection locked="0"/>
    </xf>
  </cellStyleXfs>
  <cellXfs count="17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0" xfId="0" applyNumberFormat="1" applyFont="1" applyFill="1" applyAlignment="1"/>
    <xf numFmtId="0" fontId="0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tabSelected="1" zoomScale="85" zoomScaleNormal="85" workbookViewId="0">
      <selection activeCell="R5" sqref="R5"/>
    </sheetView>
  </sheetViews>
  <sheetFormatPr defaultColWidth="9.81818181818182" defaultRowHeight="15" outlineLevelRow="4"/>
  <cols>
    <col min="1" max="1" width="7.27272727272727" customWidth="1"/>
    <col min="2" max="5" width="9.81818181818182" style="11"/>
    <col min="6" max="6" width="12.8181818181818" style="11"/>
    <col min="7" max="13" width="9.81818181818182" style="11"/>
    <col min="14" max="14" width="18.6909090909091" style="11" customWidth="1"/>
    <col min="15" max="16" width="9.81818181818182" style="11"/>
    <col min="17" max="17" width="14" style="11"/>
    <col min="18" max="18" width="15.8727272727273" style="11" customWidth="1"/>
    <col min="19" max="25" width="9.81818181818182" style="11"/>
    <col min="26" max="26" width="12.3909090909091" style="11" customWidth="1"/>
    <col min="27" max="27" width="12.5636363636364" style="11" customWidth="1"/>
    <col min="28" max="16384" width="9.81818181818182" style="11"/>
  </cols>
  <sheetData>
    <row r="1" s="1" customFormat="1" ht="75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="2" customFormat="1" ht="64" customHeight="1" spans="1:25">
      <c r="A2" s="4">
        <v>1</v>
      </c>
      <c r="B2" s="3" t="s">
        <v>25</v>
      </c>
      <c r="C2" s="3" t="s">
        <v>25</v>
      </c>
      <c r="D2" s="3"/>
      <c r="E2" s="3"/>
      <c r="F2" s="4">
        <v>100</v>
      </c>
      <c r="G2" s="4"/>
      <c r="H2" s="3"/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>
        <v>2</v>
      </c>
      <c r="R2" s="3">
        <v>15000000</v>
      </c>
      <c r="S2" s="3">
        <v>3</v>
      </c>
      <c r="T2" s="3">
        <v>4</v>
      </c>
      <c r="U2" s="3" t="s">
        <v>34</v>
      </c>
      <c r="V2" s="3" t="s">
        <v>35</v>
      </c>
      <c r="W2" s="3" t="s">
        <v>36</v>
      </c>
      <c r="X2" s="3" t="s">
        <v>37</v>
      </c>
      <c r="Y2" s="3" t="s">
        <v>38</v>
      </c>
    </row>
    <row r="3" s="2" customFormat="1" ht="64" customHeight="1" spans="1:25">
      <c r="A3" s="4">
        <v>2</v>
      </c>
      <c r="B3" s="3" t="s">
        <v>25</v>
      </c>
      <c r="C3" s="3" t="s">
        <v>25</v>
      </c>
      <c r="D3" s="3"/>
      <c r="E3" s="3"/>
      <c r="F3" s="4">
        <v>100</v>
      </c>
      <c r="G3" s="4"/>
      <c r="H3" s="3"/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>
        <v>1</v>
      </c>
      <c r="R3" s="3">
        <v>2910000</v>
      </c>
      <c r="S3" s="3" t="s">
        <v>47</v>
      </c>
      <c r="T3" s="3" t="s">
        <v>48</v>
      </c>
      <c r="U3" s="3" t="s">
        <v>49</v>
      </c>
      <c r="V3" s="3" t="s">
        <v>50</v>
      </c>
      <c r="W3" s="3" t="s">
        <v>51</v>
      </c>
      <c r="X3" s="3" t="s">
        <v>51</v>
      </c>
      <c r="Y3" s="3" t="s">
        <v>38</v>
      </c>
    </row>
    <row r="4" s="2" customFormat="1" ht="64" customHeight="1" spans="1:25">
      <c r="A4" s="4">
        <v>3</v>
      </c>
      <c r="B4" s="3" t="s">
        <v>25</v>
      </c>
      <c r="C4" s="3" t="s">
        <v>25</v>
      </c>
      <c r="D4" s="3"/>
      <c r="E4" s="3"/>
      <c r="F4" s="4">
        <v>100</v>
      </c>
      <c r="G4" s="4"/>
      <c r="H4" s="3"/>
      <c r="I4" s="3" t="s">
        <v>39</v>
      </c>
      <c r="J4" s="3" t="s">
        <v>40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>
        <v>1</v>
      </c>
      <c r="R4" s="3">
        <v>19280000</v>
      </c>
      <c r="S4" s="3" t="s">
        <v>58</v>
      </c>
      <c r="T4" s="3" t="s">
        <v>48</v>
      </c>
      <c r="U4" s="3" t="s">
        <v>59</v>
      </c>
      <c r="V4" s="3" t="s">
        <v>60</v>
      </c>
      <c r="W4" s="3" t="s">
        <v>61</v>
      </c>
      <c r="X4" s="3" t="s">
        <v>61</v>
      </c>
      <c r="Y4" s="3" t="s">
        <v>38</v>
      </c>
    </row>
    <row r="5" s="2" customFormat="1" ht="64" customHeight="1" spans="1:25">
      <c r="A5" s="4">
        <v>4</v>
      </c>
      <c r="B5" s="3" t="s">
        <v>25</v>
      </c>
      <c r="C5" s="3" t="s">
        <v>25</v>
      </c>
      <c r="D5" s="3"/>
      <c r="E5" s="3"/>
      <c r="F5" s="4">
        <v>100</v>
      </c>
      <c r="G5" s="4"/>
      <c r="H5" s="3"/>
      <c r="I5" s="3" t="s">
        <v>39</v>
      </c>
      <c r="J5" s="3" t="s">
        <v>40</v>
      </c>
      <c r="K5" s="3" t="s">
        <v>52</v>
      </c>
      <c r="L5" s="3" t="s">
        <v>53</v>
      </c>
      <c r="M5" s="3" t="s">
        <v>54</v>
      </c>
      <c r="N5" s="3" t="s">
        <v>62</v>
      </c>
      <c r="O5" s="3" t="s">
        <v>56</v>
      </c>
      <c r="P5" s="3" t="s">
        <v>63</v>
      </c>
      <c r="Q5" s="3">
        <v>1</v>
      </c>
      <c r="R5" s="3">
        <v>1300000</v>
      </c>
      <c r="S5" s="3" t="s">
        <v>58</v>
      </c>
      <c r="T5" s="3" t="s">
        <v>48</v>
      </c>
      <c r="U5" s="3" t="s">
        <v>59</v>
      </c>
      <c r="V5" s="3" t="s">
        <v>60</v>
      </c>
      <c r="W5" s="3" t="s">
        <v>61</v>
      </c>
      <c r="X5" s="3" t="s">
        <v>61</v>
      </c>
      <c r="Y5" s="3" t="s">
        <v>38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zoomScale="55" zoomScaleNormal="55" topLeftCell="A2" workbookViewId="0">
      <selection activeCell="A2" sqref="A2:A3"/>
    </sheetView>
  </sheetViews>
  <sheetFormatPr defaultColWidth="9.81818181818182" defaultRowHeight="15"/>
  <cols>
    <col min="1" max="1" width="9.81818181818182" style="10"/>
    <col min="2" max="4" width="9.81818181818182" style="11"/>
    <col min="5" max="5" width="14.8181818181818" style="11" customWidth="1"/>
    <col min="6" max="6" width="9.81818181818182" style="11"/>
    <col min="7" max="7" width="15.2" style="11" customWidth="1"/>
    <col min="8" max="9" width="9.81818181818182" style="11"/>
    <col min="10" max="10" width="14" style="11"/>
    <col min="11" max="11" width="9.81818181818182" style="11"/>
    <col min="12" max="12" width="21.9727272727273" style="11" customWidth="1"/>
    <col min="13" max="13" width="19.2727272727273" style="11" customWidth="1"/>
    <col min="14" max="14" width="16.4545454545455" style="11" customWidth="1"/>
    <col min="15" max="15" width="15.2727272727273" style="11" customWidth="1"/>
    <col min="16" max="16" width="19.0090909090909" style="11" customWidth="1"/>
    <col min="17" max="17" width="14.3909090909091" style="11" customWidth="1"/>
    <col min="18" max="19" width="10.2363636363636" style="11" customWidth="1"/>
    <col min="20" max="24" width="9.81818181818182" style="11"/>
    <col min="25" max="26" width="14" style="11"/>
    <col min="27" max="16384" width="9.81818181818182" style="11"/>
  </cols>
  <sheetData>
    <row r="1" s="1" customFormat="1" ht="60" spans="1:24">
      <c r="A1" s="3" t="s">
        <v>0</v>
      </c>
      <c r="B1" s="3" t="s">
        <v>1</v>
      </c>
      <c r="C1" s="3" t="s">
        <v>64</v>
      </c>
      <c r="D1" s="3" t="s">
        <v>65</v>
      </c>
      <c r="E1" s="3" t="s">
        <v>11</v>
      </c>
      <c r="F1" s="3" t="s">
        <v>23</v>
      </c>
      <c r="G1" s="3" t="s">
        <v>21</v>
      </c>
      <c r="H1" s="3" t="s">
        <v>14</v>
      </c>
      <c r="I1" s="3" t="s">
        <v>12</v>
      </c>
      <c r="J1" s="3" t="s">
        <v>13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3" t="s">
        <v>72</v>
      </c>
      <c r="R1" s="3" t="s">
        <v>73</v>
      </c>
      <c r="S1" s="3" t="s">
        <v>74</v>
      </c>
      <c r="T1" s="3" t="s">
        <v>75</v>
      </c>
      <c r="U1" s="3" t="s">
        <v>76</v>
      </c>
      <c r="V1" s="3" t="s">
        <v>77</v>
      </c>
      <c r="W1" s="3" t="s">
        <v>78</v>
      </c>
      <c r="X1" s="3" t="s">
        <v>79</v>
      </c>
    </row>
    <row r="2" s="1" customFormat="1" ht="74" customHeight="1" spans="1:24">
      <c r="A2" s="12">
        <v>1</v>
      </c>
      <c r="B2" s="3" t="s">
        <v>25</v>
      </c>
      <c r="C2" s="12" t="s">
        <v>47</v>
      </c>
      <c r="D2" s="12" t="s">
        <v>48</v>
      </c>
      <c r="E2" s="13" t="s">
        <v>80</v>
      </c>
      <c r="F2" s="3" t="s">
        <v>81</v>
      </c>
      <c r="G2" s="13" t="s">
        <v>82</v>
      </c>
      <c r="H2" s="14" t="s">
        <v>83</v>
      </c>
      <c r="I2" s="14" t="s">
        <v>54</v>
      </c>
      <c r="J2" s="13" t="s">
        <v>84</v>
      </c>
      <c r="K2" s="13" t="s">
        <v>85</v>
      </c>
      <c r="L2" s="15">
        <v>45931</v>
      </c>
      <c r="M2" s="13" t="s">
        <v>86</v>
      </c>
      <c r="N2" s="16">
        <v>10300000</v>
      </c>
      <c r="O2" s="16">
        <v>4820000</v>
      </c>
      <c r="P2" s="16">
        <v>1500000</v>
      </c>
      <c r="Q2" s="13" t="s">
        <v>41</v>
      </c>
      <c r="R2" s="14" t="s">
        <v>87</v>
      </c>
      <c r="S2" s="14"/>
      <c r="T2" s="3"/>
      <c r="U2" s="3">
        <v>100</v>
      </c>
      <c r="V2" s="3"/>
      <c r="W2" s="3"/>
      <c r="X2" s="3" t="s">
        <v>88</v>
      </c>
    </row>
    <row r="3" s="1" customFormat="1" ht="74" customHeight="1" spans="1:24">
      <c r="A3" s="12">
        <v>2</v>
      </c>
      <c r="B3" s="3" t="s">
        <v>25</v>
      </c>
      <c r="C3" s="12" t="s">
        <v>47</v>
      </c>
      <c r="D3" s="12" t="s">
        <v>48</v>
      </c>
      <c r="E3" s="13" t="s">
        <v>89</v>
      </c>
      <c r="F3" s="3" t="s">
        <v>81</v>
      </c>
      <c r="G3" s="13" t="s">
        <v>90</v>
      </c>
      <c r="H3" s="14" t="s">
        <v>83</v>
      </c>
      <c r="I3" s="14" t="s">
        <v>54</v>
      </c>
      <c r="J3" s="13" t="s">
        <v>84</v>
      </c>
      <c r="K3" s="13" t="s">
        <v>91</v>
      </c>
      <c r="L3" s="15">
        <v>45809</v>
      </c>
      <c r="M3" s="13" t="s">
        <v>92</v>
      </c>
      <c r="N3" s="16">
        <v>56654400</v>
      </c>
      <c r="O3" s="16">
        <v>51530000</v>
      </c>
      <c r="P3" s="16">
        <v>1500000</v>
      </c>
      <c r="Q3" s="13" t="s">
        <v>41</v>
      </c>
      <c r="R3" s="14" t="s">
        <v>87</v>
      </c>
      <c r="S3" s="14" t="s">
        <v>93</v>
      </c>
      <c r="T3" s="3"/>
      <c r="U3" s="3">
        <v>70</v>
      </c>
      <c r="V3" s="3">
        <v>30</v>
      </c>
      <c r="W3" s="3"/>
      <c r="X3" s="3" t="s">
        <v>88</v>
      </c>
    </row>
    <row r="4" s="1" customFormat="1" ht="74" customHeight="1" spans="1:24">
      <c r="A4" s="12">
        <v>3</v>
      </c>
      <c r="B4" s="3" t="s">
        <v>25</v>
      </c>
      <c r="C4" s="12" t="s">
        <v>47</v>
      </c>
      <c r="D4" s="12" t="s">
        <v>48</v>
      </c>
      <c r="E4" s="13" t="s">
        <v>94</v>
      </c>
      <c r="F4" s="3" t="s">
        <v>81</v>
      </c>
      <c r="G4" s="13" t="s">
        <v>95</v>
      </c>
      <c r="H4" s="14" t="s">
        <v>83</v>
      </c>
      <c r="I4" s="14" t="s">
        <v>54</v>
      </c>
      <c r="J4" s="13" t="s">
        <v>84</v>
      </c>
      <c r="K4" s="13" t="s">
        <v>96</v>
      </c>
      <c r="L4" s="15">
        <v>45931</v>
      </c>
      <c r="M4" s="13" t="s">
        <v>97</v>
      </c>
      <c r="N4" s="16">
        <v>20430900</v>
      </c>
      <c r="O4" s="16">
        <v>0</v>
      </c>
      <c r="P4" s="16">
        <v>500000</v>
      </c>
      <c r="Q4" s="13" t="s">
        <v>41</v>
      </c>
      <c r="R4" s="14" t="s">
        <v>87</v>
      </c>
      <c r="S4" s="14" t="s">
        <v>98</v>
      </c>
      <c r="T4" s="3"/>
      <c r="U4" s="3">
        <v>70</v>
      </c>
      <c r="V4" s="3">
        <v>30</v>
      </c>
      <c r="W4" s="3"/>
      <c r="X4" s="3" t="s">
        <v>88</v>
      </c>
    </row>
    <row r="5" s="1" customFormat="1" ht="74" customHeight="1" spans="1:24">
      <c r="A5" s="12">
        <v>4</v>
      </c>
      <c r="B5" s="3" t="s">
        <v>25</v>
      </c>
      <c r="C5" s="12" t="s">
        <v>47</v>
      </c>
      <c r="D5" s="12" t="s">
        <v>48</v>
      </c>
      <c r="E5" s="13" t="s">
        <v>99</v>
      </c>
      <c r="F5" s="3" t="s">
        <v>81</v>
      </c>
      <c r="G5" s="13" t="s">
        <v>95</v>
      </c>
      <c r="H5" s="14" t="s">
        <v>83</v>
      </c>
      <c r="I5" s="14" t="s">
        <v>54</v>
      </c>
      <c r="J5" s="13" t="s">
        <v>84</v>
      </c>
      <c r="K5" s="13" t="s">
        <v>100</v>
      </c>
      <c r="L5" s="15">
        <v>45931</v>
      </c>
      <c r="M5" s="13" t="s">
        <v>101</v>
      </c>
      <c r="N5" s="16">
        <v>28820400</v>
      </c>
      <c r="O5" s="16">
        <v>300000</v>
      </c>
      <c r="P5" s="16">
        <v>500000</v>
      </c>
      <c r="Q5" s="13" t="s">
        <v>41</v>
      </c>
      <c r="R5" s="14" t="s">
        <v>87</v>
      </c>
      <c r="S5" s="14"/>
      <c r="T5" s="3"/>
      <c r="U5" s="3">
        <v>100</v>
      </c>
      <c r="V5" s="3"/>
      <c r="W5" s="3"/>
      <c r="X5" s="3" t="s">
        <v>88</v>
      </c>
    </row>
    <row r="6" s="1" customFormat="1" ht="74" customHeight="1" spans="1:24">
      <c r="A6" s="12">
        <v>5</v>
      </c>
      <c r="B6" s="3" t="s">
        <v>25</v>
      </c>
      <c r="C6" s="12" t="s">
        <v>47</v>
      </c>
      <c r="D6" s="12" t="s">
        <v>48</v>
      </c>
      <c r="E6" s="13" t="s">
        <v>102</v>
      </c>
      <c r="F6" s="3" t="s">
        <v>103</v>
      </c>
      <c r="G6" s="13" t="s">
        <v>32</v>
      </c>
      <c r="H6" s="14" t="s">
        <v>43</v>
      </c>
      <c r="I6" s="14" t="s">
        <v>43</v>
      </c>
      <c r="J6" s="13" t="s">
        <v>104</v>
      </c>
      <c r="K6" s="13" t="s">
        <v>105</v>
      </c>
      <c r="L6" s="15">
        <v>45931</v>
      </c>
      <c r="M6" s="13" t="s">
        <v>106</v>
      </c>
      <c r="N6" s="16">
        <v>960000</v>
      </c>
      <c r="O6" s="4">
        <v>849557.52</v>
      </c>
      <c r="P6" s="4">
        <v>849557.52</v>
      </c>
      <c r="Q6" s="13" t="s">
        <v>107</v>
      </c>
      <c r="R6" s="14" t="s">
        <v>87</v>
      </c>
      <c r="S6" s="14" t="s">
        <v>108</v>
      </c>
      <c r="T6" s="3"/>
      <c r="U6" s="3">
        <v>70</v>
      </c>
      <c r="V6" s="3">
        <v>30</v>
      </c>
      <c r="W6" s="3"/>
      <c r="X6" s="3" t="s">
        <v>109</v>
      </c>
    </row>
    <row r="7" s="1" customFormat="1" ht="74" customHeight="1" spans="1:24">
      <c r="A7" s="12">
        <v>6</v>
      </c>
      <c r="B7" s="3" t="s">
        <v>25</v>
      </c>
      <c r="C7" s="12" t="s">
        <v>47</v>
      </c>
      <c r="D7" s="12" t="s">
        <v>110</v>
      </c>
      <c r="E7" s="13" t="s">
        <v>111</v>
      </c>
      <c r="F7" s="3" t="s">
        <v>112</v>
      </c>
      <c r="G7" s="13" t="s">
        <v>113</v>
      </c>
      <c r="H7" s="14" t="s">
        <v>45</v>
      </c>
      <c r="I7" s="14" t="s">
        <v>30</v>
      </c>
      <c r="J7" s="13" t="s">
        <v>114</v>
      </c>
      <c r="K7" s="13" t="s">
        <v>115</v>
      </c>
      <c r="L7" s="15">
        <v>46047</v>
      </c>
      <c r="M7" s="13" t="s">
        <v>116</v>
      </c>
      <c r="N7" s="16">
        <v>7900000</v>
      </c>
      <c r="O7" s="16">
        <v>0</v>
      </c>
      <c r="P7" s="16">
        <f t="shared" ref="P7:P11" si="0">N7/1.13</f>
        <v>6991150.44247788</v>
      </c>
      <c r="Q7" s="13" t="s">
        <v>117</v>
      </c>
      <c r="R7" s="14" t="s">
        <v>87</v>
      </c>
      <c r="S7" s="14" t="s">
        <v>118</v>
      </c>
      <c r="T7" s="3" t="s">
        <v>119</v>
      </c>
      <c r="U7" s="3">
        <v>50</v>
      </c>
      <c r="V7" s="3">
        <v>30</v>
      </c>
      <c r="W7" s="3">
        <v>20</v>
      </c>
      <c r="X7" s="3" t="s">
        <v>109</v>
      </c>
    </row>
    <row r="8" s="1" customFormat="1" ht="74" customHeight="1" spans="1:24">
      <c r="A8" s="12">
        <v>7</v>
      </c>
      <c r="B8" s="3" t="s">
        <v>25</v>
      </c>
      <c r="C8" s="12" t="s">
        <v>47</v>
      </c>
      <c r="D8" s="12" t="s">
        <v>110</v>
      </c>
      <c r="E8" s="13" t="s">
        <v>111</v>
      </c>
      <c r="F8" s="3" t="s">
        <v>112</v>
      </c>
      <c r="G8" s="13" t="s">
        <v>113</v>
      </c>
      <c r="H8" s="14" t="s">
        <v>45</v>
      </c>
      <c r="I8" s="14" t="s">
        <v>30</v>
      </c>
      <c r="J8" s="13" t="s">
        <v>120</v>
      </c>
      <c r="K8" s="13" t="s">
        <v>121</v>
      </c>
      <c r="L8" s="15">
        <v>46013</v>
      </c>
      <c r="M8" s="13" t="s">
        <v>122</v>
      </c>
      <c r="N8" s="16">
        <v>2410000</v>
      </c>
      <c r="O8" s="16">
        <v>0</v>
      </c>
      <c r="P8" s="16">
        <f t="shared" si="0"/>
        <v>2132743.36283186</v>
      </c>
      <c r="Q8" s="13" t="s">
        <v>117</v>
      </c>
      <c r="R8" s="14" t="s">
        <v>87</v>
      </c>
      <c r="S8" s="14" t="s">
        <v>118</v>
      </c>
      <c r="T8" s="3" t="s">
        <v>119</v>
      </c>
      <c r="U8" s="3">
        <v>50</v>
      </c>
      <c r="V8" s="3">
        <v>30</v>
      </c>
      <c r="W8" s="3">
        <v>20</v>
      </c>
      <c r="X8" s="3" t="s">
        <v>109</v>
      </c>
    </row>
    <row r="9" s="1" customFormat="1" ht="74" customHeight="1" spans="1:24">
      <c r="A9" s="12">
        <v>8</v>
      </c>
      <c r="B9" s="3" t="s">
        <v>25</v>
      </c>
      <c r="C9" s="12" t="s">
        <v>47</v>
      </c>
      <c r="D9" s="12" t="s">
        <v>110</v>
      </c>
      <c r="E9" s="13" t="s">
        <v>111</v>
      </c>
      <c r="F9" s="3" t="s">
        <v>112</v>
      </c>
      <c r="G9" s="13" t="s">
        <v>113</v>
      </c>
      <c r="H9" s="14" t="s">
        <v>45</v>
      </c>
      <c r="I9" s="14" t="s">
        <v>30</v>
      </c>
      <c r="J9" s="13" t="s">
        <v>120</v>
      </c>
      <c r="K9" s="13" t="s">
        <v>123</v>
      </c>
      <c r="L9" s="15">
        <v>46023</v>
      </c>
      <c r="M9" s="13" t="s">
        <v>124</v>
      </c>
      <c r="N9" s="16">
        <v>1880000</v>
      </c>
      <c r="O9" s="16">
        <v>0</v>
      </c>
      <c r="P9" s="16">
        <f t="shared" si="0"/>
        <v>1663716.81415929</v>
      </c>
      <c r="Q9" s="13" t="s">
        <v>117</v>
      </c>
      <c r="R9" s="14" t="s">
        <v>87</v>
      </c>
      <c r="S9" s="14" t="s">
        <v>119</v>
      </c>
      <c r="T9" s="3"/>
      <c r="U9" s="3">
        <v>70</v>
      </c>
      <c r="V9" s="3">
        <v>30</v>
      </c>
      <c r="W9" s="3"/>
      <c r="X9" s="3" t="s">
        <v>109</v>
      </c>
    </row>
    <row r="10" s="1" customFormat="1" ht="74" customHeight="1" spans="1:24">
      <c r="A10" s="12">
        <v>9</v>
      </c>
      <c r="B10" s="3" t="s">
        <v>25</v>
      </c>
      <c r="C10" s="12" t="s">
        <v>47</v>
      </c>
      <c r="D10" s="12" t="s">
        <v>110</v>
      </c>
      <c r="E10" s="13" t="s">
        <v>111</v>
      </c>
      <c r="F10" s="3" t="s">
        <v>112</v>
      </c>
      <c r="G10" s="13" t="s">
        <v>113</v>
      </c>
      <c r="H10" s="14" t="s">
        <v>45</v>
      </c>
      <c r="I10" s="14" t="s">
        <v>30</v>
      </c>
      <c r="J10" s="13" t="s">
        <v>125</v>
      </c>
      <c r="K10" s="13" t="s">
        <v>126</v>
      </c>
      <c r="L10" s="15">
        <v>46023</v>
      </c>
      <c r="M10" s="13" t="s">
        <v>124</v>
      </c>
      <c r="N10" s="16">
        <v>3070000</v>
      </c>
      <c r="O10" s="16">
        <v>0</v>
      </c>
      <c r="P10" s="16">
        <f t="shared" si="0"/>
        <v>2716814.15929204</v>
      </c>
      <c r="Q10" s="13" t="s">
        <v>117</v>
      </c>
      <c r="R10" s="14" t="s">
        <v>87</v>
      </c>
      <c r="S10" s="14" t="s">
        <v>119</v>
      </c>
      <c r="T10" s="3"/>
      <c r="U10" s="3">
        <v>70</v>
      </c>
      <c r="V10" s="3">
        <v>30</v>
      </c>
      <c r="W10" s="3"/>
      <c r="X10" s="3" t="s">
        <v>109</v>
      </c>
    </row>
    <row r="11" s="1" customFormat="1" ht="74" customHeight="1" spans="1:24">
      <c r="A11" s="12">
        <v>10</v>
      </c>
      <c r="B11" s="3" t="s">
        <v>25</v>
      </c>
      <c r="C11" s="12" t="s">
        <v>47</v>
      </c>
      <c r="D11" s="12" t="s">
        <v>110</v>
      </c>
      <c r="E11" s="13" t="s">
        <v>111</v>
      </c>
      <c r="F11" s="3" t="s">
        <v>112</v>
      </c>
      <c r="G11" s="13" t="s">
        <v>113</v>
      </c>
      <c r="H11" s="14" t="s">
        <v>45</v>
      </c>
      <c r="I11" s="14" t="s">
        <v>30</v>
      </c>
      <c r="J11" s="13" t="s">
        <v>125</v>
      </c>
      <c r="K11" s="13" t="s">
        <v>127</v>
      </c>
      <c r="L11" s="15">
        <v>46054</v>
      </c>
      <c r="M11" s="13" t="s">
        <v>124</v>
      </c>
      <c r="N11" s="16">
        <v>3070000</v>
      </c>
      <c r="O11" s="16">
        <v>0</v>
      </c>
      <c r="P11" s="16">
        <f t="shared" si="0"/>
        <v>2716814.15929204</v>
      </c>
      <c r="Q11" s="13" t="s">
        <v>117</v>
      </c>
      <c r="R11" s="14" t="s">
        <v>87</v>
      </c>
      <c r="S11" s="14" t="s">
        <v>119</v>
      </c>
      <c r="T11" s="3"/>
      <c r="U11" s="3">
        <v>70</v>
      </c>
      <c r="V11" s="3">
        <v>30</v>
      </c>
      <c r="W11" s="3"/>
      <c r="X11" s="3" t="s">
        <v>109</v>
      </c>
    </row>
  </sheetData>
  <dataValidations count="1">
    <dataValidation type="list" allowBlank="1" showInputMessage="1" showErrorMessage="1" sqref="H2:H5 H7:H11">
      <formula1>"产品销售,干租,湿租,再制造（含维修改造）,配件销售,有偿服务,解决方案,投资运营"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zoomScale="55" zoomScaleNormal="55" workbookViewId="0">
      <selection activeCell="Y2" sqref="Y2"/>
    </sheetView>
  </sheetViews>
  <sheetFormatPr defaultColWidth="9.81818181818182" defaultRowHeight="15"/>
  <cols>
    <col min="1" max="1" width="11.2363636363636" style="2" customWidth="1"/>
    <col min="2" max="2" width="11.8909090909091" style="2" customWidth="1"/>
    <col min="3" max="4" width="9.81818181818182" style="2"/>
    <col min="5" max="5" width="18.1818181818182" style="2" customWidth="1"/>
    <col min="6" max="6" width="16.3545454545455" style="2" customWidth="1"/>
    <col min="7" max="7" width="13.2545454545455" style="2" customWidth="1"/>
    <col min="8" max="10" width="9.81818181818182" style="2"/>
    <col min="11" max="11" width="21.9454545454545" style="2" customWidth="1"/>
    <col min="12" max="13" width="22.3454545454545" style="2" customWidth="1"/>
    <col min="14" max="14" width="23.5" style="2" customWidth="1"/>
    <col min="15" max="16" width="9.81818181818182" style="2"/>
    <col min="17" max="22" width="9.81818181818182" style="2" customWidth="1"/>
    <col min="23" max="23" width="9.81818181818182" style="2"/>
    <col min="24" max="24" width="9.81818181818182" style="1"/>
    <col min="25" max="25" width="13.0545454545455" style="2" customWidth="1"/>
    <col min="26" max="16384" width="9.81818181818182" style="2"/>
  </cols>
  <sheetData>
    <row r="1" s="1" customFormat="1" ht="60" customHeight="1" spans="1:24">
      <c r="A1" s="3" t="s">
        <v>0</v>
      </c>
      <c r="B1" s="3" t="s">
        <v>1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14</v>
      </c>
      <c r="H1" s="3" t="s">
        <v>12</v>
      </c>
      <c r="I1" s="3" t="s">
        <v>13</v>
      </c>
      <c r="J1" s="3" t="s">
        <v>132</v>
      </c>
      <c r="K1" s="3" t="s">
        <v>68</v>
      </c>
      <c r="L1" s="3" t="s">
        <v>69</v>
      </c>
      <c r="M1" s="3" t="s">
        <v>133</v>
      </c>
      <c r="N1" s="3" t="s">
        <v>134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77</v>
      </c>
      <c r="U1" s="3" t="s">
        <v>78</v>
      </c>
      <c r="V1" s="3" t="s">
        <v>135</v>
      </c>
      <c r="W1" s="3" t="s">
        <v>79</v>
      </c>
      <c r="X1" s="3" t="s">
        <v>11</v>
      </c>
    </row>
    <row r="2" s="2" customFormat="1" ht="55" customHeight="1" spans="1:24">
      <c r="A2" s="4">
        <v>1</v>
      </c>
      <c r="B2" s="3" t="s">
        <v>25</v>
      </c>
      <c r="C2" s="3" t="s">
        <v>47</v>
      </c>
      <c r="D2" s="3" t="s">
        <v>48</v>
      </c>
      <c r="E2" s="3" t="s">
        <v>136</v>
      </c>
      <c r="F2" s="5" t="s">
        <v>137</v>
      </c>
      <c r="G2" s="5" t="s">
        <v>138</v>
      </c>
      <c r="H2" s="5" t="s">
        <v>54</v>
      </c>
      <c r="I2" s="5" t="s">
        <v>139</v>
      </c>
      <c r="J2" s="6" t="s">
        <v>140</v>
      </c>
      <c r="K2" s="6" t="s">
        <v>141</v>
      </c>
      <c r="L2" s="7">
        <v>1670000</v>
      </c>
      <c r="M2" s="7">
        <v>5845000</v>
      </c>
      <c r="N2" s="3" t="s">
        <v>142</v>
      </c>
      <c r="O2" s="5" t="s">
        <v>143</v>
      </c>
      <c r="P2" s="5" t="s">
        <v>87</v>
      </c>
      <c r="Q2" s="8"/>
      <c r="R2" s="8"/>
      <c r="S2" s="4">
        <v>70</v>
      </c>
      <c r="T2" s="3"/>
      <c r="U2" s="3"/>
      <c r="V2" s="3"/>
      <c r="W2" s="3" t="s">
        <v>88</v>
      </c>
      <c r="X2" s="5" t="s">
        <v>144</v>
      </c>
    </row>
    <row r="3" s="2" customFormat="1" ht="55" customHeight="1" spans="1:24">
      <c r="A3" s="4">
        <v>2</v>
      </c>
      <c r="B3" s="3" t="s">
        <v>25</v>
      </c>
      <c r="C3" s="3" t="s">
        <v>47</v>
      </c>
      <c r="D3" s="3" t="s">
        <v>48</v>
      </c>
      <c r="E3" s="3" t="s">
        <v>81</v>
      </c>
      <c r="F3" s="5" t="s">
        <v>82</v>
      </c>
      <c r="G3" s="5" t="s">
        <v>83</v>
      </c>
      <c r="H3" s="5" t="s">
        <v>54</v>
      </c>
      <c r="I3" s="5" t="s">
        <v>84</v>
      </c>
      <c r="J3" s="6" t="s">
        <v>145</v>
      </c>
      <c r="K3" s="6" t="s">
        <v>86</v>
      </c>
      <c r="L3" s="7">
        <v>10300000</v>
      </c>
      <c r="M3" s="7">
        <v>1000000</v>
      </c>
      <c r="N3" s="3" t="s">
        <v>142</v>
      </c>
      <c r="O3" s="5" t="s">
        <v>41</v>
      </c>
      <c r="P3" s="5" t="s">
        <v>87</v>
      </c>
      <c r="Q3" s="8"/>
      <c r="R3" s="8"/>
      <c r="S3" s="8">
        <v>100</v>
      </c>
      <c r="T3" s="3"/>
      <c r="U3" s="3"/>
      <c r="V3" s="3"/>
      <c r="W3" s="3" t="s">
        <v>88</v>
      </c>
      <c r="X3" s="5" t="s">
        <v>80</v>
      </c>
    </row>
    <row r="4" s="2" customFormat="1" ht="55" customHeight="1" spans="1:24">
      <c r="A4" s="4">
        <v>3</v>
      </c>
      <c r="B4" s="3" t="s">
        <v>25</v>
      </c>
      <c r="C4" s="3" t="s">
        <v>47</v>
      </c>
      <c r="D4" s="3" t="s">
        <v>48</v>
      </c>
      <c r="E4" s="3" t="s">
        <v>81</v>
      </c>
      <c r="F4" s="5" t="s">
        <v>90</v>
      </c>
      <c r="G4" s="5" t="s">
        <v>83</v>
      </c>
      <c r="H4" s="5" t="s">
        <v>54</v>
      </c>
      <c r="I4" s="5" t="s">
        <v>84</v>
      </c>
      <c r="J4" s="6" t="s">
        <v>91</v>
      </c>
      <c r="K4" s="6" t="s">
        <v>92</v>
      </c>
      <c r="L4" s="7">
        <v>56654400</v>
      </c>
      <c r="M4" s="7">
        <v>1000000</v>
      </c>
      <c r="N4" s="3" t="s">
        <v>142</v>
      </c>
      <c r="O4" s="5" t="s">
        <v>41</v>
      </c>
      <c r="P4" s="5" t="s">
        <v>87</v>
      </c>
      <c r="Q4" s="8" t="s">
        <v>93</v>
      </c>
      <c r="R4" s="8"/>
      <c r="S4" s="8">
        <v>70</v>
      </c>
      <c r="T4" s="3">
        <v>30</v>
      </c>
      <c r="U4" s="3"/>
      <c r="V4" s="3"/>
      <c r="W4" s="3" t="s">
        <v>88</v>
      </c>
      <c r="X4" s="5" t="s">
        <v>89</v>
      </c>
    </row>
    <row r="5" s="2" customFormat="1" ht="55" customHeight="1" spans="1:24">
      <c r="A5" s="4">
        <v>4</v>
      </c>
      <c r="B5" s="3" t="s">
        <v>25</v>
      </c>
      <c r="C5" s="3" t="s">
        <v>47</v>
      </c>
      <c r="D5" s="3" t="s">
        <v>48</v>
      </c>
      <c r="E5" s="3" t="s">
        <v>146</v>
      </c>
      <c r="F5" s="5" t="s">
        <v>147</v>
      </c>
      <c r="G5" s="5" t="s">
        <v>32</v>
      </c>
      <c r="H5" s="5" t="s">
        <v>54</v>
      </c>
      <c r="I5" s="5" t="s">
        <v>148</v>
      </c>
      <c r="J5" s="6" t="s">
        <v>149</v>
      </c>
      <c r="K5" s="6" t="s">
        <v>150</v>
      </c>
      <c r="L5" s="7">
        <v>25355200</v>
      </c>
      <c r="M5" s="7">
        <v>1402142.56</v>
      </c>
      <c r="N5" s="3" t="s">
        <v>151</v>
      </c>
      <c r="O5" s="5" t="s">
        <v>107</v>
      </c>
      <c r="P5" s="5" t="s">
        <v>87</v>
      </c>
      <c r="Q5" s="8" t="s">
        <v>108</v>
      </c>
      <c r="R5" s="8"/>
      <c r="S5" s="4">
        <v>70</v>
      </c>
      <c r="T5" s="4">
        <v>30</v>
      </c>
      <c r="U5" s="3"/>
      <c r="V5" s="3" t="s">
        <v>152</v>
      </c>
      <c r="W5" s="3" t="s">
        <v>88</v>
      </c>
      <c r="X5" s="5" t="s">
        <v>153</v>
      </c>
    </row>
    <row r="6" s="2" customFormat="1" ht="55" customHeight="1" spans="1:24">
      <c r="A6" s="4">
        <v>5</v>
      </c>
      <c r="B6" s="3" t="s">
        <v>25</v>
      </c>
      <c r="C6" s="3" t="s">
        <v>47</v>
      </c>
      <c r="D6" s="3" t="s">
        <v>48</v>
      </c>
      <c r="E6" s="3" t="s">
        <v>154</v>
      </c>
      <c r="F6" s="5" t="s">
        <v>155</v>
      </c>
      <c r="G6" s="5" t="s">
        <v>32</v>
      </c>
      <c r="H6" s="5" t="s">
        <v>156</v>
      </c>
      <c r="I6" s="5" t="s">
        <v>157</v>
      </c>
      <c r="J6" s="6" t="s">
        <v>158</v>
      </c>
      <c r="K6" s="6" t="s">
        <v>159</v>
      </c>
      <c r="L6" s="7">
        <v>358069500</v>
      </c>
      <c r="M6" s="7">
        <v>3000000</v>
      </c>
      <c r="N6" s="3" t="s">
        <v>142</v>
      </c>
      <c r="O6" s="5" t="s">
        <v>107</v>
      </c>
      <c r="P6" s="5" t="s">
        <v>87</v>
      </c>
      <c r="Q6" s="8"/>
      <c r="R6" s="8"/>
      <c r="S6" s="8">
        <v>100</v>
      </c>
      <c r="T6" s="3"/>
      <c r="U6" s="3"/>
      <c r="V6" s="3" t="s">
        <v>160</v>
      </c>
      <c r="W6" s="3" t="s">
        <v>88</v>
      </c>
      <c r="X6" s="5" t="s">
        <v>161</v>
      </c>
    </row>
    <row r="7" s="2" customFormat="1" ht="55" customHeight="1" spans="1:24">
      <c r="A7" s="4">
        <v>6</v>
      </c>
      <c r="B7" s="3" t="s">
        <v>25</v>
      </c>
      <c r="C7" s="3" t="s">
        <v>47</v>
      </c>
      <c r="D7" s="3" t="s">
        <v>48</v>
      </c>
      <c r="E7" s="3" t="s">
        <v>154</v>
      </c>
      <c r="F7" s="5" t="s">
        <v>103</v>
      </c>
      <c r="G7" s="5" t="s">
        <v>32</v>
      </c>
      <c r="H7" s="5" t="s">
        <v>43</v>
      </c>
      <c r="I7" s="5" t="s">
        <v>162</v>
      </c>
      <c r="J7" s="6" t="s">
        <v>163</v>
      </c>
      <c r="K7" s="6" t="s">
        <v>164</v>
      </c>
      <c r="L7" s="7">
        <v>2793000</v>
      </c>
      <c r="M7" s="7">
        <v>1000000</v>
      </c>
      <c r="N7" s="3" t="s">
        <v>142</v>
      </c>
      <c r="O7" s="5" t="s">
        <v>107</v>
      </c>
      <c r="P7" s="5" t="s">
        <v>87</v>
      </c>
      <c r="Q7" s="8" t="s">
        <v>108</v>
      </c>
      <c r="R7" s="8"/>
      <c r="S7" s="4">
        <v>70</v>
      </c>
      <c r="T7" s="4">
        <v>30</v>
      </c>
      <c r="U7" s="3"/>
      <c r="V7" s="3" t="s">
        <v>165</v>
      </c>
      <c r="W7" s="3" t="s">
        <v>88</v>
      </c>
      <c r="X7" s="5" t="s">
        <v>166</v>
      </c>
    </row>
    <row r="8" s="2" customFormat="1" ht="55" customHeight="1" spans="1:24">
      <c r="A8" s="4">
        <v>7</v>
      </c>
      <c r="B8" s="3" t="s">
        <v>25</v>
      </c>
      <c r="C8" s="3" t="s">
        <v>47</v>
      </c>
      <c r="D8" s="3" t="s">
        <v>48</v>
      </c>
      <c r="E8" s="3" t="s">
        <v>154</v>
      </c>
      <c r="F8" s="5" t="s">
        <v>103</v>
      </c>
      <c r="G8" s="5" t="s">
        <v>32</v>
      </c>
      <c r="H8" s="5" t="s">
        <v>43</v>
      </c>
      <c r="I8" s="5" t="s">
        <v>104</v>
      </c>
      <c r="J8" s="6" t="s">
        <v>167</v>
      </c>
      <c r="K8" s="6" t="s">
        <v>168</v>
      </c>
      <c r="L8" s="7">
        <v>1960000</v>
      </c>
      <c r="M8" s="7">
        <v>1000000</v>
      </c>
      <c r="N8" s="3" t="s">
        <v>142</v>
      </c>
      <c r="O8" s="5" t="s">
        <v>107</v>
      </c>
      <c r="P8" s="5" t="s">
        <v>87</v>
      </c>
      <c r="Q8" s="8" t="s">
        <v>108</v>
      </c>
      <c r="R8" s="8"/>
      <c r="S8" s="4">
        <v>70</v>
      </c>
      <c r="T8" s="4">
        <v>30</v>
      </c>
      <c r="U8" s="3"/>
      <c r="V8" s="3" t="s">
        <v>165</v>
      </c>
      <c r="W8" s="3" t="s">
        <v>88</v>
      </c>
      <c r="X8" s="5" t="s">
        <v>166</v>
      </c>
    </row>
    <row r="9" s="2" customFormat="1" ht="55" customHeight="1" spans="1:24">
      <c r="A9" s="4">
        <v>8</v>
      </c>
      <c r="B9" s="3" t="s">
        <v>25</v>
      </c>
      <c r="C9" s="3" t="s">
        <v>47</v>
      </c>
      <c r="D9" s="3" t="s">
        <v>48</v>
      </c>
      <c r="E9" s="3" t="s">
        <v>154</v>
      </c>
      <c r="F9" s="5" t="s">
        <v>103</v>
      </c>
      <c r="G9" s="5" t="s">
        <v>32</v>
      </c>
      <c r="H9" s="5" t="s">
        <v>43</v>
      </c>
      <c r="I9" s="5" t="s">
        <v>162</v>
      </c>
      <c r="J9" s="6" t="s">
        <v>169</v>
      </c>
      <c r="K9" s="6" t="s">
        <v>170</v>
      </c>
      <c r="L9" s="7">
        <v>2631800</v>
      </c>
      <c r="M9" s="7">
        <v>1117200</v>
      </c>
      <c r="N9" s="3" t="s">
        <v>142</v>
      </c>
      <c r="O9" s="5" t="s">
        <v>107</v>
      </c>
      <c r="P9" s="5" t="s">
        <v>87</v>
      </c>
      <c r="Q9" s="8" t="s">
        <v>108</v>
      </c>
      <c r="R9" s="8"/>
      <c r="S9" s="4">
        <v>70</v>
      </c>
      <c r="T9" s="4">
        <v>30</v>
      </c>
      <c r="U9" s="3"/>
      <c r="V9" s="3" t="s">
        <v>165</v>
      </c>
      <c r="W9" s="3" t="s">
        <v>88</v>
      </c>
      <c r="X9" s="5" t="s">
        <v>171</v>
      </c>
    </row>
    <row r="10" s="2" customFormat="1" ht="55" customHeight="1" spans="1:24">
      <c r="A10" s="4">
        <v>9</v>
      </c>
      <c r="B10" s="3" t="s">
        <v>25</v>
      </c>
      <c r="C10" s="3" t="s">
        <v>47</v>
      </c>
      <c r="D10" s="3" t="s">
        <v>48</v>
      </c>
      <c r="E10" s="3" t="s">
        <v>154</v>
      </c>
      <c r="F10" s="5" t="s">
        <v>103</v>
      </c>
      <c r="G10" s="5" t="s">
        <v>32</v>
      </c>
      <c r="H10" s="5" t="s">
        <v>43</v>
      </c>
      <c r="I10" s="5" t="s">
        <v>104</v>
      </c>
      <c r="J10" s="6" t="s">
        <v>105</v>
      </c>
      <c r="K10" s="6" t="s">
        <v>106</v>
      </c>
      <c r="L10" s="7">
        <v>980000</v>
      </c>
      <c r="M10" s="7">
        <v>588000</v>
      </c>
      <c r="N10" s="3" t="s">
        <v>142</v>
      </c>
      <c r="O10" s="5" t="s">
        <v>107</v>
      </c>
      <c r="P10" s="5" t="s">
        <v>87</v>
      </c>
      <c r="Q10" s="8" t="s">
        <v>108</v>
      </c>
      <c r="R10" s="8"/>
      <c r="S10" s="4">
        <v>70</v>
      </c>
      <c r="T10" s="4">
        <v>30</v>
      </c>
      <c r="U10" s="3"/>
      <c r="V10" s="3" t="s">
        <v>165</v>
      </c>
      <c r="W10" s="3" t="s">
        <v>88</v>
      </c>
      <c r="X10" s="5" t="s">
        <v>102</v>
      </c>
    </row>
    <row r="11" s="2" customFormat="1" ht="55" customHeight="1" spans="1:24">
      <c r="A11" s="4">
        <v>10</v>
      </c>
      <c r="B11" s="3" t="s">
        <v>25</v>
      </c>
      <c r="C11" s="3" t="s">
        <v>47</v>
      </c>
      <c r="D11" s="3" t="s">
        <v>48</v>
      </c>
      <c r="E11" s="3" t="s">
        <v>154</v>
      </c>
      <c r="F11" s="5" t="s">
        <v>113</v>
      </c>
      <c r="G11" s="5" t="s">
        <v>32</v>
      </c>
      <c r="H11" s="5" t="s">
        <v>30</v>
      </c>
      <c r="I11" s="5" t="s">
        <v>172</v>
      </c>
      <c r="J11" s="6" t="s">
        <v>63</v>
      </c>
      <c r="K11" s="6" t="s">
        <v>122</v>
      </c>
      <c r="L11" s="7">
        <v>45300000</v>
      </c>
      <c r="M11" s="7">
        <v>7000000</v>
      </c>
      <c r="N11" s="3" t="s">
        <v>142</v>
      </c>
      <c r="O11" s="5" t="s">
        <v>117</v>
      </c>
      <c r="P11" s="5" t="s">
        <v>87</v>
      </c>
      <c r="Q11" s="8" t="s">
        <v>118</v>
      </c>
      <c r="R11" s="8" t="s">
        <v>119</v>
      </c>
      <c r="S11" s="4">
        <v>50</v>
      </c>
      <c r="T11" s="4">
        <v>30</v>
      </c>
      <c r="U11" s="3">
        <v>0.2</v>
      </c>
      <c r="V11" s="3" t="s">
        <v>173</v>
      </c>
      <c r="W11" s="3" t="s">
        <v>88</v>
      </c>
      <c r="X11" s="5" t="s">
        <v>111</v>
      </c>
    </row>
    <row r="12" s="2" customFormat="1" ht="55" customHeight="1" spans="1:24">
      <c r="A12" s="4">
        <v>11</v>
      </c>
      <c r="B12" s="3" t="s">
        <v>25</v>
      </c>
      <c r="C12" s="3" t="s">
        <v>47</v>
      </c>
      <c r="D12" s="3" t="s">
        <v>48</v>
      </c>
      <c r="E12" s="3" t="s">
        <v>154</v>
      </c>
      <c r="F12" s="5" t="s">
        <v>174</v>
      </c>
      <c r="G12" s="5" t="s">
        <v>175</v>
      </c>
      <c r="H12" s="5" t="s">
        <v>30</v>
      </c>
      <c r="I12" s="5" t="s">
        <v>176</v>
      </c>
      <c r="J12" s="6" t="s">
        <v>177</v>
      </c>
      <c r="K12" s="6" t="s">
        <v>178</v>
      </c>
      <c r="L12" s="7">
        <v>640000</v>
      </c>
      <c r="M12" s="7">
        <v>90000</v>
      </c>
      <c r="N12" s="3" t="s">
        <v>151</v>
      </c>
      <c r="O12" s="5" t="s">
        <v>117</v>
      </c>
      <c r="P12" s="5" t="s">
        <v>87</v>
      </c>
      <c r="Q12" s="8"/>
      <c r="R12" s="8"/>
      <c r="S12" s="4">
        <v>100</v>
      </c>
      <c r="T12" s="9"/>
      <c r="U12" s="3"/>
      <c r="V12" s="3" t="s">
        <v>179</v>
      </c>
      <c r="W12" s="3" t="s">
        <v>88</v>
      </c>
      <c r="X12" s="5" t="s">
        <v>180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新签</vt:lpstr>
      <vt:lpstr>营收</vt:lpstr>
      <vt:lpstr>回款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刘柯2</dc:creator>
  <cp:lastModifiedBy>刘柯</cp:lastModifiedBy>
  <dcterms:created xsi:type="dcterms:W3CDTF">2023-05-12T11:15:00Z</dcterms:created>
  <dcterms:modified xsi:type="dcterms:W3CDTF">2026-03-25T08:48:18Z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2E41425F63324CC4BC056304AC8E09F9_13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