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000" firstSheet="3"/>
  </bookViews>
  <sheets>
    <sheet name="汇总表" sheetId="6" r:id="rId1"/>
    <sheet name="华东区域指挥部主办逾期" sheetId="1" r:id="rId2"/>
    <sheet name="华东区域指挥部主办逾期 (含2021年已回完的项目)" sheetId="4" state="hidden" r:id="rId3"/>
    <sheet name="华东区域指挥协办逾期" sheetId="3" r:id="rId4"/>
    <sheet name="按客户划分" sheetId="12" r:id="rId5"/>
    <sheet name="期末各单位逾期" sheetId="9" state="hidden" r:id="rId6"/>
    <sheet name="华东区域指挥协办逾期 (含2021年已回完的项目)" sheetId="5" state="hidden" r:id="rId7"/>
  </sheets>
  <externalReferences>
    <externalReference r:id="rId9"/>
  </externalReferences>
  <definedNames>
    <definedName name="_xlnm._FilterDatabase" localSheetId="2" hidden="1">'华东区域指挥部主办逾期 (含2021年已回完的项目)'!$A$3:$X$120</definedName>
    <definedName name="_xlnm._FilterDatabase" localSheetId="4" hidden="1">按客户划分!$A$1:$F$41</definedName>
    <definedName name="_xlnm._FilterDatabase" localSheetId="5" hidden="1">期末各单位逾期!$A$1:$B$33</definedName>
    <definedName name="_xlnm._FilterDatabase" localSheetId="1" hidden="1">华东区域指挥部主办逾期!$A$2:$AF$31</definedName>
    <definedName name="_xlnm._FilterDatabase" localSheetId="3" hidden="1">华东区域指挥协办逾期!$A$2:$Y$10</definedName>
    <definedName name="_xlnm._FilterDatabase" localSheetId="0" hidden="1">汇总表!$A$5:$M$22</definedName>
    <definedName name="r_DWZDM_r"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<sst xmlns="http://schemas.openxmlformats.org/spreadsheetml/2006/main" count="2095" uniqueCount="752">
  <si>
    <t>华东区域指挥部存量逾期账款汇总表</t>
  </si>
  <si>
    <t>单位：万元</t>
  </si>
  <si>
    <t>序号</t>
  </si>
  <si>
    <t>所属经营部</t>
  </si>
  <si>
    <t>经营小组</t>
  </si>
  <si>
    <t>责任人</t>
  </si>
  <si>
    <t>期初逾期</t>
  </si>
  <si>
    <t>期末逾期金额（3.31）</t>
  </si>
  <si>
    <t>累计回款</t>
  </si>
  <si>
    <t>回款率</t>
  </si>
  <si>
    <t>逾期账龄</t>
  </si>
  <si>
    <t>合计金额</t>
  </si>
  <si>
    <t>3个月以内</t>
  </si>
  <si>
    <t>3-6个月</t>
  </si>
  <si>
    <t>6-12个月</t>
  </si>
  <si>
    <t>1-3年</t>
  </si>
  <si>
    <t>3年以上</t>
  </si>
  <si>
    <t>浙江省经营部</t>
  </si>
  <si>
    <t>杭州经营小组</t>
  </si>
  <si>
    <t>唐作栋</t>
  </si>
  <si>
    <t>刘新峥</t>
  </si>
  <si>
    <t>小计</t>
  </si>
  <si>
    <t>宁波经营小组</t>
  </si>
  <si>
    <t>沈腾飞</t>
  </si>
  <si>
    <t>袁志凌</t>
  </si>
  <si>
    <t>万赛</t>
  </si>
  <si>
    <t>\</t>
  </si>
  <si>
    <t>浙江小计</t>
  </si>
  <si>
    <t>上海经营部</t>
  </si>
  <si>
    <t>上海经营小组</t>
  </si>
  <si>
    <t>穆华清</t>
  </si>
  <si>
    <t>赵宇瑄</t>
  </si>
  <si>
    <t>上海小计</t>
  </si>
  <si>
    <t>闽赣经营部</t>
  </si>
  <si>
    <t>铁道经营小组</t>
  </si>
  <si>
    <t>陈浩</t>
  </si>
  <si>
    <t>周斌</t>
  </si>
  <si>
    <t>建筑经营小组</t>
  </si>
  <si>
    <t>杨志胜</t>
  </si>
  <si>
    <t>闽赣小计</t>
  </si>
  <si>
    <t>华东区域指挥部合计</t>
  </si>
  <si>
    <t>系统内/外</t>
  </si>
  <si>
    <t>客户名称</t>
  </si>
  <si>
    <t>项目名称</t>
  </si>
  <si>
    <t>合同编号</t>
  </si>
  <si>
    <t>设备工号</t>
  </si>
  <si>
    <t>3月回款</t>
  </si>
  <si>
    <t>剩余逾期</t>
  </si>
  <si>
    <t>考核备注</t>
  </si>
  <si>
    <t>拆分比例</t>
  </si>
  <si>
    <t>责任领导</t>
  </si>
  <si>
    <t>责任人1</t>
  </si>
  <si>
    <t>责任人2</t>
  </si>
  <si>
    <t>责任人3</t>
  </si>
  <si>
    <t>责任人4</t>
  </si>
  <si>
    <t>主办比例</t>
  </si>
  <si>
    <t>归属华东金额</t>
  </si>
  <si>
    <t>姓名</t>
  </si>
  <si>
    <t>比例</t>
  </si>
  <si>
    <t>金额</t>
  </si>
  <si>
    <t>系统外</t>
  </si>
  <si>
    <t>福州地铁实业有限公司</t>
  </si>
  <si>
    <t>福州市轨道交通2号线项目</t>
  </si>
  <si>
    <t>SY-ZY-2022-097</t>
  </si>
  <si>
    <t>张仕民</t>
  </si>
  <si>
    <t>中国葛洲坝集团第二工程有限公司</t>
  </si>
  <si>
    <t>江西奉新抽水蓄能电站</t>
  </si>
  <si>
    <t>CGGC2GS-SB-TBMYYZX-2024-001</t>
  </si>
  <si>
    <t>中建海峡建设发展有限公司</t>
  </si>
  <si>
    <t>福州地铁</t>
  </si>
  <si>
    <t>107003021【2017】55SZ83-07</t>
  </si>
  <si>
    <t>上海地铁盾构设备工程有限公司</t>
  </si>
  <si>
    <t>上海地铁</t>
  </si>
  <si>
    <t>CRCHI-XS-2021-028</t>
  </si>
  <si>
    <t>系统内</t>
  </si>
  <si>
    <t>中铁十六局轨道公司</t>
  </si>
  <si>
    <t>嘉闵线</t>
  </si>
  <si>
    <t>CRCC-16J-JMWZ-2024-008</t>
  </si>
  <si>
    <t>DL1558</t>
  </si>
  <si>
    <t>DL1559</t>
  </si>
  <si>
    <t>中铁十八局四公司</t>
  </si>
  <si>
    <t>嘉善铁路</t>
  </si>
  <si>
    <t>0-SHB-2025-嘉善至西塘市域铁路-0-001</t>
  </si>
  <si>
    <t>丁艳林</t>
  </si>
  <si>
    <t>中铁十一局集团第四工程有限公司</t>
  </si>
  <si>
    <t>甬舟铁路凿岩台车、多功能钻机</t>
  </si>
  <si>
    <t>C2000010001100004011002025006</t>
  </si>
  <si>
    <t>中国铁建港航局集团有限公司第二工程分公司</t>
  </si>
  <si>
    <t>320国道项目</t>
  </si>
  <si>
    <t>GH-02-SBHT-202501-03</t>
  </si>
  <si>
    <t>4台管片外径Φ9000mm盾构机嘉闵线适应性改造项目合同</t>
  </si>
  <si>
    <t>D23-137F-S00-087</t>
  </si>
  <si>
    <t>北京中铁天瑞机械设备有限公司</t>
  </si>
  <si>
    <t>杭州18号线盾构设备租赁合同</t>
  </si>
  <si>
    <t>CR22TR-SBZLCG-HW-2025-001</t>
  </si>
  <si>
    <t>320国道杭州博陆至仁和段工程（余杭段）第TJ02标段</t>
  </si>
  <si>
    <t>GH-02-SBHT-202505-008</t>
  </si>
  <si>
    <t>中铁十二局集团第二工程有限公司</t>
  </si>
  <si>
    <t>漳汕铁路漳汕铁路项目1台MT141-FLB3采购</t>
  </si>
  <si>
    <t>CR122-SBB-2025-006-MM006</t>
  </si>
  <si>
    <t>中铁十五局集团第二工程有限公司</t>
  </si>
  <si>
    <t>西渝高铁</t>
  </si>
  <si>
    <t>CR15G2C-SBCG-2024-11</t>
  </si>
  <si>
    <t>中铁二十局集团第三工程有限公司</t>
  </si>
  <si>
    <t>长赣铁路</t>
  </si>
  <si>
    <t>ZT2003CGWS20250004</t>
  </si>
  <si>
    <t>浙江物产工程技术服务有限公司</t>
  </si>
  <si>
    <t>浙江物产工服4台ZTE6410盾构机维修改造项目</t>
  </si>
  <si>
    <t>WCGF-DZ620-04-WXLT</t>
  </si>
  <si>
    <t>中铁十二局集团第四工程有限公司</t>
  </si>
  <si>
    <t>杭州地铁12号线DZ038、DZ039盾构机维修</t>
  </si>
  <si>
    <t>ZT12-4HZDT12-01</t>
  </si>
  <si>
    <t>中铁十八局集团市政工程有限公司</t>
  </si>
  <si>
    <t>杭州地铁10号线盾构设备租赁</t>
  </si>
  <si>
    <t>12-SHBZ-2024-杭州地铁1032-12-002</t>
  </si>
  <si>
    <t>中铁十五局集团第三工程有限公司</t>
  </si>
  <si>
    <t>瑞梅铁路</t>
  </si>
  <si>
    <t>局合专6（2024）-052号</t>
  </si>
  <si>
    <t>中交第三公路工程局有限公司</t>
  </si>
  <si>
    <t>滨海快线（福州至长乐机场城际铁路工程）第3标段54工区项目</t>
  </si>
  <si>
    <t>ZCB-BHKX3-04-JX-03-2021</t>
  </si>
  <si>
    <t>中铁十五局集团城市轨道交通工程有限公司</t>
  </si>
  <si>
    <t>杭州机场高铁搅拌站采购</t>
  </si>
  <si>
    <t>CR15-HZJCGT4-JD-202301-(1F)</t>
  </si>
  <si>
    <t>义龙庆高速</t>
  </si>
  <si>
    <t>CR15G2C-SBCG-2024-16</t>
  </si>
  <si>
    <t>中铁十九局轨道公司</t>
  </si>
  <si>
    <t>杭州轨道快线土建施工SGJC-4标</t>
  </si>
  <si>
    <t>SBHT-09-HZ08-2019-016</t>
  </si>
  <si>
    <t>DL263G2</t>
  </si>
  <si>
    <t>中铁二十二局集团第四工程有限公司</t>
  </si>
  <si>
    <t>金义东市域铁路15标项目</t>
  </si>
  <si>
    <t>CRCHI-TD-2020-003</t>
  </si>
  <si>
    <t>DL242/271</t>
  </si>
  <si>
    <t>中铁十二局四公司长赣特装设备采购项目</t>
  </si>
  <si>
    <t>ZT12-CGJXZQ8-004、005、009</t>
  </si>
  <si>
    <t>ZT12-CGJXZQ8-001、002、003、006、007、008</t>
  </si>
  <si>
    <t>中铁二十局集团有限公司</t>
  </si>
  <si>
    <t>中铁20局福州港后铁路机制砂项目</t>
  </si>
  <si>
    <t>CR2006-港后-SC-25-010</t>
  </si>
  <si>
    <t>崇明线105标</t>
  </si>
  <si>
    <t>D24-022F-T00-005</t>
  </si>
  <si>
    <t>DL749G2</t>
  </si>
  <si>
    <t>合同主体</t>
  </si>
  <si>
    <r>
      <rPr>
        <b/>
        <sz val="10"/>
        <rFont val="宋体"/>
        <charset val="134"/>
      </rPr>
      <t>系统内</t>
    </r>
    <r>
      <rPr>
        <b/>
        <sz val="10"/>
        <rFont val="Arial"/>
        <charset val="134"/>
      </rPr>
      <t>/</t>
    </r>
    <r>
      <rPr>
        <b/>
        <sz val="10"/>
        <rFont val="宋体"/>
        <charset val="134"/>
      </rPr>
      <t>外</t>
    </r>
  </si>
  <si>
    <t>单位名称</t>
  </si>
  <si>
    <t>合同金额</t>
  </si>
  <si>
    <t>合同签订时间</t>
  </si>
  <si>
    <t>2月回款</t>
  </si>
  <si>
    <t>风险等级</t>
  </si>
  <si>
    <r>
      <rPr>
        <b/>
        <sz val="10"/>
        <rFont val="宋体"/>
        <charset val="134"/>
      </rPr>
      <t>主办比例</t>
    </r>
    <r>
      <rPr>
        <b/>
        <sz val="10"/>
        <rFont val="Arial"/>
        <charset val="134"/>
      </rPr>
      <t xml:space="preserve">
</t>
    </r>
  </si>
  <si>
    <t>工程</t>
  </si>
  <si>
    <t>中铁十一局五公司台州市域铁路项目部</t>
  </si>
  <si>
    <t>十一局五公司</t>
  </si>
  <si>
    <t>CRCC11-TJZG-2019-01</t>
  </si>
  <si>
    <t>DL280G2</t>
  </si>
  <si>
    <t>一般3级</t>
  </si>
  <si>
    <t>段靖宗</t>
  </si>
  <si>
    <r>
      <rPr>
        <sz val="10"/>
        <rFont val="宋体"/>
        <charset val="134"/>
      </rPr>
      <t>中铁十六局集团有限公司杭州地铁</t>
    </r>
    <r>
      <rPr>
        <sz val="10"/>
        <rFont val="Arial"/>
        <charset val="134"/>
      </rPr>
      <t>8</t>
    </r>
    <r>
      <rPr>
        <sz val="10"/>
        <rFont val="宋体"/>
        <charset val="134"/>
      </rPr>
      <t>号线一期工程施工总承包土建工区一项目部</t>
    </r>
  </si>
  <si>
    <t>十六局集团</t>
  </si>
  <si>
    <t>ZT16J-HZDT8YY-DGZL-001</t>
  </si>
  <si>
    <t>DL206-G1</t>
  </si>
  <si>
    <t>不良2级</t>
  </si>
  <si>
    <r>
      <rPr>
        <sz val="10"/>
        <rFont val="宋体"/>
        <charset val="134"/>
      </rPr>
      <t>杭州地铁</t>
    </r>
    <r>
      <rPr>
        <sz val="10"/>
        <rFont val="Arial"/>
        <charset val="134"/>
      </rPr>
      <t>8</t>
    </r>
    <r>
      <rPr>
        <sz val="10"/>
        <rFont val="宋体"/>
        <charset val="134"/>
      </rPr>
      <t>号线</t>
    </r>
  </si>
  <si>
    <t>DL262-G2</t>
  </si>
  <si>
    <t>不良1级</t>
  </si>
  <si>
    <r>
      <rPr>
        <sz val="10"/>
        <rFont val="宋体"/>
        <charset val="134"/>
      </rPr>
      <t>中铁十九局集团有限公司杭州地铁</t>
    </r>
    <r>
      <rPr>
        <sz val="10"/>
        <rFont val="Arial"/>
        <charset val="134"/>
      </rPr>
      <t>8</t>
    </r>
    <r>
      <rPr>
        <sz val="10"/>
        <rFont val="宋体"/>
        <charset val="134"/>
      </rPr>
      <t>号线一期工程施工总承包土建工区二项目部</t>
    </r>
  </si>
  <si>
    <t>十九局集团</t>
  </si>
  <si>
    <r>
      <rPr>
        <sz val="10"/>
        <rFont val="宋体"/>
        <charset val="134"/>
      </rPr>
      <t>中铁十六局集团有限公司绍兴市城市轨道交通</t>
    </r>
    <r>
      <rPr>
        <sz val="10"/>
        <rFont val="Arial"/>
        <charset val="134"/>
      </rPr>
      <t>1</t>
    </r>
    <r>
      <rPr>
        <sz val="10"/>
        <rFont val="宋体"/>
        <charset val="134"/>
      </rPr>
      <t>号线工程土建施工</t>
    </r>
    <r>
      <rPr>
        <sz val="10"/>
        <rFont val="Arial"/>
        <charset val="134"/>
      </rPr>
      <t>10</t>
    </r>
    <r>
      <rPr>
        <sz val="10"/>
        <rFont val="宋体"/>
        <charset val="134"/>
      </rPr>
      <t>标项目经理部</t>
    </r>
  </si>
  <si>
    <t>绍兴市城市轨道交通1号线工程土建施工10标项目</t>
  </si>
  <si>
    <t>SX1-10-DGJZL201911</t>
  </si>
  <si>
    <t>DL251</t>
  </si>
  <si>
    <t>一般2级</t>
  </si>
  <si>
    <t>DL329</t>
  </si>
  <si>
    <t>宏润建设集团股份有限公司</t>
  </si>
  <si>
    <t>宏润建设</t>
  </si>
  <si>
    <r>
      <rPr>
        <sz val="10"/>
        <rFont val="Arial"/>
        <charset val="134"/>
      </rPr>
      <t>DGGS-</t>
    </r>
    <r>
      <rPr>
        <sz val="10"/>
        <rFont val="宋体"/>
        <charset val="134"/>
      </rPr>
      <t>租赁类</t>
    </r>
    <r>
      <rPr>
        <sz val="10"/>
        <rFont val="Arial"/>
        <charset val="134"/>
      </rPr>
      <t>-(2017)10</t>
    </r>
    <r>
      <rPr>
        <sz val="10"/>
        <rFont val="宋体"/>
        <charset val="134"/>
      </rPr>
      <t>号</t>
    </r>
    <r>
      <rPr>
        <sz val="10"/>
        <rFont val="Arial"/>
        <charset val="134"/>
      </rPr>
      <t>-SZ</t>
    </r>
  </si>
  <si>
    <t>DL506</t>
  </si>
  <si>
    <t>风险1级</t>
  </si>
  <si>
    <t xml:space="preserve"> </t>
  </si>
  <si>
    <t>DL447</t>
  </si>
  <si>
    <t>区域</t>
  </si>
  <si>
    <t>浙江物产融资租赁有限公司</t>
  </si>
  <si>
    <t>浙江物产</t>
  </si>
  <si>
    <t>杭州地铁</t>
  </si>
  <si>
    <t>WCZD-TJZG-2018-HZ02</t>
  </si>
  <si>
    <t>DZ630</t>
  </si>
  <si>
    <t>不良3级</t>
  </si>
  <si>
    <t>中铁十五局集团都匀桥梁有限公司</t>
  </si>
  <si>
    <t>中铁十五局集团都匀桥梁公司</t>
  </si>
  <si>
    <t>杭黄铁路</t>
  </si>
  <si>
    <t>CRCHI-3-2014-316</t>
  </si>
  <si>
    <r>
      <rPr>
        <sz val="10"/>
        <rFont val="Arial"/>
        <charset val="134"/>
      </rPr>
      <t>G020214048
07#</t>
    </r>
    <r>
      <rPr>
        <sz val="10"/>
        <rFont val="宋体"/>
        <charset val="134"/>
      </rPr>
      <t>左、</t>
    </r>
    <r>
      <rPr>
        <sz val="10"/>
        <rFont val="Arial"/>
        <charset val="134"/>
      </rPr>
      <t>G020214054</t>
    </r>
    <r>
      <rPr>
        <sz val="10"/>
        <rFont val="宋体"/>
        <charset val="134"/>
      </rPr>
      <t>右、</t>
    </r>
    <r>
      <rPr>
        <sz val="10"/>
        <rFont val="Arial"/>
        <charset val="134"/>
      </rPr>
      <t>G020214053</t>
    </r>
    <r>
      <rPr>
        <sz val="10"/>
        <rFont val="宋体"/>
        <charset val="134"/>
      </rPr>
      <t>左、</t>
    </r>
    <r>
      <rPr>
        <sz val="10"/>
        <rFont val="Arial"/>
        <charset val="134"/>
      </rPr>
      <t>G020214057</t>
    </r>
  </si>
  <si>
    <t/>
  </si>
  <si>
    <t>高琳</t>
  </si>
  <si>
    <r>
      <rPr>
        <sz val="10"/>
        <rFont val="宋体"/>
        <charset val="134"/>
      </rPr>
      <t>中铁十五局集团都匀桥梁公司杭黄铁路站前</t>
    </r>
    <r>
      <rPr>
        <sz val="10"/>
        <rFont val="Arial"/>
        <charset val="134"/>
      </rPr>
      <t>VIII</t>
    </r>
    <r>
      <rPr>
        <sz val="10"/>
        <rFont val="宋体"/>
        <charset val="134"/>
      </rPr>
      <t>标项目经理部</t>
    </r>
  </si>
  <si>
    <t>CRCHI-TZ-2015-009</t>
  </si>
  <si>
    <r>
      <rPr>
        <sz val="10"/>
        <rFont val="Arial"/>
        <charset val="134"/>
      </rPr>
      <t>G020114004
01#</t>
    </r>
    <r>
      <rPr>
        <sz val="10"/>
        <rFont val="宋体"/>
        <charset val="134"/>
      </rPr>
      <t>、</t>
    </r>
    <r>
      <rPr>
        <sz val="10"/>
        <rFont val="Arial"/>
        <charset val="134"/>
      </rPr>
      <t>G020114004
02#</t>
    </r>
  </si>
  <si>
    <t>风险2级</t>
  </si>
  <si>
    <t>十五局二公司</t>
  </si>
  <si>
    <t>SBCG-02-2016-014</t>
  </si>
  <si>
    <r>
      <rPr>
        <sz val="10"/>
        <rFont val="Arial"/>
        <charset val="134"/>
      </rPr>
      <t>G070115067</t>
    </r>
    <r>
      <rPr>
        <sz val="10"/>
        <rFont val="宋体"/>
        <charset val="134"/>
      </rPr>
      <t>、、</t>
    </r>
    <r>
      <rPr>
        <sz val="10"/>
        <rFont val="Arial"/>
        <charset val="134"/>
      </rPr>
      <t>G070115061</t>
    </r>
  </si>
  <si>
    <t>中铁十五局集团第一工程有限公司</t>
  </si>
  <si>
    <t>十五局一公司</t>
  </si>
  <si>
    <t>蒙华铁路</t>
  </si>
  <si>
    <t>CRCHI-TZ-2016-1-022</t>
  </si>
  <si>
    <t>G070116056</t>
  </si>
  <si>
    <t>中铁十五局集团第四工程有限公司</t>
  </si>
  <si>
    <t>十五局四公司</t>
  </si>
  <si>
    <t>HH-SBCG-2016-019</t>
  </si>
  <si>
    <r>
      <rPr>
        <sz val="10"/>
        <rFont val="Arial"/>
        <charset val="134"/>
      </rPr>
      <t>G070115054</t>
    </r>
    <r>
      <rPr>
        <sz val="10"/>
        <rFont val="宋体"/>
        <charset val="134"/>
      </rPr>
      <t>、</t>
    </r>
    <r>
      <rPr>
        <sz val="10"/>
        <rFont val="Arial"/>
        <charset val="134"/>
      </rPr>
      <t>G070115076</t>
    </r>
    <r>
      <rPr>
        <sz val="10"/>
        <rFont val="宋体"/>
        <charset val="134"/>
      </rPr>
      <t>、</t>
    </r>
    <r>
      <rPr>
        <sz val="10"/>
        <rFont val="Arial"/>
        <charset val="134"/>
      </rPr>
      <t xml:space="preserve">
G070115069</t>
    </r>
  </si>
  <si>
    <t>玉墨铁路</t>
  </si>
  <si>
    <t>CRCHI-TZ-2016-1-027</t>
  </si>
  <si>
    <t>G070116059</t>
  </si>
  <si>
    <t>渝黔铁路</t>
  </si>
  <si>
    <t>YQ-SBCG-2016-009</t>
  </si>
  <si>
    <t>G070115060</t>
  </si>
  <si>
    <t>福建省冠畅建筑工程有限公司</t>
  </si>
  <si>
    <t>黔张常铁路</t>
  </si>
  <si>
    <t>16jqzc-2fb-01</t>
  </si>
  <si>
    <t>G070115100</t>
  </si>
  <si>
    <t>风险3级</t>
  </si>
  <si>
    <t>中铁十七局集团第六工程有限公司</t>
  </si>
  <si>
    <t>十七局六公司</t>
  </si>
  <si>
    <t>云平高速</t>
  </si>
  <si>
    <t>CRCHI-TZ-2017-1-009</t>
  </si>
  <si>
    <t>G020216150</t>
  </si>
  <si>
    <t>杨志胜/邓华富</t>
  </si>
  <si>
    <t>周斌/申星</t>
  </si>
  <si>
    <t>太焦铁路</t>
  </si>
  <si>
    <t>CRCHI-TZ-2017-1-010</t>
  </si>
  <si>
    <r>
      <rPr>
        <sz val="10"/>
        <rFont val="Arial"/>
        <charset val="134"/>
      </rPr>
      <t>G070116074</t>
    </r>
    <r>
      <rPr>
        <sz val="10"/>
        <rFont val="宋体"/>
        <charset val="134"/>
      </rPr>
      <t>、</t>
    </r>
    <r>
      <rPr>
        <sz val="10"/>
        <rFont val="Arial"/>
        <charset val="134"/>
      </rPr>
      <t>G070116076</t>
    </r>
    <r>
      <rPr>
        <sz val="10"/>
        <rFont val="宋体"/>
        <charset val="134"/>
      </rPr>
      <t>、</t>
    </r>
    <r>
      <rPr>
        <sz val="10"/>
        <rFont val="Arial"/>
        <charset val="134"/>
      </rPr>
      <t>G070116077</t>
    </r>
  </si>
  <si>
    <t>莆炎高速</t>
  </si>
  <si>
    <t>CRCHI-TZ-2017-1-011</t>
  </si>
  <si>
    <t>G020216173</t>
  </si>
  <si>
    <r>
      <rPr>
        <sz val="10"/>
        <rFont val="宋体"/>
        <charset val="134"/>
      </rPr>
      <t>长福高速</t>
    </r>
    <r>
      <rPr>
        <sz val="10"/>
        <rFont val="Arial"/>
        <charset val="134"/>
      </rPr>
      <t>A2,A3</t>
    </r>
    <r>
      <rPr>
        <sz val="10"/>
        <rFont val="宋体"/>
        <charset val="134"/>
      </rPr>
      <t>标项目部</t>
    </r>
  </si>
  <si>
    <t>CRCHI-TZ-2017-1-012</t>
  </si>
  <si>
    <t>G020316081</t>
  </si>
  <si>
    <t>福厦铁路</t>
  </si>
  <si>
    <t>CRCC17(6)/GN/SBCG/2017010</t>
  </si>
  <si>
    <t>G020316092</t>
  </si>
  <si>
    <t>沙埕湾跨海大桥</t>
  </si>
  <si>
    <t>CRCC17(6)/GN/SBCG/2017021</t>
  </si>
  <si>
    <r>
      <rPr>
        <sz val="10"/>
        <rFont val="Arial"/>
        <charset val="134"/>
      </rPr>
      <t>G020217067</t>
    </r>
    <r>
      <rPr>
        <sz val="10"/>
        <rFont val="宋体"/>
        <charset val="134"/>
      </rPr>
      <t>、</t>
    </r>
    <r>
      <rPr>
        <sz val="10"/>
        <rFont val="Arial"/>
        <charset val="134"/>
      </rPr>
      <t>G020217068</t>
    </r>
    <r>
      <rPr>
        <sz val="10"/>
        <rFont val="宋体"/>
        <charset val="134"/>
      </rPr>
      <t>、</t>
    </r>
    <r>
      <rPr>
        <sz val="10"/>
        <rFont val="Arial"/>
        <charset val="134"/>
      </rPr>
      <t>G020217069</t>
    </r>
  </si>
  <si>
    <t>蒲梅铁路</t>
  </si>
  <si>
    <t>CRCHI-TZ-2017-1-013</t>
  </si>
  <si>
    <r>
      <rPr>
        <sz val="10"/>
        <rFont val="Arial"/>
        <charset val="134"/>
      </rPr>
      <t>G02021633</t>
    </r>
    <r>
      <rPr>
        <sz val="10"/>
        <rFont val="宋体"/>
        <charset val="134"/>
      </rPr>
      <t>、</t>
    </r>
    <r>
      <rPr>
        <sz val="10"/>
        <rFont val="Arial"/>
        <charset val="134"/>
      </rPr>
      <t>34</t>
    </r>
    <r>
      <rPr>
        <sz val="10"/>
        <rFont val="宋体"/>
        <charset val="134"/>
      </rPr>
      <t>、</t>
    </r>
    <r>
      <rPr>
        <sz val="10"/>
        <rFont val="Arial"/>
        <charset val="134"/>
      </rPr>
      <t>35</t>
    </r>
    <r>
      <rPr>
        <sz val="10"/>
        <rFont val="宋体"/>
        <charset val="134"/>
      </rPr>
      <t>、</t>
    </r>
    <r>
      <rPr>
        <sz val="10"/>
        <rFont val="Arial"/>
        <charset val="134"/>
      </rPr>
      <t>36</t>
    </r>
    <r>
      <rPr>
        <sz val="10"/>
        <rFont val="宋体"/>
        <charset val="134"/>
      </rPr>
      <t>、</t>
    </r>
    <r>
      <rPr>
        <sz val="10"/>
        <rFont val="Arial"/>
        <charset val="134"/>
      </rPr>
      <t>52</t>
    </r>
    <r>
      <rPr>
        <sz val="10"/>
        <rFont val="宋体"/>
        <charset val="134"/>
      </rPr>
      <t>、</t>
    </r>
    <r>
      <rPr>
        <sz val="10"/>
        <rFont val="Arial"/>
        <charset val="134"/>
      </rPr>
      <t>53</t>
    </r>
    <r>
      <rPr>
        <sz val="10"/>
        <rFont val="宋体"/>
        <charset val="134"/>
      </rPr>
      <t>、</t>
    </r>
    <r>
      <rPr>
        <sz val="10"/>
        <rFont val="Arial"/>
        <charset val="134"/>
      </rPr>
      <t>54</t>
    </r>
    <r>
      <rPr>
        <sz val="10"/>
        <rFont val="宋体"/>
        <charset val="134"/>
      </rPr>
      <t>、</t>
    </r>
    <r>
      <rPr>
        <sz val="10"/>
        <rFont val="Arial"/>
        <charset val="134"/>
      </rPr>
      <t>55</t>
    </r>
  </si>
  <si>
    <t>大田公路</t>
  </si>
  <si>
    <t>CRCC17(6)/GN/SBCG/2017033</t>
  </si>
  <si>
    <t>G020217055</t>
  </si>
  <si>
    <t>莆炎高速项目</t>
  </si>
  <si>
    <r>
      <rPr>
        <sz val="10"/>
        <rFont val="Arial"/>
        <charset val="134"/>
      </rPr>
      <t>CRCC17(6)/GN/SBCG/2017034</t>
    </r>
    <r>
      <rPr>
        <sz val="10"/>
        <rFont val="宋体"/>
        <charset val="134"/>
      </rPr>
      <t>，</t>
    </r>
    <r>
      <rPr>
        <sz val="10"/>
        <rFont val="Arial"/>
        <charset val="134"/>
      </rPr>
      <t>CRCC17(6)/GN/SBCG/2017034</t>
    </r>
    <r>
      <rPr>
        <sz val="10"/>
        <rFont val="宋体"/>
        <charset val="134"/>
      </rPr>
      <t>补</t>
    </r>
    <r>
      <rPr>
        <sz val="10"/>
        <rFont val="Arial"/>
        <charset val="134"/>
      </rPr>
      <t>1(</t>
    </r>
    <r>
      <rPr>
        <sz val="10"/>
        <rFont val="宋体"/>
        <charset val="134"/>
      </rPr>
      <t>补充合同资料未找到</t>
    </r>
    <r>
      <rPr>
        <sz val="10"/>
        <rFont val="Arial"/>
        <charset val="134"/>
      </rPr>
      <t>)</t>
    </r>
  </si>
  <si>
    <r>
      <rPr>
        <sz val="10"/>
        <rFont val="Arial"/>
        <charset val="134"/>
      </rPr>
      <t>G020217082</t>
    </r>
    <r>
      <rPr>
        <sz val="10"/>
        <rFont val="宋体"/>
        <charset val="134"/>
      </rPr>
      <t>、</t>
    </r>
    <r>
      <rPr>
        <sz val="10"/>
        <rFont val="Arial"/>
        <charset val="134"/>
      </rPr>
      <t>G020217083</t>
    </r>
  </si>
  <si>
    <t>靖永高速</t>
  </si>
  <si>
    <t>CRCC17(6)/GN/SBCG/2018008</t>
  </si>
  <si>
    <r>
      <rPr>
        <sz val="10"/>
        <rFont val="Arial"/>
        <charset val="134"/>
      </rPr>
      <t>G020218049</t>
    </r>
    <r>
      <rPr>
        <sz val="10"/>
        <rFont val="宋体"/>
        <charset val="134"/>
      </rPr>
      <t>、</t>
    </r>
    <r>
      <rPr>
        <sz val="10"/>
        <rFont val="Arial"/>
        <charset val="134"/>
      </rPr>
      <t>G020218050</t>
    </r>
  </si>
  <si>
    <t>中铁二十三局集团轨道交通工程有限公司</t>
  </si>
  <si>
    <t>二十三局轨道公司</t>
  </si>
  <si>
    <t>佛山管片基地</t>
  </si>
  <si>
    <t>CR235-FSGS-2017-SC01</t>
  </si>
  <si>
    <t>G020217035</t>
  </si>
  <si>
    <t>福宜高速</t>
  </si>
  <si>
    <t>CRCHI-TZ-2017-1-015</t>
  </si>
  <si>
    <t>G020317007</t>
  </si>
  <si>
    <r>
      <rPr>
        <sz val="10"/>
        <rFont val="宋体"/>
        <charset val="134"/>
      </rPr>
      <t>中铁十五局集团杭绍台高速绍兴金华段</t>
    </r>
    <r>
      <rPr>
        <sz val="10"/>
        <rFont val="Arial"/>
        <charset val="134"/>
      </rPr>
      <t>HST-TJ05</t>
    </r>
    <r>
      <rPr>
        <sz val="10"/>
        <rFont val="宋体"/>
        <charset val="134"/>
      </rPr>
      <t>合同段项目经理部</t>
    </r>
  </si>
  <si>
    <t>十五局集团</t>
  </si>
  <si>
    <t>杭绍台铁路</t>
  </si>
  <si>
    <t>SBCG-02-2017-009</t>
  </si>
  <si>
    <t>G100116026</t>
  </si>
  <si>
    <t>清远磁浮项目</t>
  </si>
  <si>
    <t>CR235-QYCF-2018-SC01</t>
  </si>
  <si>
    <t>G020218028</t>
  </si>
  <si>
    <t>兴赣高速</t>
  </si>
  <si>
    <t>SBCG-02-2018-006</t>
  </si>
  <si>
    <t>G020117057</t>
  </si>
  <si>
    <t>临双高速</t>
  </si>
  <si>
    <t>SBCG-02-2018-007</t>
  </si>
  <si>
    <r>
      <rPr>
        <sz val="10"/>
        <rFont val="Arial"/>
        <charset val="134"/>
      </rPr>
      <t>G020218080</t>
    </r>
    <r>
      <rPr>
        <sz val="10"/>
        <rFont val="宋体"/>
        <charset val="134"/>
      </rPr>
      <t>、</t>
    </r>
    <r>
      <rPr>
        <sz val="10"/>
        <rFont val="Arial"/>
        <charset val="134"/>
      </rPr>
      <t>G020218081</t>
    </r>
  </si>
  <si>
    <t>安吉公路</t>
  </si>
  <si>
    <t>SBCG-02-2018-009</t>
  </si>
  <si>
    <r>
      <rPr>
        <sz val="10"/>
        <rFont val="Arial"/>
        <charset val="134"/>
      </rPr>
      <t>G020118005</t>
    </r>
    <r>
      <rPr>
        <sz val="10"/>
        <rFont val="宋体"/>
        <charset val="134"/>
      </rPr>
      <t>、</t>
    </r>
    <r>
      <rPr>
        <sz val="10"/>
        <rFont val="Arial"/>
        <charset val="134"/>
      </rPr>
      <t>06</t>
    </r>
  </si>
  <si>
    <t>中铁十五局集团第一工程有限公司玉磨铁路项目经理部</t>
  </si>
  <si>
    <t>玉磨项目搅拌站电器系统改造</t>
  </si>
  <si>
    <r>
      <rPr>
        <sz val="10"/>
        <rFont val="Arial"/>
        <charset val="134"/>
      </rPr>
      <t>CRCHI-TZ-2016-1-018-</t>
    </r>
    <r>
      <rPr>
        <sz val="10"/>
        <rFont val="宋体"/>
        <charset val="134"/>
      </rPr>
      <t>补</t>
    </r>
  </si>
  <si>
    <r>
      <rPr>
        <sz val="10"/>
        <rFont val="Arial"/>
        <charset val="134"/>
      </rPr>
      <t>G020216035</t>
    </r>
    <r>
      <rPr>
        <sz val="10"/>
        <rFont val="宋体"/>
        <charset val="134"/>
      </rPr>
      <t>、</t>
    </r>
    <r>
      <rPr>
        <sz val="10"/>
        <rFont val="Arial"/>
        <charset val="134"/>
      </rPr>
      <t xml:space="preserve">
G020216036</t>
    </r>
  </si>
  <si>
    <t>渝怀铁路项目</t>
  </si>
  <si>
    <t>YHTL-WZCG-2018-018</t>
  </si>
  <si>
    <t>中铁二十二局集团第三工程有限公司</t>
  </si>
  <si>
    <t>二十二局三公司</t>
  </si>
  <si>
    <t>南沿江项目</t>
  </si>
  <si>
    <t>CR2203-GS-SBCG-2019-001</t>
  </si>
  <si>
    <r>
      <rPr>
        <sz val="10"/>
        <rFont val="Arial"/>
        <charset val="134"/>
      </rPr>
      <t>G020319027</t>
    </r>
    <r>
      <rPr>
        <sz val="10"/>
        <rFont val="宋体"/>
        <charset val="134"/>
      </rPr>
      <t>、</t>
    </r>
    <r>
      <rPr>
        <sz val="10"/>
        <rFont val="Arial"/>
        <charset val="134"/>
      </rPr>
      <t>28</t>
    </r>
    <r>
      <rPr>
        <sz val="10"/>
        <rFont val="宋体"/>
        <charset val="134"/>
      </rPr>
      <t>、</t>
    </r>
    <r>
      <rPr>
        <sz val="10"/>
        <rFont val="Arial"/>
        <charset val="134"/>
      </rPr>
      <t>29</t>
    </r>
    <r>
      <rPr>
        <sz val="10"/>
        <rFont val="宋体"/>
        <charset val="134"/>
      </rPr>
      <t>、</t>
    </r>
    <r>
      <rPr>
        <sz val="10"/>
        <rFont val="Arial"/>
        <charset val="134"/>
      </rPr>
      <t>G020219001</t>
    </r>
    <r>
      <rPr>
        <sz val="10"/>
        <rFont val="宋体"/>
        <charset val="134"/>
      </rPr>
      <t>、</t>
    </r>
    <r>
      <rPr>
        <sz val="10"/>
        <rFont val="Arial"/>
        <charset val="134"/>
      </rPr>
      <t>02</t>
    </r>
  </si>
  <si>
    <t>邓华富</t>
  </si>
  <si>
    <t>临大高速</t>
  </si>
  <si>
    <t>CRCHI-LG-2019-002</t>
  </si>
  <si>
    <t>G020219018</t>
  </si>
  <si>
    <t>中铁十五局集团第五工程有限公司</t>
  </si>
  <si>
    <t>十五局五公司</t>
  </si>
  <si>
    <t>兰张高铁项目</t>
  </si>
  <si>
    <t>CR15G05-SBCG-201907-005</t>
  </si>
  <si>
    <t>玉磨铁路</t>
  </si>
  <si>
    <t>CRCHI-TL-2019-003</t>
  </si>
  <si>
    <t>G020219029</t>
  </si>
  <si>
    <t>中铁十六局集团第三工程有限公司</t>
  </si>
  <si>
    <t>十六局三公司</t>
  </si>
  <si>
    <t>郑万重庆段项目</t>
  </si>
  <si>
    <t>ZWSBCG20190621</t>
  </si>
  <si>
    <t>G070118006</t>
  </si>
  <si>
    <t>中铁十五局集团第一工程有限公司广元亭子湖环湖旅游公路项目</t>
  </si>
  <si>
    <t>广元市昭化区亭子湖环湖旅游公路</t>
  </si>
  <si>
    <t>CRCHI-LG-2019-003</t>
  </si>
  <si>
    <t>G020219025</t>
  </si>
  <si>
    <t>中铁二十四局集团南昌铁路工程有限公司</t>
  </si>
  <si>
    <t>二十四局南昌铁路工程有限公司</t>
  </si>
  <si>
    <t>南昌铁路</t>
  </si>
  <si>
    <t>SBZX-SBCG-2019-01</t>
  </si>
  <si>
    <r>
      <rPr>
        <sz val="10"/>
        <rFont val="Arial"/>
        <charset val="134"/>
      </rPr>
      <t>G020319061</t>
    </r>
    <r>
      <rPr>
        <sz val="10"/>
        <rFont val="宋体"/>
        <charset val="134"/>
      </rPr>
      <t>、</t>
    </r>
    <r>
      <rPr>
        <sz val="10"/>
        <rFont val="Arial"/>
        <charset val="134"/>
      </rPr>
      <t>G020319062</t>
    </r>
  </si>
  <si>
    <t>中铁二十四局集团贵溪桥梁厂有限公司</t>
  </si>
  <si>
    <t>二十四局贵溪桥梁厂</t>
  </si>
  <si>
    <t>长益常项目</t>
  </si>
  <si>
    <t>SBGLB-2019-S-7</t>
  </si>
  <si>
    <r>
      <rPr>
        <sz val="10"/>
        <rFont val="Arial"/>
        <charset val="134"/>
      </rPr>
      <t>G020319048</t>
    </r>
    <r>
      <rPr>
        <sz val="10"/>
        <rFont val="宋体"/>
        <charset val="134"/>
      </rPr>
      <t>、</t>
    </r>
    <r>
      <rPr>
        <sz val="10"/>
        <rFont val="Arial"/>
        <charset val="134"/>
      </rPr>
      <t>G020319049</t>
    </r>
  </si>
  <si>
    <r>
      <rPr>
        <sz val="10"/>
        <rFont val="Arial"/>
        <charset val="134"/>
      </rPr>
      <t>S25</t>
    </r>
    <r>
      <rPr>
        <sz val="10"/>
        <rFont val="宋体"/>
        <charset val="134"/>
      </rPr>
      <t>静宁</t>
    </r>
    <r>
      <rPr>
        <sz val="10"/>
        <rFont val="Arial"/>
        <charset val="134"/>
      </rPr>
      <t>(</t>
    </r>
    <r>
      <rPr>
        <sz val="10"/>
        <rFont val="宋体"/>
        <charset val="134"/>
      </rPr>
      <t>庄浪</t>
    </r>
    <r>
      <rPr>
        <sz val="10"/>
        <rFont val="Arial"/>
        <charset val="134"/>
      </rPr>
      <t>)</t>
    </r>
    <r>
      <rPr>
        <sz val="10"/>
        <rFont val="宋体"/>
        <charset val="134"/>
      </rPr>
      <t>至天水高速公路项目总承包部</t>
    </r>
    <r>
      <rPr>
        <sz val="10"/>
        <rFont val="Arial"/>
        <charset val="134"/>
      </rPr>
      <t>4</t>
    </r>
    <r>
      <rPr>
        <sz val="10"/>
        <rFont val="宋体"/>
        <charset val="134"/>
      </rPr>
      <t>标</t>
    </r>
  </si>
  <si>
    <r>
      <rPr>
        <sz val="10"/>
        <rFont val="Arial"/>
        <charset val="134"/>
      </rPr>
      <t>CRCHI-LG-2019-1501S25</t>
    </r>
    <r>
      <rPr>
        <sz val="10"/>
        <rFont val="宋体"/>
        <charset val="134"/>
      </rPr>
      <t>线项目</t>
    </r>
    <r>
      <rPr>
        <sz val="10"/>
        <rFont val="Arial"/>
        <charset val="134"/>
      </rPr>
      <t>-01</t>
    </r>
  </si>
  <si>
    <r>
      <rPr>
        <sz val="10"/>
        <rFont val="Arial"/>
        <charset val="134"/>
      </rPr>
      <t>G020219049</t>
    </r>
    <r>
      <rPr>
        <sz val="10"/>
        <rFont val="宋体"/>
        <charset val="134"/>
      </rPr>
      <t>、</t>
    </r>
    <r>
      <rPr>
        <sz val="10"/>
        <rFont val="Arial"/>
        <charset val="134"/>
      </rPr>
      <t>50</t>
    </r>
  </si>
  <si>
    <t>中铁二十二局集团第一工程有限公司</t>
  </si>
  <si>
    <t>二十二局一公司</t>
  </si>
  <si>
    <t>杭温铁路</t>
  </si>
  <si>
    <t>07-WSZX-SBCG-2020-002</t>
  </si>
  <si>
    <r>
      <rPr>
        <sz val="10"/>
        <rFont val="Arial"/>
        <charset val="134"/>
      </rPr>
      <t>G020320042</t>
    </r>
    <r>
      <rPr>
        <sz val="10"/>
        <rFont val="宋体"/>
        <charset val="134"/>
      </rPr>
      <t>、</t>
    </r>
    <r>
      <rPr>
        <sz val="10"/>
        <rFont val="Arial"/>
        <charset val="134"/>
      </rPr>
      <t>G020320043</t>
    </r>
    <r>
      <rPr>
        <sz val="10"/>
        <rFont val="宋体"/>
        <charset val="134"/>
      </rPr>
      <t>、</t>
    </r>
    <r>
      <rPr>
        <sz val="10"/>
        <rFont val="Arial"/>
        <charset val="134"/>
      </rPr>
      <t>G020320044</t>
    </r>
  </si>
  <si>
    <t>中铁二十二局集团第三工程有限公司改建铁路鹰厦线华安城区段外移工程项目部</t>
  </si>
  <si>
    <t>华安铁路</t>
  </si>
  <si>
    <t>CR2203-HA-SBCG-2020-001</t>
  </si>
  <si>
    <r>
      <rPr>
        <sz val="10"/>
        <rFont val="Arial"/>
        <charset val="134"/>
      </rPr>
      <t>G020320078</t>
    </r>
    <r>
      <rPr>
        <sz val="10"/>
        <rFont val="宋体"/>
        <charset val="134"/>
      </rPr>
      <t>、</t>
    </r>
    <r>
      <rPr>
        <sz val="10"/>
        <rFont val="Arial"/>
        <charset val="134"/>
      </rPr>
      <t>G020320079</t>
    </r>
  </si>
  <si>
    <r>
      <rPr>
        <sz val="10"/>
        <rFont val="宋体"/>
        <charset val="134"/>
      </rPr>
      <t>楚大</t>
    </r>
    <r>
      <rPr>
        <sz val="10"/>
        <rFont val="Arial"/>
        <charset val="134"/>
      </rPr>
      <t>/</t>
    </r>
    <r>
      <rPr>
        <sz val="10"/>
        <rFont val="宋体"/>
        <charset val="134"/>
      </rPr>
      <t>云临</t>
    </r>
    <r>
      <rPr>
        <sz val="10"/>
        <rFont val="Arial"/>
        <charset val="134"/>
      </rPr>
      <t>/</t>
    </r>
    <r>
      <rPr>
        <sz val="10"/>
        <rFont val="宋体"/>
        <charset val="134"/>
      </rPr>
      <t>永勐</t>
    </r>
    <r>
      <rPr>
        <sz val="10"/>
        <rFont val="Arial"/>
        <charset val="134"/>
      </rPr>
      <t>/</t>
    </r>
    <r>
      <rPr>
        <sz val="10"/>
        <rFont val="宋体"/>
        <charset val="134"/>
      </rPr>
      <t>渝湘</t>
    </r>
    <r>
      <rPr>
        <sz val="10"/>
        <rFont val="Arial"/>
        <charset val="134"/>
      </rPr>
      <t>/</t>
    </r>
    <r>
      <rPr>
        <sz val="10"/>
        <rFont val="宋体"/>
        <charset val="134"/>
      </rPr>
      <t>渝遂</t>
    </r>
    <r>
      <rPr>
        <sz val="10"/>
        <rFont val="Arial"/>
        <charset val="134"/>
      </rPr>
      <t>/</t>
    </r>
    <r>
      <rPr>
        <sz val="10"/>
        <rFont val="宋体"/>
        <charset val="134"/>
      </rPr>
      <t>苍巴高速公路项目</t>
    </r>
  </si>
  <si>
    <t>CRCHI-TD-2020-008</t>
  </si>
  <si>
    <r>
      <rPr>
        <sz val="10"/>
        <rFont val="Arial"/>
        <charset val="134"/>
      </rPr>
      <t>G020220012</t>
    </r>
    <r>
      <rPr>
        <sz val="10"/>
        <rFont val="宋体"/>
        <charset val="134"/>
      </rPr>
      <t>、</t>
    </r>
    <r>
      <rPr>
        <sz val="10"/>
        <rFont val="Arial"/>
        <charset val="134"/>
      </rPr>
      <t>11</t>
    </r>
    <r>
      <rPr>
        <sz val="10"/>
        <rFont val="宋体"/>
        <charset val="134"/>
      </rPr>
      <t>、</t>
    </r>
    <r>
      <rPr>
        <sz val="10"/>
        <rFont val="Arial"/>
        <charset val="134"/>
      </rPr>
      <t>10</t>
    </r>
    <r>
      <rPr>
        <sz val="10"/>
        <rFont val="宋体"/>
        <charset val="134"/>
      </rPr>
      <t>、</t>
    </r>
    <r>
      <rPr>
        <sz val="10"/>
        <rFont val="Arial"/>
        <charset val="134"/>
      </rPr>
      <t>09</t>
    </r>
    <r>
      <rPr>
        <sz val="10"/>
        <rFont val="宋体"/>
        <charset val="134"/>
      </rPr>
      <t>、</t>
    </r>
    <r>
      <rPr>
        <sz val="10"/>
        <rFont val="Arial"/>
        <charset val="134"/>
      </rPr>
      <t>08</t>
    </r>
    <r>
      <rPr>
        <sz val="10"/>
        <rFont val="宋体"/>
        <charset val="134"/>
      </rPr>
      <t>、</t>
    </r>
    <r>
      <rPr>
        <sz val="10"/>
        <rFont val="Arial"/>
        <charset val="134"/>
      </rPr>
      <t>05</t>
    </r>
    <r>
      <rPr>
        <sz val="10"/>
        <rFont val="宋体"/>
        <charset val="134"/>
      </rPr>
      <t>、</t>
    </r>
    <r>
      <rPr>
        <sz val="10"/>
        <rFont val="Arial"/>
        <charset val="134"/>
      </rPr>
      <t>G020320015</t>
    </r>
    <r>
      <rPr>
        <sz val="10"/>
        <rFont val="宋体"/>
        <charset val="134"/>
      </rPr>
      <t>、</t>
    </r>
    <r>
      <rPr>
        <sz val="10"/>
        <rFont val="Arial"/>
        <charset val="134"/>
      </rPr>
      <t>G020320016</t>
    </r>
    <r>
      <rPr>
        <sz val="10"/>
        <rFont val="宋体"/>
        <charset val="134"/>
      </rPr>
      <t>、</t>
    </r>
    <r>
      <rPr>
        <sz val="10"/>
        <rFont val="Arial"/>
        <charset val="134"/>
      </rPr>
      <t>G020319063</t>
    </r>
    <r>
      <rPr>
        <sz val="10"/>
        <rFont val="宋体"/>
        <charset val="134"/>
      </rPr>
      <t>、</t>
    </r>
    <r>
      <rPr>
        <sz val="10"/>
        <rFont val="Arial"/>
        <charset val="134"/>
      </rPr>
      <t>G020319064</t>
    </r>
    <r>
      <rPr>
        <sz val="10"/>
        <rFont val="宋体"/>
        <charset val="134"/>
      </rPr>
      <t>、</t>
    </r>
    <r>
      <rPr>
        <sz val="10"/>
        <rFont val="Arial"/>
        <charset val="134"/>
      </rPr>
      <t>G020220027</t>
    </r>
    <r>
      <rPr>
        <sz val="10"/>
        <rFont val="宋体"/>
        <charset val="134"/>
      </rPr>
      <t>、</t>
    </r>
    <r>
      <rPr>
        <sz val="10"/>
        <rFont val="Arial"/>
        <charset val="134"/>
      </rPr>
      <t>G020220028</t>
    </r>
  </si>
  <si>
    <t>杭州中诚装备服务股份有限公司</t>
  </si>
  <si>
    <t>杭州中诚</t>
  </si>
  <si>
    <r>
      <rPr>
        <sz val="10"/>
        <rFont val="宋体"/>
        <charset val="134"/>
      </rPr>
      <t>长沙地铁</t>
    </r>
    <r>
      <rPr>
        <sz val="10"/>
        <rFont val="Arial"/>
        <charset val="134"/>
      </rPr>
      <t>6</t>
    </r>
    <r>
      <rPr>
        <sz val="10"/>
        <rFont val="宋体"/>
        <charset val="134"/>
      </rPr>
      <t>号线</t>
    </r>
  </si>
  <si>
    <t>CRCHI-DPXS-202007-001</t>
  </si>
  <si>
    <t>YBX20010</t>
  </si>
  <si>
    <t>TJZG-WCZD-GZ20191030</t>
  </si>
  <si>
    <t>DG543</t>
  </si>
  <si>
    <t>沪苏湖铁路站前Ⅱ标项目</t>
  </si>
  <si>
    <t>CR15G05-SBCG-202009-007</t>
  </si>
  <si>
    <r>
      <rPr>
        <sz val="10"/>
        <rFont val="Arial"/>
        <charset val="134"/>
      </rPr>
      <t>G020420001</t>
    </r>
    <r>
      <rPr>
        <sz val="10"/>
        <rFont val="宋体"/>
        <charset val="134"/>
      </rPr>
      <t>、</t>
    </r>
    <r>
      <rPr>
        <sz val="10"/>
        <rFont val="Arial"/>
        <charset val="134"/>
      </rPr>
      <t>G020420002</t>
    </r>
  </si>
  <si>
    <t>沪杭铁路</t>
  </si>
  <si>
    <t>SBCG-02-2020-008</t>
  </si>
  <si>
    <t>G020320106</t>
  </si>
  <si>
    <t>成绵苍巴高速</t>
  </si>
  <si>
    <t>CR235-CMCB-2020-SC02</t>
  </si>
  <si>
    <r>
      <rPr>
        <sz val="10"/>
        <rFont val="Arial"/>
        <charset val="134"/>
      </rPr>
      <t>G020220035</t>
    </r>
    <r>
      <rPr>
        <sz val="10"/>
        <rFont val="宋体"/>
        <charset val="134"/>
      </rPr>
      <t>、</t>
    </r>
    <r>
      <rPr>
        <sz val="10"/>
        <rFont val="Arial"/>
        <charset val="134"/>
      </rPr>
      <t>G020220036</t>
    </r>
  </si>
  <si>
    <t>中铁十五局集团第五工程有限公司银昆高速项目部</t>
  </si>
  <si>
    <t>银昆高速</t>
  </si>
  <si>
    <t>CRCHI-TD-2020-011</t>
  </si>
  <si>
    <t>G020319035</t>
  </si>
  <si>
    <t>中铁二十二局集团第一工程有限公司杭温铁路站前工程四标项目部</t>
  </si>
  <si>
    <t>杭温高铁</t>
  </si>
  <si>
    <t>07-WSZX-SBCG-2020-003</t>
  </si>
  <si>
    <r>
      <rPr>
        <sz val="10"/>
        <rFont val="Arial"/>
        <charset val="134"/>
      </rPr>
      <t>G020320101</t>
    </r>
    <r>
      <rPr>
        <sz val="10"/>
        <rFont val="宋体"/>
        <charset val="134"/>
      </rPr>
      <t>、</t>
    </r>
    <r>
      <rPr>
        <sz val="10"/>
        <rFont val="Arial"/>
        <charset val="134"/>
      </rPr>
      <t>G020320102</t>
    </r>
    <r>
      <rPr>
        <sz val="10"/>
        <rFont val="宋体"/>
        <charset val="134"/>
      </rPr>
      <t>、</t>
    </r>
    <r>
      <rPr>
        <sz val="10"/>
        <rFont val="Arial"/>
        <charset val="134"/>
      </rPr>
      <t>G020320103</t>
    </r>
  </si>
  <si>
    <t>CRCHI-TZ-2015-001</t>
  </si>
  <si>
    <t>G020214073</t>
  </si>
  <si>
    <t>中建海峡</t>
  </si>
  <si>
    <r>
      <rPr>
        <sz val="10"/>
        <rFont val="宋体"/>
        <charset val="134"/>
      </rPr>
      <t>福州市轨道交通</t>
    </r>
    <r>
      <rPr>
        <sz val="10"/>
        <rFont val="Arial"/>
        <charset val="134"/>
      </rPr>
      <t>4</t>
    </r>
    <r>
      <rPr>
        <sz val="10"/>
        <rFont val="宋体"/>
        <charset val="134"/>
      </rPr>
      <t>号线一期</t>
    </r>
    <r>
      <rPr>
        <sz val="10"/>
        <rFont val="Arial"/>
        <charset val="134"/>
      </rPr>
      <t>2</t>
    </r>
    <r>
      <rPr>
        <sz val="10"/>
        <rFont val="宋体"/>
        <charset val="134"/>
      </rPr>
      <t>标段</t>
    </r>
    <r>
      <rPr>
        <sz val="10"/>
        <rFont val="Arial"/>
        <charset val="134"/>
      </rPr>
      <t>5.6</t>
    </r>
    <r>
      <rPr>
        <sz val="10"/>
        <rFont val="宋体"/>
        <charset val="134"/>
      </rPr>
      <t>工区</t>
    </r>
  </si>
  <si>
    <t>10700302[2017]55SZ83-07</t>
  </si>
  <si>
    <t>DL479</t>
  </si>
  <si>
    <t>DL164</t>
  </si>
  <si>
    <t>107003021(2017)55SZ83-07</t>
  </si>
  <si>
    <t>保驾护航费</t>
  </si>
  <si>
    <r>
      <rPr>
        <sz val="10"/>
        <rFont val="宋体"/>
        <charset val="134"/>
      </rPr>
      <t>杭州地铁五号线</t>
    </r>
    <r>
      <rPr>
        <sz val="10"/>
        <rFont val="Arial"/>
        <charset val="134"/>
      </rPr>
      <t>11</t>
    </r>
    <r>
      <rPr>
        <sz val="10"/>
        <rFont val="宋体"/>
        <charset val="134"/>
      </rPr>
      <t>标项目</t>
    </r>
  </si>
  <si>
    <t>HRJS-TJZG-EPB-2017-08</t>
  </si>
  <si>
    <t>DZ465</t>
  </si>
  <si>
    <t>DZ466</t>
  </si>
  <si>
    <r>
      <rPr>
        <sz val="10"/>
        <rFont val="宋体"/>
        <charset val="134"/>
      </rPr>
      <t>金义东市域轨道交通工程</t>
    </r>
    <r>
      <rPr>
        <sz val="10"/>
        <rFont val="Arial"/>
        <charset val="134"/>
      </rPr>
      <t>02</t>
    </r>
    <r>
      <rPr>
        <sz val="10"/>
        <rFont val="宋体"/>
        <charset val="134"/>
      </rPr>
      <t>标</t>
    </r>
  </si>
  <si>
    <t>HRJS-DG-201710-37</t>
  </si>
  <si>
    <t>DZ486</t>
  </si>
  <si>
    <r>
      <rPr>
        <sz val="10"/>
        <rFont val="宋体"/>
        <charset val="134"/>
      </rPr>
      <t>杭州地铁</t>
    </r>
    <r>
      <rPr>
        <sz val="10"/>
        <rFont val="Arial"/>
        <charset val="134"/>
      </rPr>
      <t>7</t>
    </r>
    <r>
      <rPr>
        <sz val="10"/>
        <rFont val="宋体"/>
        <charset val="134"/>
      </rPr>
      <t>号线</t>
    </r>
    <r>
      <rPr>
        <sz val="10"/>
        <rFont val="Arial"/>
        <charset val="134"/>
      </rPr>
      <t>3</t>
    </r>
    <r>
      <rPr>
        <sz val="10"/>
        <rFont val="宋体"/>
        <charset val="134"/>
      </rPr>
      <t>标</t>
    </r>
  </si>
  <si>
    <t>HRJS-TJZG-2018-05</t>
  </si>
  <si>
    <t>DZ598</t>
  </si>
  <si>
    <t>DZ599</t>
  </si>
  <si>
    <t>杭州金投装备有限公司</t>
  </si>
  <si>
    <t>杭州金投</t>
  </si>
  <si>
    <t>南通地铁</t>
  </si>
  <si>
    <t>TJZG-HZJT-201809-DZ572</t>
  </si>
  <si>
    <t>DZ572</t>
  </si>
  <si>
    <t>WCZD-TJZG-2019-NT02</t>
  </si>
  <si>
    <t>DZ653</t>
  </si>
  <si>
    <t>投标</t>
  </si>
  <si>
    <t>中交一公局厦门工程有限公司</t>
  </si>
  <si>
    <t>中交一公局</t>
  </si>
  <si>
    <r>
      <rPr>
        <sz val="10"/>
        <rFont val="宋体"/>
        <charset val="134"/>
      </rPr>
      <t>深圳地铁</t>
    </r>
    <r>
      <rPr>
        <sz val="10"/>
        <rFont val="Arial"/>
        <charset val="134"/>
      </rPr>
      <t>8</t>
    </r>
    <r>
      <rPr>
        <sz val="10"/>
        <rFont val="宋体"/>
        <charset val="134"/>
      </rPr>
      <t>号线二期双模盾构机租赁</t>
    </r>
  </si>
  <si>
    <t>二十二局四公司</t>
  </si>
  <si>
    <t>金台铁路</t>
  </si>
  <si>
    <t>04-JT-SBCG-2017-011</t>
  </si>
  <si>
    <r>
      <rPr>
        <sz val="10"/>
        <rFont val="Arial"/>
        <charset val="134"/>
      </rPr>
      <t>G270117001</t>
    </r>
    <r>
      <rPr>
        <sz val="10"/>
        <rFont val="宋体"/>
        <charset val="134"/>
      </rPr>
      <t>、</t>
    </r>
    <r>
      <rPr>
        <sz val="10"/>
        <rFont val="Arial"/>
        <charset val="134"/>
      </rPr>
      <t>G270117002</t>
    </r>
  </si>
  <si>
    <t>中铁十七局集团第一工程有限公司宜遂高速项目部</t>
  </si>
  <si>
    <t>十七局一公司</t>
  </si>
  <si>
    <t>宜遂高速项目</t>
  </si>
  <si>
    <t>SBCG-YSGSB4B-2020-0001</t>
  </si>
  <si>
    <r>
      <rPr>
        <sz val="10"/>
        <rFont val="Arial"/>
        <charset val="134"/>
      </rPr>
      <t>G020320098</t>
    </r>
    <r>
      <rPr>
        <sz val="10"/>
        <rFont val="宋体"/>
        <charset val="134"/>
      </rPr>
      <t>、</t>
    </r>
    <r>
      <rPr>
        <sz val="10"/>
        <rFont val="Arial"/>
        <charset val="134"/>
      </rPr>
      <t>97</t>
    </r>
  </si>
  <si>
    <t>中交隧道工程局有限公司</t>
  </si>
  <si>
    <t>衢宁项目</t>
  </si>
  <si>
    <t>ZJSD-20170104</t>
  </si>
  <si>
    <t>G070116144/G070116145/G070117011/G070117012/G070117018/G070117016</t>
  </si>
  <si>
    <t>中铁十六局集团有限公司绍兴市城市轨道交通1号线工程土建施工10标项目经理部</t>
  </si>
  <si>
    <t>集团本部</t>
  </si>
  <si>
    <t>中铁十七局集团上海轨道交通工程有限公司</t>
  </si>
  <si>
    <t>十七局上海轨道公司</t>
  </si>
  <si>
    <t>01-01-十七局轨交(91310107664351137K)-2019-0501-01</t>
  </si>
  <si>
    <t>DZ608</t>
  </si>
  <si>
    <t>一般1级</t>
  </si>
  <si>
    <t>南通</t>
  </si>
  <si>
    <t>浙江浙银金融租赁股份有限公司</t>
  </si>
  <si>
    <t>浙江浙银</t>
  </si>
  <si>
    <t>苏州地铁</t>
  </si>
  <si>
    <t>ZY2020ZJ406-m01</t>
  </si>
  <si>
    <t>DZ731</t>
  </si>
  <si>
    <t>十五局三公司</t>
  </si>
  <si>
    <t>苍巴高速公路</t>
  </si>
  <si>
    <t>CR15J-3GS-SBCG-CBGS-2020-08-01</t>
  </si>
  <si>
    <t>G020320099/100</t>
  </si>
  <si>
    <t>兰阿公路</t>
  </si>
  <si>
    <t>CRCHI-LG-2019-1501S104线项目-01</t>
  </si>
  <si>
    <t>G020219051、G020219052</t>
  </si>
  <si>
    <t>二十四局贵溪桥梁</t>
  </si>
  <si>
    <t>宁乡东制梁场</t>
  </si>
  <si>
    <t>SBGLB-2020-S-12</t>
  </si>
  <si>
    <t>G020317139/40</t>
  </si>
  <si>
    <t>本部</t>
  </si>
  <si>
    <t>中铁十五局集团有限公司</t>
  </si>
  <si>
    <t>海瑞克S623/624维修改造</t>
  </si>
  <si>
    <t>CR15G-CGGS-GZDT18HX-SB2018-010</t>
  </si>
  <si>
    <t>DG451/452</t>
  </si>
  <si>
    <t>5公司苍巴高速</t>
  </si>
  <si>
    <t xml:space="preserve">CR15G05-SBCG-202007-003 </t>
  </si>
  <si>
    <t>G020320081/G020320082/G020320083/G020320084/G020320109/G020320110</t>
  </si>
  <si>
    <t>中铁十五局集团第四工程有限公司临大高速公路LD08合同段项目经理部</t>
  </si>
  <si>
    <t>4公司临大高速</t>
  </si>
  <si>
    <t>CRCHI-LG-2019-008</t>
  </si>
  <si>
    <t>G020219047/G020219048</t>
  </si>
  <si>
    <t>3公司柳州公路项目</t>
  </si>
  <si>
    <t>CR15J-3GS-WZCG-XGGL-2020-006</t>
  </si>
  <si>
    <t>G020220044</t>
  </si>
  <si>
    <t>技术服务</t>
  </si>
  <si>
    <t>107003021[2017]55SZ83-07</t>
  </si>
  <si>
    <t>DZ465/466盾构机扩径改造</t>
  </si>
  <si>
    <t>CRCHI-JZ-2020-002</t>
  </si>
  <si>
    <t>DG783</t>
  </si>
  <si>
    <t>DG784</t>
  </si>
  <si>
    <t>二十四局南昌铁路公司</t>
  </si>
  <si>
    <t>G020319061、G020319062</t>
  </si>
  <si>
    <t>楚大/云临/永勐/渝湘/渝遂/苍巴高速公路项目</t>
  </si>
  <si>
    <t>G020220012、11、10、09、08、05、G020320015、G020320016、G020319063、G020319064、G020220027、G020220028</t>
  </si>
  <si>
    <t xml:space="preserve">中铁十五局集团路桥建设有限公司 </t>
  </si>
  <si>
    <t>十五局路桥</t>
  </si>
  <si>
    <t>沪苏湖项目</t>
  </si>
  <si>
    <t>1506SB21-110</t>
  </si>
  <si>
    <t>G020320123/G020320124</t>
  </si>
  <si>
    <t>中铁十五局集团第一工程有限公司乐西高速项目经理部</t>
  </si>
  <si>
    <t>1公司乐西高速</t>
  </si>
  <si>
    <t>CRCHI-TD-2020-001</t>
  </si>
  <si>
    <t>G020219078、G020219079、G020219080、G020219081</t>
  </si>
  <si>
    <t>中铁十七局集团第六工程有限公司福州滨海快线2标4工区项目经理部</t>
  </si>
  <si>
    <t>福州滨海快线</t>
  </si>
  <si>
    <t>CRCC17(6)/GN/SBCG/2020004</t>
  </si>
  <si>
    <t>DZ773</t>
  </si>
  <si>
    <t>中铁十六局集团第三工程有限公司郑万铁路重庆段土建6标项目经理部</t>
  </si>
  <si>
    <t>郑万铁路</t>
  </si>
  <si>
    <t>ZWCQZQ-6-WS-2017-44</t>
  </si>
  <si>
    <t>G100116012/G100116030</t>
  </si>
  <si>
    <t>中铁建大桥工程局集团第二工程有限公司杭州地铁8号线一期工程土建三工区盾</t>
  </si>
  <si>
    <t>中铁建大桥局二公司</t>
  </si>
  <si>
    <t>DZ220盾构机扩径改造</t>
  </si>
  <si>
    <t>TJDQJ02-DGGZ-004</t>
  </si>
  <si>
    <t>DG745</t>
  </si>
  <si>
    <t>中铁二十四局集团有限公司徐州城市轨道交通2号线一期工程07标项目经理部</t>
  </si>
  <si>
    <t>二十四局上海公司</t>
  </si>
  <si>
    <t>DZ028盾构机改造翻新</t>
  </si>
  <si>
    <t>TJZG-ZT24J-WX20170524</t>
  </si>
  <si>
    <t>DG138</t>
  </si>
  <si>
    <t>中铁二十四局集团有限公司</t>
  </si>
  <si>
    <t>二十四局轨道公司</t>
  </si>
  <si>
    <t>DZ213青岛四号线</t>
  </si>
  <si>
    <t>CRCHI-PJ-2019-031</t>
  </si>
  <si>
    <t>DG634</t>
  </si>
  <si>
    <t>中交隧道工程局有限公司北京盾构工程分公司</t>
  </si>
  <si>
    <t>中交隧道</t>
  </si>
  <si>
    <t>千岛湖引水工程</t>
  </si>
  <si>
    <t>ZJSD-DGGS-DGJDPXZ-2020001</t>
  </si>
  <si>
    <t>YBX20002</t>
  </si>
  <si>
    <t>中建隧道建设有限公司</t>
  </si>
  <si>
    <t>中建隧道</t>
  </si>
  <si>
    <t>重庆5号线北延</t>
  </si>
  <si>
    <t>2802-02-F-25-01</t>
  </si>
  <si>
    <t>DG714/DG715</t>
  </si>
  <si>
    <t>山西紫金矿业有限公司</t>
  </si>
  <si>
    <t>紫金矿业</t>
  </si>
  <si>
    <t>CRCHI-XS-2021-015</t>
  </si>
  <si>
    <t>G070620009</t>
  </si>
  <si>
    <t>李汝</t>
  </si>
  <si>
    <t>工程公司</t>
  </si>
  <si>
    <t>中铁十一局集团</t>
  </si>
  <si>
    <t>十一局集团</t>
  </si>
  <si>
    <t>金义东项目</t>
  </si>
  <si>
    <t>t11cg-dgzl-83</t>
  </si>
  <si>
    <t>DL251/329</t>
  </si>
  <si>
    <t>十八局市政公司</t>
  </si>
  <si>
    <t>杭州市机场轨道快线土建施工SGJC-8标</t>
  </si>
  <si>
    <t>12-SHBZ-2020-杭州机场快线5标-12-003</t>
  </si>
  <si>
    <t>DL749/DL751/DL752/DL818</t>
  </si>
  <si>
    <t>G020320042/G020320043/G020320044</t>
  </si>
  <si>
    <t>中铁十四局集团大盾构工程有限公司杭州艮山东路项目经理部</t>
  </si>
  <si>
    <t>十四局大盾构公司</t>
  </si>
  <si>
    <t>杭州艮山路隧道</t>
  </si>
  <si>
    <t>CRCHI-CJ-2019-020-补充1</t>
  </si>
  <si>
    <t>DL679</t>
  </si>
  <si>
    <t>中铁十四局集团大盾构工程有限公司</t>
  </si>
  <si>
    <t>杭州经济技术开发区下沙路与12号路提升改造及附属配套工程PPP项目经理部</t>
  </si>
  <si>
    <t>CRCHI-CJ-2019-021-补充1</t>
  </si>
  <si>
    <t>DL676</t>
  </si>
  <si>
    <t>中铁十六局集团有限公司</t>
  </si>
  <si>
    <t>杭州轨道快线土建施工SGJC-1标</t>
  </si>
  <si>
    <t>ZT16-HZJCKX-SBZL-001</t>
  </si>
  <si>
    <t>DL750</t>
  </si>
  <si>
    <t>DL755</t>
  </si>
  <si>
    <t>DL819</t>
  </si>
  <si>
    <t>DL820</t>
  </si>
  <si>
    <t>十二局四公司</t>
  </si>
  <si>
    <t>CRCHI-TD-2020-017(作废合同编号：CRCHI-CJ-2019-008)</t>
  </si>
  <si>
    <t>DL747</t>
  </si>
  <si>
    <t>DL748</t>
  </si>
  <si>
    <t>中铁二十二局集团轨道工程有限公司杭州地铁3号线一期工程土建施工SG3-4标项目经理部</t>
  </si>
  <si>
    <t>二十二局轨道公司</t>
  </si>
  <si>
    <t>杭州地铁3号线4标项目</t>
  </si>
  <si>
    <t>GD-GD-HZDT-SBZL-2020-027</t>
  </si>
  <si>
    <t>DL717(金租DL206)</t>
  </si>
  <si>
    <t>DL718(金租DL262)</t>
  </si>
  <si>
    <t>中铁二十二局集团轨道工程有限公司</t>
  </si>
  <si>
    <t>杭州机场轨道快线土建施工SGJC-7标段项目经理部</t>
  </si>
  <si>
    <t>GD-HJCX07-SZ-2020-02</t>
  </si>
  <si>
    <t>DL817</t>
  </si>
  <si>
    <t>DL756</t>
  </si>
  <si>
    <t>DL757</t>
  </si>
  <si>
    <t>DL758</t>
  </si>
  <si>
    <t>刀盘中心回转节</t>
  </si>
  <si>
    <t xml:space="preserve">CRCHI-XS-2021-028 </t>
  </si>
  <si>
    <t>YBX21024</t>
  </si>
  <si>
    <t>1月回款</t>
  </si>
  <si>
    <t>协办比例</t>
  </si>
  <si>
    <t>长春地铁9号线2台ZTE7150租赁合同</t>
  </si>
  <si>
    <t>CRCHI-GZ-2023-013</t>
  </si>
  <si>
    <t>中铁十四局大盾构公司</t>
  </si>
  <si>
    <t>昌九铁路ZTS14810泥水平衡盾构机改造合同”的审批申请</t>
  </si>
  <si>
    <t>ZT14J-TJZG-GZ-2023001</t>
  </si>
  <si>
    <t>宜涪项目4台HZS180X采购合同</t>
  </si>
  <si>
    <t>CR15G2C-SBCG-2025-07</t>
  </si>
  <si>
    <t>盐宜铁路搅拌站采购项目</t>
  </si>
  <si>
    <t>CR15G2C-SBCG-2025-18</t>
  </si>
  <si>
    <t>中铁十九局集团华东工程有限公司</t>
  </si>
  <si>
    <t>宜昌至涪陵高速铁路（湖北段）项目</t>
  </si>
  <si>
    <t>CRCHI-XS-2025-014</t>
  </si>
  <si>
    <t>江苏筑世国际贸易有限公司</t>
  </si>
  <si>
    <t>江苏筑世国际贸易有限公司沙特阿拉伯交通隧道项目1批隧道装备产品采购合同</t>
  </si>
  <si>
    <t>CSCEC-ZSIT-PC-2024001</t>
  </si>
  <si>
    <t>中吉乌铁路1批特种装备采购合同</t>
  </si>
  <si>
    <t>CR15G2C-SBCG-2025-17</t>
  </si>
  <si>
    <t>客户类别</t>
  </si>
  <si>
    <t>客户</t>
  </si>
  <si>
    <t>存量逾期</t>
  </si>
  <si>
    <t>新增逾期</t>
  </si>
  <si>
    <t>合计</t>
  </si>
  <si>
    <t>逾期排名</t>
  </si>
  <si>
    <t>中铁二十四局福建公司</t>
  </si>
  <si>
    <t>中铁十四局集团第二工程有限公司</t>
  </si>
  <si>
    <t>中铁十四局隧道公司</t>
  </si>
  <si>
    <t>中铁十二局集团第三工程有限公司</t>
  </si>
  <si>
    <t>中铁十八局集团隧道工程有限公司</t>
  </si>
  <si>
    <t>中铁十一局集团第一工程有限公司</t>
  </si>
  <si>
    <t>中铁十六局集团地铁工程有限公司</t>
  </si>
  <si>
    <t>中铁二十二局轨道公司</t>
  </si>
  <si>
    <t>中铁建大桥局四公司</t>
  </si>
  <si>
    <t>中铁二十局集团第五工程有限公司</t>
  </si>
  <si>
    <t>中铁十一局轨道公司</t>
  </si>
  <si>
    <t>中铁十六局集团北京轨道交通工程建设有限公司</t>
  </si>
  <si>
    <t>中铁二十四局上海轨道公司</t>
  </si>
  <si>
    <t>中国水利水电第五工程局有限公司</t>
  </si>
  <si>
    <t>期末逾期</t>
  </si>
  <si>
    <t>上海市基础工程集团有限公司</t>
  </si>
  <si>
    <t>中铁十一局集团第五工程有限公司</t>
  </si>
  <si>
    <t>中铁二十五局集团第三工程有限公司</t>
  </si>
  <si>
    <t>中铁十九局集团</t>
  </si>
  <si>
    <t>江西铜业股份有限公司</t>
  </si>
  <si>
    <t>中铁十四局房桥公司</t>
  </si>
  <si>
    <t>中铁二十四局集团桥梁建设有限公司</t>
  </si>
  <si>
    <t>中铁建大桥工程局集团第二工程有限公司</t>
  </si>
  <si>
    <t>中铁二十四局集团福建公司</t>
  </si>
  <si>
    <t>中铁二十五局集团有限公司</t>
  </si>
  <si>
    <t>中铁建大桥局集团</t>
  </si>
  <si>
    <t>中铁二十二局集团有限公司厦门分公司</t>
  </si>
  <si>
    <t>中铁二十四局桥梁建设有限公司</t>
  </si>
  <si>
    <t>中铁十四局集团</t>
  </si>
  <si>
    <t>中铁二十三局轨道公司上海分公司</t>
  </si>
  <si>
    <t>中铁十四局集团第四工程有限公司</t>
  </si>
  <si>
    <t>二十二局集团</t>
  </si>
  <si>
    <t>徐州地铁2号线7标</t>
  </si>
  <si>
    <t>CR(24)XZDT-2018-01</t>
  </si>
  <si>
    <t>DL256G1</t>
  </si>
  <si>
    <t>CR(24)XZDT-2018-02</t>
  </si>
  <si>
    <t>DL258</t>
  </si>
  <si>
    <t>中铁十九局集团第一工程有限公司</t>
  </si>
  <si>
    <t>十九局一公司</t>
  </si>
  <si>
    <t>朱溪水库</t>
  </si>
  <si>
    <r>
      <rPr>
        <sz val="10"/>
        <rFont val="Arial"/>
        <charset val="134"/>
      </rPr>
      <t>CR191-TZXM2017-SBHT001-</t>
    </r>
    <r>
      <rPr>
        <sz val="10"/>
        <rFont val="宋体"/>
        <charset val="134"/>
      </rPr>
      <t>补</t>
    </r>
    <r>
      <rPr>
        <sz val="10"/>
        <rFont val="Arial"/>
        <charset val="134"/>
      </rPr>
      <t>02</t>
    </r>
  </si>
  <si>
    <t>DZ413</t>
  </si>
  <si>
    <t>陕西恒通盛路桥建设工程有限公司</t>
  </si>
  <si>
    <t>蒙华</t>
  </si>
  <si>
    <t>CRCHI-GCJX-2015-024</t>
  </si>
  <si>
    <t>G070115053</t>
  </si>
  <si>
    <t>中铁二十一局集团第六工程有限公司</t>
  </si>
  <si>
    <t>二十一局六公司</t>
  </si>
  <si>
    <t>兴泉铁路</t>
  </si>
  <si>
    <t>21J-XQXN-1-2017-SB-001</t>
  </si>
  <si>
    <t>G020317042</t>
  </si>
  <si>
    <t>申星</t>
  </si>
  <si>
    <t>中铁十六局集团第一工程有限公司</t>
  </si>
  <si>
    <t>十六局一公司</t>
  </si>
  <si>
    <t>01gs-sbcg-2017-0030</t>
  </si>
  <si>
    <t>G070117021</t>
  </si>
  <si>
    <t>中铁二十二局集团第二工程有限公司</t>
  </si>
  <si>
    <t>二十二局二公司</t>
  </si>
  <si>
    <t>SB2018-001</t>
  </si>
  <si>
    <t>G020218006、07</t>
  </si>
  <si>
    <t>中铁建大桥工程局集团第三工程有限公司</t>
  </si>
  <si>
    <t>中铁建大桥局三公司</t>
  </si>
  <si>
    <r>
      <rPr>
        <sz val="10"/>
        <rFont val="Arial"/>
        <charset val="134"/>
      </rPr>
      <t>DJQ03-</t>
    </r>
    <r>
      <rPr>
        <sz val="10"/>
        <rFont val="宋体"/>
        <charset val="134"/>
      </rPr>
      <t>杭绍台铁路设备采购</t>
    </r>
    <r>
      <rPr>
        <sz val="10"/>
        <rFont val="Arial"/>
        <charset val="134"/>
      </rPr>
      <t>-2018-001</t>
    </r>
  </si>
  <si>
    <t>G020318007</t>
  </si>
  <si>
    <r>
      <rPr>
        <sz val="10"/>
        <rFont val="Arial"/>
        <charset val="134"/>
      </rPr>
      <t>DJQ03-</t>
    </r>
    <r>
      <rPr>
        <sz val="10"/>
        <rFont val="宋体"/>
        <charset val="134"/>
      </rPr>
      <t>杭绍台铁路设备采购</t>
    </r>
    <r>
      <rPr>
        <sz val="10"/>
        <rFont val="Arial"/>
        <charset val="134"/>
      </rPr>
      <t>-2018-002</t>
    </r>
  </si>
  <si>
    <t>G020318014</t>
  </si>
  <si>
    <r>
      <rPr>
        <sz val="10"/>
        <rFont val="Arial"/>
        <charset val="134"/>
      </rPr>
      <t>DQJ03-</t>
    </r>
    <r>
      <rPr>
        <sz val="10"/>
        <rFont val="宋体"/>
        <charset val="134"/>
      </rPr>
      <t>杭绍台铁路设备采购</t>
    </r>
    <r>
      <rPr>
        <sz val="10"/>
        <rFont val="Arial"/>
        <charset val="134"/>
      </rPr>
      <t>-2018-005</t>
    </r>
  </si>
  <si>
    <t>G020318029、28</t>
  </si>
  <si>
    <t>中铁十七局集团第二工程有限公司</t>
  </si>
  <si>
    <t>十七局二公司</t>
  </si>
  <si>
    <t>GN/SBCG/XQTLXM/2018/0009</t>
  </si>
  <si>
    <t>G100116047、G190218003</t>
  </si>
  <si>
    <t>GN/SBCG/XQTLXM/2018/0011</t>
  </si>
  <si>
    <t>G070117092</t>
  </si>
  <si>
    <t>杭绍台铁路项目</t>
  </si>
  <si>
    <r>
      <rPr>
        <sz val="10"/>
        <rFont val="Arial"/>
        <charset val="134"/>
      </rPr>
      <t>01-02-</t>
    </r>
    <r>
      <rPr>
        <sz val="10"/>
        <rFont val="宋体"/>
        <charset val="134"/>
      </rPr>
      <t>大桥局三公司</t>
    </r>
    <r>
      <rPr>
        <sz val="10"/>
        <rFont val="Arial"/>
        <charset val="134"/>
      </rPr>
      <t>(91210100122412687N)-2018-0451-01-2</t>
    </r>
  </si>
  <si>
    <t>G070116135、G070117034、G070117104、G070117105</t>
  </si>
  <si>
    <t>福厦铁路一分部</t>
  </si>
  <si>
    <t>01gs-sbcg-2018-0002</t>
  </si>
  <si>
    <t>G100117011</t>
  </si>
  <si>
    <t>黄千高速</t>
  </si>
  <si>
    <t>CR15JSB-3GS-YHXM--2018-10-01</t>
  </si>
  <si>
    <t>G020318035、36</t>
  </si>
  <si>
    <t>缙云项目</t>
  </si>
  <si>
    <t>ZT21J-JYXMB-CSXDZ-SBCG2019-001</t>
  </si>
  <si>
    <t>G070118003</t>
  </si>
  <si>
    <t>中铁二十一局集团第三工程有限公司</t>
  </si>
  <si>
    <t>二十一局三公司</t>
  </si>
  <si>
    <t>南龙高速</t>
  </si>
  <si>
    <t>GSGZ-2019-026</t>
  </si>
  <si>
    <t>G020219059、G020219060</t>
  </si>
  <si>
    <t>成自铁路</t>
  </si>
  <si>
    <t>CR15J-SBCG-CZTL-2019-001</t>
  </si>
  <si>
    <t>G020319058、G020319059</t>
  </si>
  <si>
    <t>中铁十一局集团第二工程有限公司</t>
  </si>
  <si>
    <t>十一局二公司</t>
  </si>
  <si>
    <t>杭衢项目</t>
  </si>
  <si>
    <t>ZT1102-SB2020006</t>
  </si>
  <si>
    <t>G020320057、G020320058</t>
  </si>
  <si>
    <t>二十五局三公司</t>
  </si>
  <si>
    <t>昌景黄铁路CJHZQJX-5标梁场项目</t>
  </si>
  <si>
    <r>
      <rPr>
        <sz val="10"/>
        <rFont val="宋体"/>
        <charset val="134"/>
      </rPr>
      <t>三物设合</t>
    </r>
    <r>
      <rPr>
        <sz val="10"/>
        <rFont val="Arial"/>
        <charset val="134"/>
      </rPr>
      <t>(2020)-</t>
    </r>
    <r>
      <rPr>
        <sz val="10"/>
        <rFont val="宋体"/>
        <charset val="134"/>
      </rPr>
      <t>公司</t>
    </r>
    <r>
      <rPr>
        <sz val="10"/>
        <rFont val="Arial"/>
        <charset val="134"/>
      </rPr>
      <t>-</t>
    </r>
    <r>
      <rPr>
        <sz val="10"/>
        <rFont val="宋体"/>
        <charset val="134"/>
      </rPr>
      <t>购</t>
    </r>
    <r>
      <rPr>
        <sz val="10"/>
        <rFont val="Arial"/>
        <charset val="134"/>
      </rPr>
      <t>07</t>
    </r>
  </si>
  <si>
    <t>G020219005、G020219008</t>
  </si>
  <si>
    <t>中交融资租赁有限公司</t>
  </si>
  <si>
    <t>福建省福州市</t>
  </si>
  <si>
    <t>CCCCFL17E0012-P-01</t>
  </si>
  <si>
    <t>ZY113</t>
  </si>
  <si>
    <t>十二局二公司</t>
  </si>
  <si>
    <t>CR122-DGSZ-257-ZL025</t>
  </si>
  <si>
    <t>DG808</t>
  </si>
  <si>
    <t>DG809</t>
  </si>
  <si>
    <r>
      <rPr>
        <sz val="10"/>
        <rFont val="宋体"/>
        <charset val="134"/>
      </rPr>
      <t>一般</t>
    </r>
    <r>
      <rPr>
        <sz val="10"/>
        <rFont val="Arial"/>
        <charset val="134"/>
      </rPr>
      <t>3</t>
    </r>
    <r>
      <rPr>
        <sz val="10"/>
        <rFont val="宋体"/>
        <charset val="134"/>
      </rPr>
      <t>级</t>
    </r>
  </si>
  <si>
    <t>中铁二十一局集团路桥工程有限公司</t>
  </si>
  <si>
    <t>二十一局路桥</t>
  </si>
  <si>
    <t>兴泉项目</t>
  </si>
  <si>
    <t>21JLQ-WS-SBMM-2019-007</t>
  </si>
  <si>
    <t>G020218135、G020218136</t>
  </si>
  <si>
    <t>中铁十一局集团城市轨道工程有限公司</t>
  </si>
  <si>
    <t>罗宾斯8.8米盾构设备的再制造/改造/维修/组装/调试</t>
  </si>
  <si>
    <t>DGGLZX-2017-DGJWX-22</t>
  </si>
  <si>
    <t>DG425/433</t>
  </si>
  <si>
    <t>中铁十一局集团第二工程有限公司宜遂高速项目经理部G020220037</t>
  </si>
  <si>
    <t>宜春至遂川高速公路C3标项目</t>
  </si>
  <si>
    <t>ZT1102-SB2020009</t>
  </si>
  <si>
    <t>G020220037</t>
  </si>
  <si>
    <t>中铁十一局集团第二工程有限公司宜遂高速项目经理部G020220038/G020220039</t>
  </si>
  <si>
    <t>宜遂D3公路项目部</t>
  </si>
  <si>
    <t>ZT1102-SB2020010</t>
  </si>
  <si>
    <t>G020220038/G020220039</t>
  </si>
  <si>
    <t>南京7号线</t>
  </si>
  <si>
    <t>NJDT3B-2020-001</t>
  </si>
  <si>
    <t>DG810</t>
  </si>
  <si>
    <t>G020219059/G020219060</t>
  </si>
  <si>
    <t>G020218135/G020218136</t>
  </si>
  <si>
    <t>中铁建大桥局株洲桥梁有限公司昌景黄项目部</t>
  </si>
  <si>
    <t>昌景黄项目部</t>
  </si>
  <si>
    <t>CJH-SB-2019-003</t>
  </si>
  <si>
    <t>G020319054/G020319055</t>
  </si>
  <si>
    <t>中铁十二局集团第一工程有限公司湖杭铁路项目经理部二分部</t>
  </si>
  <si>
    <t>湖杭铁路项目</t>
  </si>
  <si>
    <t>CRCHI-TL-2019-009</t>
  </si>
  <si>
    <t>G020219057、G020219058、G020319069、G020319070</t>
  </si>
  <si>
    <t>中铁十一局集团第二工程有限公司湖杭项目经理部</t>
  </si>
  <si>
    <t>湖杭项目</t>
  </si>
  <si>
    <t>ZT1102-SB2020001</t>
  </si>
  <si>
    <t>G020319073/G020319074/G020319071/G020319072</t>
  </si>
  <si>
    <t>中铁二十二局集团第四工程有限公司杭温铁路站前工程四标项目部1分部</t>
  </si>
  <si>
    <t>04-HWTL-SBCG-2020-003</t>
  </si>
  <si>
    <t>G020320034/G020320035/G020320077</t>
  </si>
  <si>
    <t>中铁十六局集团地铁工程有限公司杭州市第二水源输水通道项目部</t>
  </si>
  <si>
    <t>杭州市第二水源输水通道项目</t>
  </si>
  <si>
    <t>ZT16DT-2019-HZWG002/01</t>
  </si>
  <si>
    <t>DG549/DG550</t>
  </si>
  <si>
    <t>中铁十六局集团地铁工程有限公司DG549增配</t>
  </si>
  <si>
    <t>杭州市第二水源输水通道项目部</t>
  </si>
  <si>
    <t>DG549增配</t>
  </si>
  <si>
    <t>中铁十六局集团地铁工程有限公司DG550增配</t>
  </si>
  <si>
    <t>DG550增配</t>
  </si>
  <si>
    <r>
      <rPr>
        <sz val="10"/>
        <rFont val="宋体"/>
        <charset val="134"/>
      </rPr>
      <t>中铁十一局集团城市轨道工程有限公司杭州地铁</t>
    </r>
    <r>
      <rPr>
        <sz val="10"/>
        <rFont val="Arial"/>
        <charset val="134"/>
      </rPr>
      <t>3</t>
    </r>
    <r>
      <rPr>
        <sz val="10"/>
        <rFont val="宋体"/>
        <charset val="134"/>
      </rPr>
      <t>号线一期工程土建施工</t>
    </r>
    <r>
      <rPr>
        <sz val="10"/>
        <rFont val="Arial"/>
        <charset val="134"/>
      </rPr>
      <t>SG3</t>
    </r>
  </si>
  <si>
    <r>
      <rPr>
        <sz val="10"/>
        <rFont val="宋体"/>
        <charset val="134"/>
      </rPr>
      <t>罗宾斯</t>
    </r>
    <r>
      <rPr>
        <sz val="10"/>
        <rFont val="Arial"/>
        <charset val="134"/>
      </rPr>
      <t>EPB340/345</t>
    </r>
    <r>
      <rPr>
        <sz val="10"/>
        <rFont val="宋体"/>
        <charset val="134"/>
      </rPr>
      <t>盾构机扩径</t>
    </r>
  </si>
  <si>
    <t>T11CG-2020-WX-DGGLZX-08</t>
  </si>
  <si>
    <t>DG726/727</t>
  </si>
  <si>
    <t>铁伊铁路</t>
  </si>
  <si>
    <t>CR2201-SW-BB-SBCG-2021-003</t>
  </si>
  <si>
    <t>G020320135</t>
  </si>
  <si>
    <t>中铁二十五局集团第三工程有限公司昌景黄项目</t>
  </si>
  <si>
    <t>三物设合(2020)-公司-购07</t>
  </si>
  <si>
    <t>G020219005/G020219008</t>
  </si>
  <si>
    <t>沈白高铁吉林段TJ-4标</t>
  </si>
  <si>
    <t>CR15G-SBGT4B-SBCG-202108-004</t>
  </si>
  <si>
    <t>G020321106/G020321107/G020321108/G020321109/G020320094/G020320093</t>
  </si>
  <si>
    <t>中铁十二局集团第三工程有限公司从化至黄埔高速从化项目部G020320063/64</t>
  </si>
  <si>
    <t>从化至黄埔高速</t>
  </si>
  <si>
    <t>公司设备-2020-035</t>
  </si>
  <si>
    <t>G020320063/64</t>
  </si>
  <si>
    <t>中亿丰建设集团股份有限公司</t>
  </si>
  <si>
    <t>苏州S1线</t>
  </si>
  <si>
    <t>ZYFJS-ZGTJZG-201901</t>
  </si>
  <si>
    <t>DZ692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</si>
</sst>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m/d;@"/>
    <numFmt numFmtId="178" formatCode="0_ "/>
    <numFmt numFmtId="179" formatCode="0.00_ "/>
    <numFmt numFmtId="180" formatCode="0&quot;.&quot;0,&quot;万&quot;"/>
    <numFmt numFmtId="181" formatCode="#,##0.00_ "/>
    <numFmt numFmtId="182" formatCode="0.0%"/>
  </numFmts>
  <fonts count="49">
    <font>
      <sz val="11"/>
      <color theme="1"/>
      <name val="宋体"/>
      <charset val="134"/>
      <scheme val="minor"/>
    </font>
    <font>
      <b/>
      <sz val="10"/>
      <name val="宋体"/>
      <charset val="134"/>
    </font>
    <font>
      <b/>
      <sz val="10"/>
      <name val="Arial"/>
      <charset val="134"/>
    </font>
    <font>
      <sz val="10"/>
      <name val="Arial"/>
      <charset val="134"/>
    </font>
    <font>
      <sz val="10"/>
      <name val="宋体"/>
      <charset val="134"/>
    </font>
    <font>
      <sz val="10"/>
      <color theme="1"/>
      <name val="宋体"/>
      <charset val="134"/>
    </font>
    <font>
      <sz val="10"/>
      <color theme="1"/>
      <name val="Arial"/>
      <charset val="134"/>
    </font>
    <font>
      <sz val="9"/>
      <name val="宋体"/>
      <charset val="134"/>
      <scheme val="minor"/>
    </font>
    <font>
      <sz val="9"/>
      <color indexed="8"/>
      <name val="宋体"/>
      <charset val="0"/>
      <scheme val="minor"/>
    </font>
    <font>
      <sz val="11"/>
      <name val="宋体"/>
      <charset val="134"/>
      <scheme val="minor"/>
    </font>
    <font>
      <sz val="10"/>
      <name val="宋体"/>
      <charset val="134"/>
      <scheme val="minor"/>
    </font>
    <font>
      <b/>
      <sz val="11"/>
      <color theme="1"/>
      <name val="宋体"/>
      <charset val="134"/>
      <scheme val="minor"/>
    </font>
    <font>
      <b/>
      <sz val="14"/>
      <name val="微软雅黑"/>
      <charset val="134"/>
    </font>
    <font>
      <b/>
      <sz val="14"/>
      <color theme="1"/>
      <name val="微软雅黑"/>
      <charset val="134"/>
    </font>
    <font>
      <sz val="14"/>
      <color theme="1"/>
      <name val="微软雅黑"/>
      <charset val="134"/>
    </font>
    <font>
      <sz val="14"/>
      <color indexed="8"/>
      <name val="微软雅黑"/>
      <charset val="134"/>
    </font>
    <font>
      <sz val="14"/>
      <name val="微软雅黑"/>
      <charset val="134"/>
    </font>
    <font>
      <sz val="10.5"/>
      <color rgb="FF333333"/>
      <name val="Arial"/>
      <charset val="134"/>
    </font>
    <font>
      <sz val="11"/>
      <color theme="1"/>
      <name val="微软雅黑"/>
      <charset val="134"/>
    </font>
    <font>
      <sz val="11"/>
      <name val="微软雅黑"/>
      <charset val="134"/>
    </font>
    <font>
      <b/>
      <sz val="10"/>
      <name val="微软雅黑"/>
      <charset val="134"/>
    </font>
    <font>
      <b/>
      <sz val="14"/>
      <color theme="1"/>
      <name val="宋体"/>
      <charset val="134"/>
      <scheme val="minor"/>
    </font>
    <font>
      <sz val="14"/>
      <name val="微软雅黑"/>
      <charset val="1"/>
    </font>
    <font>
      <sz val="10"/>
      <name val="微软雅黑"/>
      <charset val="134"/>
    </font>
    <font>
      <sz val="14"/>
      <color indexed="8"/>
      <name val="微软雅黑"/>
      <charset val="0"/>
    </font>
    <font>
      <sz val="14"/>
      <color rgb="FFFF0000"/>
      <name val="微软雅黑"/>
      <charset val="134"/>
    </font>
    <font>
      <sz val="14"/>
      <name val="微软雅黑"/>
      <charset val="0"/>
    </font>
    <font>
      <sz val="14"/>
      <color theme="1"/>
      <name val="仿宋"/>
      <charset val="134"/>
    </font>
    <font>
      <sz val="9.75"/>
      <color rgb="FF293A58"/>
      <name val="Microsoft yahei"/>
      <charset val="134"/>
    </font>
    <font>
      <b/>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tint="-0.15"/>
        <bgColor indexed="64"/>
      </patternFill>
    </fill>
    <fill>
      <patternFill patternType="solid">
        <fgColor rgb="FFFFFF0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5" borderId="12"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3" applyNumberFormat="0" applyFill="0" applyAlignment="0" applyProtection="0">
      <alignment vertical="center"/>
    </xf>
    <xf numFmtId="0" fontId="36" fillId="0" borderId="13" applyNumberFormat="0" applyFill="0" applyAlignment="0" applyProtection="0">
      <alignment vertical="center"/>
    </xf>
    <xf numFmtId="0" fontId="37" fillId="0" borderId="14" applyNumberFormat="0" applyFill="0" applyAlignment="0" applyProtection="0">
      <alignment vertical="center"/>
    </xf>
    <xf numFmtId="0" fontId="37" fillId="0" borderId="0" applyNumberFormat="0" applyFill="0" applyBorder="0" applyAlignment="0" applyProtection="0">
      <alignment vertical="center"/>
    </xf>
    <xf numFmtId="0" fontId="38" fillId="6" borderId="15" applyNumberFormat="0" applyAlignment="0" applyProtection="0">
      <alignment vertical="center"/>
    </xf>
    <xf numFmtId="0" fontId="39" fillId="7" borderId="16" applyNumberFormat="0" applyAlignment="0" applyProtection="0">
      <alignment vertical="center"/>
    </xf>
    <xf numFmtId="0" fontId="40" fillId="7" borderId="15" applyNumberFormat="0" applyAlignment="0" applyProtection="0">
      <alignment vertical="center"/>
    </xf>
    <xf numFmtId="0" fontId="41" fillId="8" borderId="17" applyNumberFormat="0" applyAlignment="0" applyProtection="0">
      <alignment vertical="center"/>
    </xf>
    <xf numFmtId="0" fontId="42" fillId="0" borderId="18" applyNumberFormat="0" applyFill="0" applyAlignment="0" applyProtection="0">
      <alignment vertical="center"/>
    </xf>
    <xf numFmtId="0" fontId="43" fillId="0" borderId="19" applyNumberFormat="0" applyFill="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8"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xf numFmtId="0" fontId="0" fillId="0" borderId="0">
      <alignment vertical="center"/>
    </xf>
    <xf numFmtId="0" fontId="3" fillId="0" borderId="0"/>
  </cellStyleXfs>
  <cellXfs count="189">
    <xf numFmtId="0" fontId="0" fillId="0" borderId="0" xfId="0">
      <alignment vertical="center"/>
    </xf>
    <xf numFmtId="0" fontId="1" fillId="0" borderId="1" xfId="49" applyNumberFormat="1" applyFont="1" applyFill="1" applyBorder="1" applyAlignment="1">
      <alignment horizontal="center" vertical="center" wrapText="1"/>
    </xf>
    <xf numFmtId="176" fontId="1" fillId="0" borderId="1" xfId="49" applyNumberFormat="1" applyFont="1" applyFill="1" applyBorder="1" applyAlignment="1">
      <alignment horizontal="center" vertical="center" wrapText="1"/>
    </xf>
    <xf numFmtId="177" fontId="1" fillId="0" borderId="1" xfId="49"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0" fillId="0" borderId="1" xfId="0" applyFill="1" applyBorder="1" applyAlignment="1">
      <alignment horizontal="center" vertical="center"/>
    </xf>
    <xf numFmtId="9" fontId="1" fillId="0" borderId="1" xfId="3" applyFont="1" applyFill="1" applyBorder="1" applyAlignment="1">
      <alignment horizontal="center" vertical="center" wrapText="1"/>
    </xf>
    <xf numFmtId="178" fontId="1" fillId="0" borderId="1" xfId="0" applyNumberFormat="1" applyFont="1" applyFill="1" applyBorder="1" applyAlignment="1">
      <alignment horizontal="center" vertical="center" wrapText="1" shrinkToFit="1"/>
    </xf>
    <xf numFmtId="0" fontId="1" fillId="0" borderId="1" xfId="0" applyNumberFormat="1" applyFont="1" applyFill="1" applyBorder="1" applyAlignment="1">
      <alignment horizontal="center" vertical="center" wrapText="1" shrinkToFit="1"/>
    </xf>
    <xf numFmtId="0" fontId="2" fillId="0" borderId="1" xfId="49" applyNumberFormat="1" applyFont="1" applyFill="1" applyBorder="1" applyAlignment="1">
      <alignment horizontal="center" vertical="center" wrapText="1"/>
    </xf>
    <xf numFmtId="176" fontId="2" fillId="0" borderId="1" xfId="49" applyNumberFormat="1" applyFont="1" applyFill="1" applyBorder="1" applyAlignment="1">
      <alignment horizontal="center" vertical="center" wrapText="1"/>
    </xf>
    <xf numFmtId="177" fontId="2" fillId="0" borderId="1" xfId="49" applyNumberFormat="1" applyFont="1" applyFill="1" applyBorder="1" applyAlignment="1">
      <alignment horizontal="center" vertical="center" wrapText="1"/>
    </xf>
    <xf numFmtId="9" fontId="2" fillId="0" borderId="1" xfId="3"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179" fontId="1" fillId="0" borderId="1" xfId="3"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wrapText="1" shrinkToFit="1"/>
    </xf>
    <xf numFmtId="0" fontId="3" fillId="0" borderId="1" xfId="49" applyNumberFormat="1" applyFont="1" applyFill="1" applyBorder="1" applyAlignment="1">
      <alignment horizontal="center" vertical="center" wrapText="1"/>
    </xf>
    <xf numFmtId="176" fontId="3" fillId="0" borderId="1" xfId="1" applyNumberFormat="1" applyFont="1" applyFill="1" applyBorder="1" applyAlignment="1">
      <alignment horizontal="center" vertical="center" wrapText="1" shrinkToFit="1"/>
    </xf>
    <xf numFmtId="177" fontId="3" fillId="0" borderId="1" xfId="0" applyNumberFormat="1" applyFont="1" applyFill="1" applyBorder="1" applyAlignment="1">
      <alignment horizontal="center" vertical="center"/>
    </xf>
    <xf numFmtId="0" fontId="3" fillId="0" borderId="1" xfId="1" applyNumberFormat="1" applyFont="1" applyFill="1" applyBorder="1" applyAlignment="1">
      <alignment horizontal="center" vertical="center" wrapText="1" shrinkToFit="1"/>
    </xf>
    <xf numFmtId="9" fontId="3" fillId="0" borderId="1" xfId="3" applyFont="1" applyFill="1" applyBorder="1" applyAlignment="1">
      <alignment horizontal="center" vertical="center" wrapText="1"/>
    </xf>
    <xf numFmtId="179" fontId="3" fillId="0" borderId="1" xfId="3" applyNumberFormat="1" applyFont="1" applyFill="1" applyBorder="1" applyAlignment="1">
      <alignment horizontal="center" vertical="center" wrapText="1"/>
    </xf>
    <xf numFmtId="9" fontId="3" fillId="0" borderId="1" xfId="3"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wrapText="1"/>
    </xf>
    <xf numFmtId="9" fontId="3" fillId="0" borderId="1" xfId="0" applyNumberFormat="1" applyFont="1" applyFill="1" applyBorder="1" applyAlignment="1">
      <alignment horizontal="center" vertical="center" wrapText="1"/>
    </xf>
    <xf numFmtId="0" fontId="3" fillId="0" borderId="1" xfId="3"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wrapText="1"/>
    </xf>
    <xf numFmtId="0" fontId="3" fillId="0" borderId="1" xfId="50" applyNumberFormat="1" applyFont="1" applyFill="1" applyBorder="1" applyAlignment="1">
      <alignment horizontal="center" vertical="center" wrapText="1"/>
    </xf>
    <xf numFmtId="0" fontId="4" fillId="0" borderId="1" xfId="50" applyNumberFormat="1" applyFont="1" applyFill="1" applyBorder="1" applyAlignment="1">
      <alignment horizontal="center" vertical="center" wrapText="1"/>
    </xf>
    <xf numFmtId="0" fontId="3" fillId="0" borderId="1" xfId="49" applyNumberFormat="1" applyFont="1" applyFill="1" applyBorder="1" applyAlignment="1" applyProtection="1">
      <alignment horizontal="center" vertical="center" wrapText="1"/>
    </xf>
    <xf numFmtId="0" fontId="4" fillId="0" borderId="1" xfId="0" applyNumberFormat="1" applyFont="1" applyFill="1" applyBorder="1" applyAlignment="1">
      <alignment horizontal="center" vertical="center" wrapText="1"/>
    </xf>
    <xf numFmtId="9" fontId="4" fillId="0" borderId="1" xfId="3" applyFont="1" applyFill="1" applyBorder="1" applyAlignment="1">
      <alignment horizontal="center" vertical="center" wrapText="1"/>
    </xf>
    <xf numFmtId="9" fontId="3" fillId="0" borderId="1" xfId="3" applyFont="1" applyFill="1" applyBorder="1" applyAlignment="1" applyProtection="1">
      <alignment horizontal="center" vertical="center" wrapText="1"/>
    </xf>
    <xf numFmtId="9" fontId="4" fillId="0" borderId="1" xfId="3" applyFont="1" applyFill="1" applyBorder="1" applyAlignment="1" applyProtection="1">
      <alignment horizontal="center" vertical="center" wrapText="1"/>
    </xf>
    <xf numFmtId="9" fontId="3" fillId="0" borderId="1" xfId="3" applyNumberFormat="1" applyFont="1" applyFill="1" applyBorder="1" applyAlignment="1" applyProtection="1">
      <alignment horizontal="center" vertical="center" wrapText="1"/>
    </xf>
    <xf numFmtId="0" fontId="4" fillId="0" borderId="1" xfId="1" applyNumberFormat="1" applyFont="1" applyFill="1" applyBorder="1" applyAlignment="1">
      <alignment horizontal="center" vertical="center" wrapText="1" shrinkToFit="1"/>
    </xf>
    <xf numFmtId="0" fontId="5" fillId="0" borderId="1" xfId="0" applyNumberFormat="1" applyFont="1" applyFill="1" applyBorder="1" applyAlignment="1">
      <alignment horizontal="center" vertical="center" wrapText="1"/>
    </xf>
    <xf numFmtId="176" fontId="6" fillId="0" borderId="1" xfId="1" applyNumberFormat="1" applyFont="1" applyFill="1" applyBorder="1" applyAlignment="1">
      <alignment horizontal="center" vertical="center" wrapText="1" shrinkToFit="1"/>
    </xf>
    <xf numFmtId="177" fontId="5"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179" fontId="4" fillId="0" borderId="1" xfId="3" applyNumberFormat="1" applyFont="1" applyFill="1" applyBorder="1" applyAlignment="1">
      <alignment horizontal="center" vertical="center" wrapText="1"/>
    </xf>
    <xf numFmtId="49" fontId="8" fillId="0" borderId="1" xfId="0" applyNumberFormat="1" applyFont="1" applyFill="1" applyBorder="1" applyAlignment="1" applyProtection="1">
      <alignment horizontal="center" vertical="center" wrapText="1"/>
      <protection locked="0"/>
    </xf>
    <xf numFmtId="176" fontId="3" fillId="0" borderId="1" xfId="1" applyNumberFormat="1" applyFont="1" applyFill="1" applyBorder="1" applyAlignment="1">
      <alignment horizontal="center" vertical="center" wrapText="1"/>
    </xf>
    <xf numFmtId="0" fontId="0" fillId="0" borderId="1" xfId="0" applyFill="1" applyBorder="1">
      <alignment vertical="center"/>
    </xf>
    <xf numFmtId="9" fontId="4" fillId="0" borderId="1" xfId="3" applyNumberFormat="1" applyFont="1" applyFill="1" applyBorder="1" applyAlignment="1" applyProtection="1">
      <alignment horizontal="center" vertical="center" wrapText="1"/>
    </xf>
    <xf numFmtId="0" fontId="9" fillId="0" borderId="1" xfId="0" applyFont="1" applyFill="1" applyBorder="1">
      <alignment vertical="center"/>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80" fontId="3" fillId="0" borderId="1" xfId="1"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4" fillId="0" borderId="1" xfId="3" applyNumberFormat="1"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78" fontId="0" fillId="0" borderId="1" xfId="0" applyNumberFormat="1" applyBorder="1" applyAlignment="1">
      <alignment horizontal="center" vertical="center"/>
    </xf>
    <xf numFmtId="178" fontId="0" fillId="0" borderId="0" xfId="0" applyNumberFormat="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11" fillId="0" borderId="0" xfId="0" applyFont="1" applyAlignment="1">
      <alignment horizontal="center" vertical="center"/>
    </xf>
    <xf numFmtId="0" fontId="0" fillId="0" borderId="0" xfId="0" applyFill="1" applyAlignment="1">
      <alignment horizontal="center" vertical="center" wrapText="1"/>
    </xf>
    <xf numFmtId="0" fontId="12" fillId="0" borderId="1" xfId="49"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0" fontId="13" fillId="0" borderId="4" xfId="0" applyFont="1" applyFill="1" applyBorder="1" applyAlignment="1">
      <alignment horizontal="center" vertical="center"/>
    </xf>
    <xf numFmtId="0" fontId="13" fillId="0" borderId="5" xfId="0" applyFont="1" applyFill="1" applyBorder="1" applyAlignment="1">
      <alignment horizontal="center" vertical="center"/>
    </xf>
    <xf numFmtId="178" fontId="12" fillId="0" borderId="2" xfId="0" applyNumberFormat="1" applyFont="1" applyFill="1" applyBorder="1" applyAlignment="1">
      <alignment horizontal="center" vertical="center" wrapText="1" shrinkToFit="1"/>
    </xf>
    <xf numFmtId="178" fontId="12" fillId="0" borderId="3" xfId="0" applyNumberFormat="1" applyFont="1" applyFill="1" applyBorder="1" applyAlignment="1">
      <alignment vertical="center" wrapText="1" shrinkToFit="1"/>
    </xf>
    <xf numFmtId="0" fontId="12" fillId="0" borderId="1" xfId="0" applyNumberFormat="1" applyFont="1" applyFill="1" applyBorder="1" applyAlignment="1">
      <alignment horizontal="center" vertical="center" wrapText="1" shrinkToFit="1"/>
    </xf>
    <xf numFmtId="0" fontId="13" fillId="0" borderId="6"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1" xfId="0" applyFont="1" applyFill="1" applyBorder="1" applyAlignment="1">
      <alignment horizontal="center" vertical="center"/>
    </xf>
    <xf numFmtId="9" fontId="12" fillId="0" borderId="1" xfId="3" applyFont="1" applyFill="1" applyBorder="1" applyAlignment="1">
      <alignment horizontal="center" vertical="center" wrapText="1"/>
    </xf>
    <xf numFmtId="178" fontId="12" fillId="0" borderId="1" xfId="0" applyNumberFormat="1" applyFont="1" applyFill="1" applyBorder="1" applyAlignment="1">
      <alignment vertical="center" wrapText="1" shrinkToFit="1"/>
    </xf>
    <xf numFmtId="0" fontId="12" fillId="0" borderId="1" xfId="0" applyNumberFormat="1" applyFont="1" applyFill="1" applyBorder="1" applyAlignment="1">
      <alignment horizontal="center" vertical="center" wrapText="1"/>
    </xf>
    <xf numFmtId="179" fontId="12" fillId="0" borderId="1" xfId="3"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4" fontId="14" fillId="0" borderId="1" xfId="0" applyNumberFormat="1" applyFont="1" applyFill="1" applyBorder="1" applyAlignment="1">
      <alignment horizontal="center" vertical="center" wrapText="1"/>
    </xf>
    <xf numFmtId="9" fontId="14" fillId="0" borderId="1" xfId="0" applyNumberFormat="1" applyFont="1" applyFill="1" applyBorder="1" applyAlignment="1">
      <alignment horizontal="center" vertical="center" wrapText="1"/>
    </xf>
    <xf numFmtId="179" fontId="16" fillId="0" borderId="1" xfId="3" applyNumberFormat="1" applyFont="1" applyFill="1" applyBorder="1" applyAlignment="1">
      <alignment horizontal="center" vertical="center" wrapText="1"/>
    </xf>
    <xf numFmtId="9" fontId="16" fillId="0" borderId="1" xfId="3" applyNumberFormat="1" applyFont="1" applyFill="1" applyBorder="1" applyAlignment="1">
      <alignment horizontal="center" vertical="center" wrapText="1"/>
    </xf>
    <xf numFmtId="0" fontId="16" fillId="0" borderId="1" xfId="0" applyNumberFormat="1" applyFont="1" applyFill="1" applyBorder="1" applyAlignment="1">
      <alignment horizontal="center" vertical="center" wrapText="1"/>
    </xf>
    <xf numFmtId="9" fontId="16" fillId="0" borderId="1" xfId="3" applyFont="1" applyFill="1" applyBorder="1" applyAlignment="1">
      <alignment horizontal="center" vertical="center" wrapText="1"/>
    </xf>
    <xf numFmtId="0" fontId="16" fillId="0" borderId="1" xfId="0" applyNumberFormat="1" applyFont="1" applyFill="1" applyBorder="1" applyAlignment="1">
      <alignment horizontal="center" vertical="center" wrapText="1" shrinkToFit="1"/>
    </xf>
    <xf numFmtId="4" fontId="16"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176" fontId="16" fillId="0" borderId="1" xfId="1" applyNumberFormat="1" applyFont="1" applyFill="1" applyBorder="1" applyAlignment="1">
      <alignment horizontal="center" vertical="center" wrapText="1" shrinkToFit="1"/>
    </xf>
    <xf numFmtId="4" fontId="17" fillId="0" borderId="0" xfId="0" applyNumberFormat="1" applyFont="1">
      <alignment vertical="center"/>
    </xf>
    <xf numFmtId="0" fontId="3" fillId="0" borderId="0" xfId="0" applyFont="1" applyFill="1" applyAlignment="1">
      <alignment vertical="top"/>
    </xf>
    <xf numFmtId="179" fontId="3" fillId="0" borderId="0" xfId="0" applyNumberFormat="1" applyFont="1" applyFill="1" applyAlignment="1">
      <alignment vertical="top"/>
    </xf>
    <xf numFmtId="176" fontId="1" fillId="0" borderId="7" xfId="0" applyNumberFormat="1" applyFont="1" applyFill="1" applyBorder="1" applyAlignment="1">
      <alignment horizontal="center" vertical="center" wrapText="1"/>
    </xf>
    <xf numFmtId="176" fontId="1" fillId="0" borderId="8" xfId="0" applyNumberFormat="1" applyFont="1" applyFill="1" applyBorder="1" applyAlignment="1">
      <alignment horizontal="center" vertical="center" wrapText="1"/>
    </xf>
    <xf numFmtId="176" fontId="1" fillId="0" borderId="9" xfId="0" applyNumberFormat="1" applyFont="1" applyFill="1" applyBorder="1" applyAlignment="1">
      <alignment horizontal="center" vertical="center" wrapText="1"/>
    </xf>
    <xf numFmtId="178" fontId="3" fillId="0" borderId="1" xfId="3" applyNumberFormat="1" applyFont="1" applyFill="1" applyBorder="1" applyAlignment="1">
      <alignment horizontal="center" vertical="center" wrapText="1"/>
    </xf>
    <xf numFmtId="0" fontId="18" fillId="0" borderId="0" xfId="0" applyFont="1" applyFill="1" applyAlignment="1">
      <alignment horizontal="center" vertical="center"/>
    </xf>
    <xf numFmtId="0" fontId="18" fillId="3" borderId="0" xfId="0" applyFont="1" applyFill="1" applyAlignment="1">
      <alignment horizontal="center" vertical="center"/>
    </xf>
    <xf numFmtId="0" fontId="19" fillId="0" borderId="0" xfId="0" applyFont="1" applyFill="1" applyAlignment="1">
      <alignment horizontal="center" vertical="center"/>
    </xf>
    <xf numFmtId="0" fontId="3" fillId="0" borderId="0" xfId="0" applyFont="1" applyFill="1" applyAlignment="1">
      <alignment horizontal="center" vertical="top"/>
    </xf>
    <xf numFmtId="176" fontId="12" fillId="0" borderId="7" xfId="0" applyNumberFormat="1"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 xfId="0" applyFont="1" applyFill="1" applyBorder="1" applyAlignment="1">
      <alignment horizontal="center" vertical="center"/>
    </xf>
    <xf numFmtId="0" fontId="20" fillId="0" borderId="1" xfId="0" applyNumberFormat="1" applyFont="1" applyFill="1" applyBorder="1" applyAlignment="1">
      <alignment horizontal="center" vertical="center" wrapText="1" shrinkToFit="1"/>
    </xf>
    <xf numFmtId="0" fontId="18" fillId="0" borderId="0" xfId="0" applyFont="1">
      <alignment vertical="center"/>
    </xf>
    <xf numFmtId="176" fontId="12" fillId="0" borderId="9" xfId="0" applyNumberFormat="1" applyFont="1" applyFill="1" applyBorder="1" applyAlignment="1">
      <alignment horizontal="center" vertical="center" wrapText="1"/>
    </xf>
    <xf numFmtId="0" fontId="21" fillId="2" borderId="1" xfId="0" applyFont="1" applyFill="1" applyBorder="1" applyAlignment="1">
      <alignment horizontal="center" vertical="center"/>
    </xf>
    <xf numFmtId="178" fontId="12" fillId="0" borderId="1" xfId="0" applyNumberFormat="1" applyFont="1" applyFill="1" applyBorder="1" applyAlignment="1">
      <alignment horizontal="center" vertical="center" wrapText="1" shrinkToFit="1"/>
    </xf>
    <xf numFmtId="0" fontId="20" fillId="0" borderId="1" xfId="0" applyNumberFormat="1" applyFont="1" applyFill="1" applyBorder="1" applyAlignment="1">
      <alignment horizontal="center" vertical="center" wrapText="1"/>
    </xf>
    <xf numFmtId="9" fontId="20" fillId="0" borderId="1" xfId="3" applyFont="1" applyFill="1" applyBorder="1" applyAlignment="1">
      <alignment horizontal="center" vertical="center" wrapText="1"/>
    </xf>
    <xf numFmtId="179" fontId="20" fillId="0" borderId="1" xfId="3" applyNumberFormat="1" applyFont="1" applyFill="1" applyBorder="1" applyAlignment="1">
      <alignment horizontal="center" vertical="center" wrapText="1"/>
    </xf>
    <xf numFmtId="0" fontId="16" fillId="0" borderId="1" xfId="0" applyFont="1" applyFill="1" applyBorder="1" applyAlignment="1">
      <alignment horizontal="center" vertical="center" wrapText="1"/>
    </xf>
    <xf numFmtId="181" fontId="22" fillId="0" borderId="1" xfId="0" applyNumberFormat="1" applyFont="1" applyFill="1" applyBorder="1" applyAlignment="1">
      <alignment horizontal="center" vertical="center" wrapText="1"/>
    </xf>
    <xf numFmtId="43" fontId="16" fillId="0" borderId="1" xfId="1" applyFont="1" applyFill="1" applyBorder="1" applyAlignment="1" applyProtection="1">
      <alignment horizontal="center" vertical="center" wrapText="1" shrinkToFit="1"/>
      <protection locked="0"/>
    </xf>
    <xf numFmtId="41" fontId="16" fillId="0" borderId="1" xfId="1" applyNumberFormat="1" applyFont="1" applyFill="1" applyBorder="1" applyAlignment="1">
      <alignment horizontal="center" vertical="center" wrapText="1" shrinkToFit="1"/>
    </xf>
    <xf numFmtId="176" fontId="16" fillId="0" borderId="2" xfId="1" applyNumberFormat="1" applyFont="1" applyFill="1" applyBorder="1" applyAlignment="1">
      <alignment horizontal="center" vertical="center" wrapText="1" shrinkToFit="1"/>
    </xf>
    <xf numFmtId="178" fontId="16" fillId="0" borderId="1" xfId="3" applyNumberFormat="1" applyFont="1" applyFill="1" applyBorder="1" applyAlignment="1">
      <alignment horizontal="center" vertical="center" wrapText="1"/>
    </xf>
    <xf numFmtId="0" fontId="18" fillId="0" borderId="1" xfId="0" applyFont="1" applyFill="1" applyBorder="1" applyAlignment="1">
      <alignment horizontal="center" vertical="center"/>
    </xf>
    <xf numFmtId="9" fontId="18" fillId="0" borderId="1" xfId="0" applyNumberFormat="1" applyFont="1" applyFill="1" applyBorder="1" applyAlignment="1">
      <alignment horizontal="center" vertical="center"/>
    </xf>
    <xf numFmtId="9" fontId="18" fillId="0" borderId="0" xfId="0" applyNumberFormat="1" applyFont="1" applyFill="1" applyAlignment="1">
      <alignment horizontal="center" vertical="center"/>
    </xf>
    <xf numFmtId="0" fontId="16" fillId="0" borderId="1" xfId="49" applyNumberFormat="1" applyFont="1" applyFill="1" applyBorder="1" applyAlignment="1">
      <alignment horizontal="center" vertical="center" wrapText="1"/>
    </xf>
    <xf numFmtId="43" fontId="22" fillId="0" borderId="1" xfId="1" applyFont="1" applyFill="1" applyBorder="1" applyAlignment="1" applyProtection="1">
      <alignment horizontal="center" vertical="center" wrapText="1"/>
      <protection locked="0"/>
    </xf>
    <xf numFmtId="179" fontId="23" fillId="0" borderId="1" xfId="3" applyNumberFormat="1" applyFont="1" applyFill="1" applyBorder="1" applyAlignment="1">
      <alignment horizontal="center" vertical="center" wrapText="1"/>
    </xf>
    <xf numFmtId="49" fontId="24" fillId="0" borderId="1" xfId="0" applyNumberFormat="1" applyFont="1" applyFill="1" applyBorder="1" applyAlignment="1" applyProtection="1">
      <alignment horizontal="center" vertical="center" wrapText="1"/>
      <protection locked="0"/>
    </xf>
    <xf numFmtId="179" fontId="16" fillId="0" borderId="1" xfId="0" applyNumberFormat="1" applyFont="1" applyFill="1" applyBorder="1" applyAlignment="1">
      <alignment horizontal="center" vertical="center" wrapText="1" shrinkToFit="1"/>
    </xf>
    <xf numFmtId="9" fontId="16" fillId="0" borderId="9" xfId="3" applyNumberFormat="1" applyFont="1" applyFill="1" applyBorder="1" applyAlignment="1">
      <alignment horizontal="center" vertical="center" wrapText="1"/>
    </xf>
    <xf numFmtId="0" fontId="16" fillId="0" borderId="9" xfId="0" applyNumberFormat="1" applyFont="1" applyFill="1" applyBorder="1" applyAlignment="1">
      <alignment horizontal="center" vertical="center" wrapText="1" shrinkToFit="1"/>
    </xf>
    <xf numFmtId="4" fontId="16" fillId="0" borderId="1" xfId="1" applyNumberFormat="1" applyFont="1" applyFill="1" applyBorder="1" applyAlignment="1">
      <alignment horizontal="center" vertical="center" wrapText="1" shrinkToFit="1"/>
    </xf>
    <xf numFmtId="0" fontId="16" fillId="3" borderId="1" xfId="0" applyNumberFormat="1" applyFont="1" applyFill="1" applyBorder="1" applyAlignment="1">
      <alignment horizontal="center" vertical="center" wrapText="1"/>
    </xf>
    <xf numFmtId="0" fontId="16" fillId="3" borderId="9" xfId="0" applyNumberFormat="1" applyFont="1" applyFill="1" applyBorder="1" applyAlignment="1">
      <alignment horizontal="center" vertical="center" wrapText="1" shrinkToFit="1"/>
    </xf>
    <xf numFmtId="49" fontId="24" fillId="3" borderId="1" xfId="0" applyNumberFormat="1" applyFont="1" applyFill="1" applyBorder="1" applyAlignment="1" applyProtection="1">
      <alignment horizontal="center" vertical="center" wrapText="1"/>
      <protection locked="0"/>
    </xf>
    <xf numFmtId="0" fontId="16" fillId="3" borderId="1" xfId="0" applyFont="1" applyFill="1" applyBorder="1" applyAlignment="1">
      <alignment horizontal="center" vertical="center" wrapText="1"/>
    </xf>
    <xf numFmtId="43" fontId="16" fillId="3" borderId="1" xfId="1" applyFont="1" applyFill="1" applyBorder="1" applyAlignment="1" applyProtection="1">
      <alignment horizontal="center" vertical="center" wrapText="1" shrinkToFit="1"/>
      <protection locked="0"/>
    </xf>
    <xf numFmtId="4" fontId="16" fillId="3" borderId="1" xfId="1" applyNumberFormat="1" applyFont="1" applyFill="1" applyBorder="1" applyAlignment="1">
      <alignment horizontal="center" vertical="center" wrapText="1" shrinkToFit="1"/>
    </xf>
    <xf numFmtId="176" fontId="16" fillId="3" borderId="1" xfId="1" applyNumberFormat="1" applyFont="1" applyFill="1" applyBorder="1" applyAlignment="1">
      <alignment horizontal="center" vertical="center" wrapText="1" shrinkToFit="1"/>
    </xf>
    <xf numFmtId="176" fontId="16" fillId="3" borderId="2" xfId="1" applyNumberFormat="1" applyFont="1" applyFill="1" applyBorder="1" applyAlignment="1">
      <alignment horizontal="center" vertical="center" wrapText="1" shrinkToFit="1"/>
    </xf>
    <xf numFmtId="9" fontId="16" fillId="3" borderId="9" xfId="3" applyNumberFormat="1" applyFont="1" applyFill="1" applyBorder="1" applyAlignment="1">
      <alignment horizontal="center" vertical="center" wrapText="1"/>
    </xf>
    <xf numFmtId="178" fontId="16" fillId="3" borderId="1" xfId="3" applyNumberFormat="1" applyFont="1" applyFill="1" applyBorder="1" applyAlignment="1">
      <alignment horizontal="center" vertical="center" wrapText="1"/>
    </xf>
    <xf numFmtId="9" fontId="16" fillId="3" borderId="1" xfId="3" applyNumberFormat="1" applyFont="1" applyFill="1" applyBorder="1" applyAlignment="1">
      <alignment horizontal="center" vertical="center" wrapText="1"/>
    </xf>
    <xf numFmtId="179" fontId="16" fillId="3" borderId="1" xfId="3" applyNumberFormat="1" applyFont="1" applyFill="1" applyBorder="1" applyAlignment="1">
      <alignment horizontal="center" vertical="center" wrapText="1"/>
    </xf>
    <xf numFmtId="43" fontId="25" fillId="0" borderId="1" xfId="1" applyFont="1" applyFill="1" applyBorder="1" applyAlignment="1" applyProtection="1">
      <alignment horizontal="center" vertical="center" wrapText="1" shrinkToFit="1"/>
      <protection locked="0"/>
    </xf>
    <xf numFmtId="0" fontId="19" fillId="0" borderId="1" xfId="0" applyFont="1" applyFill="1" applyBorder="1" applyAlignment="1">
      <alignment horizontal="center" vertical="center"/>
    </xf>
    <xf numFmtId="9" fontId="19" fillId="0" borderId="1" xfId="0" applyNumberFormat="1" applyFont="1" applyFill="1" applyBorder="1" applyAlignment="1">
      <alignment horizontal="center" vertical="center"/>
    </xf>
    <xf numFmtId="41" fontId="16" fillId="0" borderId="1" xfId="1" applyNumberFormat="1" applyFont="1" applyFill="1" applyBorder="1" applyAlignment="1">
      <alignment vertical="center" wrapText="1" shrinkToFit="1"/>
    </xf>
    <xf numFmtId="0" fontId="16" fillId="0" borderId="1" xfId="0" applyFont="1" applyFill="1" applyBorder="1" applyAlignment="1">
      <alignment horizontal="center" vertical="center"/>
    </xf>
    <xf numFmtId="49" fontId="26" fillId="0" borderId="1" xfId="0" applyNumberFormat="1" applyFont="1" applyFill="1" applyBorder="1" applyAlignment="1" applyProtection="1">
      <alignment horizontal="center" vertical="center" wrapText="1"/>
      <protection locked="0"/>
    </xf>
    <xf numFmtId="4" fontId="16" fillId="0" borderId="1" xfId="1" applyNumberFormat="1" applyFont="1" applyFill="1" applyBorder="1" applyAlignment="1">
      <alignment vertical="center" wrapText="1" shrinkToFit="1"/>
    </xf>
    <xf numFmtId="3" fontId="27" fillId="0" borderId="1" xfId="0" applyNumberFormat="1" applyFont="1" applyFill="1" applyBorder="1" applyAlignment="1">
      <alignment horizontal="center" vertical="center"/>
    </xf>
    <xf numFmtId="10" fontId="16" fillId="0" borderId="1" xfId="0" applyNumberFormat="1" applyFont="1" applyFill="1" applyBorder="1" applyAlignment="1">
      <alignment horizontal="center" vertical="center"/>
    </xf>
    <xf numFmtId="179" fontId="16" fillId="0" borderId="1" xfId="0" applyNumberFormat="1" applyFont="1" applyFill="1" applyBorder="1" applyAlignment="1">
      <alignment horizontal="center" vertical="center"/>
    </xf>
    <xf numFmtId="0" fontId="16" fillId="3" borderId="1" xfId="0" applyNumberFormat="1" applyFont="1" applyFill="1" applyBorder="1" applyAlignment="1">
      <alignment horizontal="center" vertical="center" wrapText="1" shrinkToFit="1"/>
    </xf>
    <xf numFmtId="179" fontId="16" fillId="3" borderId="1" xfId="0" applyNumberFormat="1" applyFont="1" applyFill="1" applyBorder="1" applyAlignment="1">
      <alignment horizontal="center" vertical="center" wrapText="1" shrinkToFit="1"/>
    </xf>
    <xf numFmtId="181" fontId="22" fillId="3" borderId="1" xfId="0" applyNumberFormat="1" applyFont="1" applyFill="1" applyBorder="1" applyAlignment="1">
      <alignment horizontal="center" vertical="center" wrapText="1"/>
    </xf>
    <xf numFmtId="41" fontId="16" fillId="3" borderId="1" xfId="1" applyNumberFormat="1" applyFont="1" applyFill="1" applyBorder="1" applyAlignment="1">
      <alignment horizontal="center" vertical="center" wrapText="1" shrinkToFit="1"/>
    </xf>
    <xf numFmtId="3" fontId="27" fillId="3" borderId="1" xfId="0" applyNumberFormat="1" applyFont="1" applyFill="1" applyBorder="1" applyAlignment="1">
      <alignment horizontal="center" vertical="center"/>
    </xf>
    <xf numFmtId="0" fontId="16" fillId="3" borderId="1" xfId="0" applyFont="1" applyFill="1" applyBorder="1" applyAlignment="1">
      <alignment horizontal="center" vertical="center"/>
    </xf>
    <xf numFmtId="10" fontId="16" fillId="3" borderId="1" xfId="0" applyNumberFormat="1" applyFont="1" applyFill="1" applyBorder="1" applyAlignment="1">
      <alignment horizontal="center" vertical="center"/>
    </xf>
    <xf numFmtId="179" fontId="16" fillId="3" borderId="1" xfId="0" applyNumberFormat="1" applyFont="1" applyFill="1" applyBorder="1" applyAlignment="1">
      <alignment horizontal="center" vertical="center"/>
    </xf>
    <xf numFmtId="178" fontId="3" fillId="0" borderId="0" xfId="0" applyNumberFormat="1" applyFont="1" applyFill="1" applyAlignment="1">
      <alignment horizontal="center" vertical="top"/>
    </xf>
    <xf numFmtId="176" fontId="23" fillId="0" borderId="1" xfId="1" applyNumberFormat="1" applyFont="1" applyFill="1" applyBorder="1" applyAlignment="1">
      <alignment horizontal="center" vertical="center" wrapText="1" shrinkToFit="1"/>
    </xf>
    <xf numFmtId="0" fontId="3" fillId="0" borderId="0" xfId="0" applyFont="1" applyFill="1" applyAlignment="1">
      <alignment horizontal="center" vertical="center"/>
    </xf>
    <xf numFmtId="178" fontId="23" fillId="0" borderId="1" xfId="3" applyNumberFormat="1" applyFont="1" applyFill="1" applyBorder="1" applyAlignment="1">
      <alignment horizontal="center" vertical="center" wrapText="1"/>
    </xf>
    <xf numFmtId="0" fontId="28" fillId="0" borderId="0" xfId="0" applyFont="1" applyAlignment="1">
      <alignment horizontal="center" vertical="top" wrapText="1"/>
    </xf>
    <xf numFmtId="182" fontId="3" fillId="0" borderId="0" xfId="0" applyNumberFormat="1" applyFont="1" applyFill="1" applyAlignment="1">
      <alignment horizontal="center" vertical="top"/>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alignment horizontal="center" vertical="center"/>
    </xf>
    <xf numFmtId="0" fontId="29" fillId="0" borderId="11" xfId="0" applyFont="1" applyFill="1" applyBorder="1" applyAlignment="1">
      <alignment horizontal="center" vertical="center" wrapText="1"/>
    </xf>
    <xf numFmtId="0" fontId="29" fillId="0" borderId="0" xfId="0" applyFont="1" applyFill="1" applyAlignment="1">
      <alignment horizontal="center" vertical="center" wrapText="1"/>
    </xf>
    <xf numFmtId="0" fontId="0" fillId="0" borderId="0" xfId="0" applyFill="1" applyBorder="1" applyAlignment="1">
      <alignment vertical="center"/>
    </xf>
    <xf numFmtId="0" fontId="0" fillId="0" borderId="0" xfId="0" applyFill="1" applyAlignment="1">
      <alignment horizontal="right"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178" fontId="0" fillId="0" borderId="1" xfId="0" applyNumberFormat="1" applyFill="1" applyBorder="1" applyAlignment="1">
      <alignment horizontal="center" vertical="center" wrapText="1"/>
    </xf>
    <xf numFmtId="178" fontId="0" fillId="0" borderId="1" xfId="0" applyNumberFormat="1" applyFill="1" applyBorder="1" applyAlignment="1">
      <alignment horizontal="center" vertical="center"/>
    </xf>
    <xf numFmtId="182" fontId="0" fillId="0" borderId="1" xfId="0" applyNumberFormat="1" applyFill="1" applyBorder="1" applyAlignment="1">
      <alignment horizontal="center" vertical="center"/>
    </xf>
    <xf numFmtId="0" fontId="11" fillId="0" borderId="1" xfId="0" applyFont="1" applyFill="1" applyBorder="1" applyAlignment="1">
      <alignment horizontal="center" vertical="center"/>
    </xf>
    <xf numFmtId="178" fontId="11" fillId="0" borderId="1" xfId="0" applyNumberFormat="1" applyFont="1" applyFill="1" applyBorder="1" applyAlignment="1">
      <alignment horizontal="center" vertical="center"/>
    </xf>
    <xf numFmtId="10" fontId="11" fillId="0"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178" fontId="11" fillId="4" borderId="1" xfId="0" applyNumberFormat="1" applyFont="1" applyFill="1" applyBorder="1" applyAlignment="1">
      <alignment horizontal="center" vertical="center"/>
    </xf>
    <xf numFmtId="10" fontId="11" fillId="4"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0" fontId="11" fillId="4" borderId="1" xfId="0" applyFont="1" applyFill="1" applyBorder="1" applyAlignment="1">
      <alignment horizontal="center" vertical="center" wrapText="1"/>
    </xf>
    <xf numFmtId="10" fontId="0" fillId="4" borderId="1" xfId="0" applyNumberFormat="1" applyFill="1" applyBorder="1" applyAlignment="1">
      <alignment horizontal="center" vertical="center"/>
    </xf>
    <xf numFmtId="10" fontId="0" fillId="0" borderId="0" xfId="0" applyNumberFormat="1" applyFill="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5" xfId="50"/>
  </cellStyles>
  <dxfs count="3">
    <dxf>
      <fill>
        <patternFill patternType="solid">
          <bgColor rgb="FFFF9900"/>
        </patternFill>
      </fill>
    </dxf>
    <dxf>
      <border>
        <left style="thin">
          <color auto="1"/>
        </left>
        <right style="thin">
          <color auto="1"/>
        </right>
        <top style="thin">
          <color auto="1"/>
        </top>
        <bottom style="thin">
          <color auto="1"/>
        </bottom>
      </border>
    </dxf>
    <dxf>
      <fill>
        <patternFill patternType="solid">
          <bgColor rgb="FFFF0000"/>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eetMetadata" Target="metadata.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1326;&#19996;&#21306;&#22495;&#25351;&#25381;&#37096;&#26032;&#22686;&#36926;&#26399;&#65288;&#26356;&#26032;&#33267;3.31&#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总表"/>
      <sheetName val="华东区域指挥部主办逾期"/>
      <sheetName val="华东区域指挥部主办逾期 (含2021年已回完的项目)"/>
      <sheetName val="华东区域指挥协办逾期"/>
      <sheetName val="期末各单位逾期"/>
      <sheetName val="华东区域指挥协办逾期 (含2021年已回完的项目)"/>
    </sheetNames>
    <sheetDataSet>
      <sheetData sheetId="0"/>
      <sheetData sheetId="1">
        <row r="3">
          <cell r="C3" t="str">
            <v>中铁十八局集团市政工程有限公司</v>
          </cell>
        </row>
        <row r="3">
          <cell r="R3">
            <v>3043814.9</v>
          </cell>
        </row>
        <row r="4">
          <cell r="C4" t="str">
            <v>中铁十八局集团隧道工程有限公司</v>
          </cell>
        </row>
        <row r="4">
          <cell r="R4">
            <v>5655000</v>
          </cell>
        </row>
        <row r="5">
          <cell r="C5" t="str">
            <v>中铁十八局集团隧道工程有限公司</v>
          </cell>
        </row>
        <row r="5">
          <cell r="R5">
            <v>892500</v>
          </cell>
        </row>
        <row r="6">
          <cell r="C6" t="str">
            <v>中铁十八局集团隧道工程有限公司</v>
          </cell>
        </row>
        <row r="6">
          <cell r="R6">
            <v>0</v>
          </cell>
        </row>
        <row r="7">
          <cell r="C7" t="str">
            <v>中铁十六局集团地铁工程有限公司</v>
          </cell>
        </row>
        <row r="7">
          <cell r="R7">
            <v>5601500.8</v>
          </cell>
        </row>
        <row r="8">
          <cell r="C8" t="str">
            <v>中铁十一局轨道公司</v>
          </cell>
        </row>
        <row r="8">
          <cell r="R8">
            <v>0</v>
          </cell>
        </row>
        <row r="9">
          <cell r="C9" t="str">
            <v>中铁二十四局上海轨道公司</v>
          </cell>
        </row>
        <row r="9">
          <cell r="R9">
            <v>474109</v>
          </cell>
        </row>
        <row r="10">
          <cell r="C10" t="str">
            <v>中铁十二局集团第三工程有限公司</v>
          </cell>
        </row>
        <row r="10">
          <cell r="R10">
            <v>6583500</v>
          </cell>
        </row>
        <row r="11">
          <cell r="C11" t="str">
            <v>中铁十一局集团第四工程有限公司</v>
          </cell>
        </row>
        <row r="11">
          <cell r="R11">
            <v>735000</v>
          </cell>
        </row>
        <row r="12">
          <cell r="C12" t="str">
            <v>中铁十二局集团第三工程有限公司</v>
          </cell>
        </row>
        <row r="12">
          <cell r="R12">
            <v>5333300</v>
          </cell>
        </row>
        <row r="13">
          <cell r="C13" t="str">
            <v>中铁十六局集团北京轨道交通工程建设有限公司</v>
          </cell>
        </row>
        <row r="13">
          <cell r="R13">
            <v>0</v>
          </cell>
        </row>
        <row r="14">
          <cell r="C14" t="str">
            <v>中铁二十二局轨道公司</v>
          </cell>
        </row>
        <row r="14">
          <cell r="R14">
            <v>0</v>
          </cell>
        </row>
        <row r="15">
          <cell r="C15" t="str">
            <v>中铁建大桥局四公司</v>
          </cell>
        </row>
        <row r="15">
          <cell r="R15">
            <v>3291000</v>
          </cell>
        </row>
        <row r="16">
          <cell r="C16" t="str">
            <v>中铁十二局集团第四工程有限公司</v>
          </cell>
        </row>
        <row r="16">
          <cell r="R16">
            <v>9350500</v>
          </cell>
        </row>
        <row r="17">
          <cell r="C17" t="str">
            <v>中铁二十局集团第五工程有限公司</v>
          </cell>
        </row>
        <row r="17">
          <cell r="R17">
            <v>205800</v>
          </cell>
        </row>
        <row r="18">
          <cell r="C18" t="str">
            <v>中铁二十局集团第五工程有限公司</v>
          </cell>
        </row>
        <row r="18">
          <cell r="R18">
            <v>782040</v>
          </cell>
        </row>
        <row r="19">
          <cell r="C19" t="str">
            <v>浙江物产工程技术服务有限公司</v>
          </cell>
        </row>
        <row r="19">
          <cell r="R19">
            <v>560000</v>
          </cell>
        </row>
        <row r="20">
          <cell r="C20" t="str">
            <v>浙江物产工程技术服务有限公司</v>
          </cell>
        </row>
        <row r="20">
          <cell r="R20">
            <v>420000</v>
          </cell>
        </row>
        <row r="21">
          <cell r="C21" t="str">
            <v>中铁十八局集团隧道工程有限公司</v>
          </cell>
        </row>
        <row r="21">
          <cell r="R21">
            <v>2708930</v>
          </cell>
        </row>
        <row r="22">
          <cell r="C22" t="str">
            <v>中铁十五局集团第二工程有限公司</v>
          </cell>
        </row>
        <row r="22">
          <cell r="R22">
            <v>127000</v>
          </cell>
        </row>
        <row r="23">
          <cell r="C23" t="str">
            <v>上海地铁盾构设备工程有限公司</v>
          </cell>
        </row>
        <row r="23">
          <cell r="R23">
            <v>1708916</v>
          </cell>
        </row>
        <row r="24">
          <cell r="C24" t="str">
            <v>上海地铁盾构设备工程有限公司</v>
          </cell>
        </row>
        <row r="24">
          <cell r="R24">
            <v>3722239</v>
          </cell>
        </row>
        <row r="25">
          <cell r="C25" t="str">
            <v>中铁二十四局福建公司</v>
          </cell>
        </row>
        <row r="25">
          <cell r="R25">
            <v>44260000</v>
          </cell>
        </row>
        <row r="26">
          <cell r="C26" t="str">
            <v>中铁十四局隧道公司</v>
          </cell>
        </row>
        <row r="26">
          <cell r="R26">
            <v>25592000</v>
          </cell>
        </row>
        <row r="27">
          <cell r="C27" t="str">
            <v>中铁十四局集团第二工程有限公司</v>
          </cell>
        </row>
        <row r="27">
          <cell r="R27">
            <v>29890000</v>
          </cell>
        </row>
        <row r="28">
          <cell r="C28" t="str">
            <v>中铁十二局集团第四工程有限公司</v>
          </cell>
        </row>
        <row r="28">
          <cell r="R28">
            <v>784000</v>
          </cell>
        </row>
        <row r="29">
          <cell r="C29" t="str">
            <v>中铁十一局轨道公司</v>
          </cell>
        </row>
        <row r="29">
          <cell r="R29">
            <v>868170.8</v>
          </cell>
        </row>
        <row r="30">
          <cell r="C30" t="str">
            <v>中铁十六局轨道公司</v>
          </cell>
        </row>
        <row r="30">
          <cell r="R30">
            <v>3352444.2</v>
          </cell>
        </row>
      </sheetData>
      <sheetData sheetId="2"/>
      <sheetData sheetId="3">
        <row r="3">
          <cell r="C3" t="str">
            <v>中铁十一局集团第一工程有限公司</v>
          </cell>
        </row>
        <row r="3">
          <cell r="R3">
            <v>7473600</v>
          </cell>
        </row>
        <row r="4">
          <cell r="C4" t="str">
            <v>中铁十一局集团第一工程有限公司</v>
          </cell>
        </row>
        <row r="4">
          <cell r="R4">
            <v>1116378</v>
          </cell>
        </row>
        <row r="5">
          <cell r="C5" t="str">
            <v>中铁十九局集团华东工程有限公司</v>
          </cell>
        </row>
        <row r="5">
          <cell r="R5">
            <v>2005200</v>
          </cell>
        </row>
        <row r="6">
          <cell r="C6" t="str">
            <v>中铁十九局集团华东工程有限公司</v>
          </cell>
        </row>
        <row r="6">
          <cell r="R6">
            <v>2473200</v>
          </cell>
        </row>
        <row r="7">
          <cell r="C7" t="str">
            <v>中铁十九局集团华东工程有限公司</v>
          </cell>
        </row>
        <row r="7">
          <cell r="R7">
            <v>458400</v>
          </cell>
        </row>
        <row r="8">
          <cell r="C8" t="str">
            <v>中铁十九局集团华东工程有限公司</v>
          </cell>
        </row>
        <row r="8">
          <cell r="R8">
            <v>1429200</v>
          </cell>
        </row>
        <row r="9">
          <cell r="C9" t="str">
            <v>中铁十九局集团华东工程有限公司</v>
          </cell>
        </row>
        <row r="9">
          <cell r="R9">
            <v>741600</v>
          </cell>
        </row>
        <row r="10">
          <cell r="C10" t="str">
            <v>中国水利水电第五工程局有限公司</v>
          </cell>
        </row>
        <row r="10">
          <cell r="R10">
            <v>465000</v>
          </cell>
        </row>
      </sheetData>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tabSelected="1" workbookViewId="0">
      <pane xSplit="4" ySplit="5" topLeftCell="E22" activePane="bottomRight" state="frozen"/>
      <selection/>
      <selection pane="topRight"/>
      <selection pane="bottomLeft"/>
      <selection pane="bottomRight" activeCell="K26" sqref="K26"/>
    </sheetView>
  </sheetViews>
  <sheetFormatPr defaultColWidth="9" defaultRowHeight="14"/>
  <cols>
    <col min="1" max="1" width="8.18181818181818" style="166" customWidth="1"/>
    <col min="2" max="2" width="12.2" style="167" customWidth="1"/>
    <col min="3" max="3" width="19.4818181818182" style="167" customWidth="1"/>
    <col min="4" max="4" width="9" style="166"/>
    <col min="5" max="5" width="13.5090909090909" style="167" customWidth="1"/>
    <col min="6" max="8" width="19.1363636363636" style="168" customWidth="1"/>
    <col min="9" max="9" width="17.3636363636364" style="168" customWidth="1"/>
    <col min="10" max="10" width="14.6363636363636" style="168" customWidth="1"/>
    <col min="11" max="11" width="9.87272727272727" style="168" customWidth="1"/>
    <col min="12" max="13" width="15.2727272727273" style="166"/>
    <col min="14" max="15" width="12.8181818181818" style="166"/>
    <col min="16" max="16" width="9.54545454545454" style="166"/>
    <col min="17" max="16384" width="9" style="166"/>
  </cols>
  <sheetData>
    <row r="1" ht="29" customHeight="1" spans="1:13">
      <c r="A1" s="169" t="s">
        <v>0</v>
      </c>
      <c r="B1" s="170"/>
      <c r="C1" s="170"/>
      <c r="D1" s="170"/>
      <c r="E1" s="170"/>
      <c r="F1" s="170"/>
      <c r="G1" s="170"/>
      <c r="H1" s="170"/>
      <c r="I1" s="170"/>
      <c r="J1" s="170"/>
      <c r="K1" s="170"/>
      <c r="L1" s="170"/>
      <c r="M1" s="170"/>
    </row>
    <row r="2" ht="18" customHeight="1" spans="1:13">
      <c r="A2" s="171"/>
      <c r="B2" s="172" t="s">
        <v>1</v>
      </c>
      <c r="C2" s="172"/>
      <c r="D2" s="172"/>
      <c r="E2" s="172"/>
      <c r="F2" s="172"/>
      <c r="G2" s="172"/>
      <c r="H2" s="172"/>
      <c r="I2" s="172"/>
      <c r="J2" s="172"/>
      <c r="K2" s="172"/>
      <c r="L2" s="172"/>
      <c r="M2" s="172"/>
    </row>
    <row r="3" ht="23" customHeight="1" spans="1:13">
      <c r="A3" s="173" t="s">
        <v>2</v>
      </c>
      <c r="B3" s="174" t="s">
        <v>3</v>
      </c>
      <c r="C3" s="174" t="s">
        <v>4</v>
      </c>
      <c r="D3" s="173" t="s">
        <v>5</v>
      </c>
      <c r="E3" s="174" t="s">
        <v>6</v>
      </c>
      <c r="F3" s="173" t="s">
        <v>7</v>
      </c>
      <c r="G3" s="173"/>
      <c r="H3" s="173"/>
      <c r="I3" s="173"/>
      <c r="J3" s="173"/>
      <c r="K3" s="173"/>
      <c r="L3" s="173" t="s">
        <v>8</v>
      </c>
      <c r="M3" s="173" t="s">
        <v>9</v>
      </c>
    </row>
    <row r="4" ht="23" customHeight="1" spans="1:13">
      <c r="A4" s="173"/>
      <c r="B4" s="174"/>
      <c r="C4" s="174"/>
      <c r="D4" s="173"/>
      <c r="E4" s="174"/>
      <c r="F4" s="173" t="s">
        <v>10</v>
      </c>
      <c r="G4" s="173"/>
      <c r="H4" s="173"/>
      <c r="I4" s="173"/>
      <c r="J4" s="173"/>
      <c r="K4" s="173" t="s">
        <v>11</v>
      </c>
      <c r="L4" s="173"/>
      <c r="M4" s="173"/>
    </row>
    <row r="5" ht="23" customHeight="1" spans="1:13">
      <c r="A5" s="173"/>
      <c r="B5" s="174"/>
      <c r="C5" s="174"/>
      <c r="D5" s="173"/>
      <c r="E5" s="174"/>
      <c r="F5" s="173" t="s">
        <v>12</v>
      </c>
      <c r="G5" s="173" t="s">
        <v>13</v>
      </c>
      <c r="H5" s="173" t="s">
        <v>14</v>
      </c>
      <c r="I5" s="173" t="s">
        <v>15</v>
      </c>
      <c r="J5" s="173" t="s">
        <v>16</v>
      </c>
      <c r="K5" s="173"/>
      <c r="L5" s="173"/>
      <c r="M5" s="173"/>
    </row>
    <row r="6" ht="37" customHeight="1" spans="1:13">
      <c r="A6" s="5">
        <v>1</v>
      </c>
      <c r="B6" s="175" t="s">
        <v>17</v>
      </c>
      <c r="C6" s="175" t="s">
        <v>18</v>
      </c>
      <c r="D6" s="41" t="s">
        <v>19</v>
      </c>
      <c r="E6" s="176">
        <v>894.85204352</v>
      </c>
      <c r="F6" s="177" cm="1">
        <f t="array" ref="F6">(SUMPRODUCT((华东区域指挥部主办逾期!$L$3:$L$31&gt;0)*(华东区域指挥部主办逾期!$T$3:$T$31=D6)*华东区域指挥部主办逾期!$L$3:$L$31*华东区域指挥部主办逾期!$Q$3:$Q$31*华东区域指挥部主办逾期!$U$3:$U$31)+SUMPRODUCT((华东区域指挥部主办逾期!$L$3:$L$31&gt;0)*(华东区域指挥部主办逾期!$W$3:$W$31=D6)*华东区域指挥部主办逾期!$L$3:$L$31*华东区域指挥部主办逾期!$Q$3:$Q$31*华东区域指挥部主办逾期!$X$3:$X$31)+SUMPRODUCT((华东区域指挥协办逾期!$L$3:$L$10&gt;0)*(华东区域指挥协办逾期!$T$3:$T$10=D6)*华东区域指挥协办逾期!$L$3:$L$10*华东区域指挥协办逾期!$Q$3:$Q$10*华东区域指挥协办逾期!$U$3:$U$10)+SUMPRODUCT((华东区域指挥协办逾期!$L$3:$L$10&gt;0)*(华东区域指挥协办逾期!$W$3:$W$10=D6)*华东区域指挥协办逾期!$L$3:$L$10*华东区域指挥协办逾期!$Q$3:$Q$10*华东区域指挥协办逾期!$X$3:$X$10))/10000</f>
        <v>0</v>
      </c>
      <c r="G6" s="177" cm="1">
        <f t="array" ref="G6">(SUMPRODUCT((华东区域指挥部主办逾期!$M$3:$M$31&gt;0)*(华东区域指挥部主办逾期!$T$3:$T$31=D6)*华东区域指挥部主办逾期!$M$3:$M$31*华东区域指挥部主办逾期!$Q$3:$Q$31*华东区域指挥部主办逾期!$U$3:$U$31)+SUMPRODUCT((华东区域指挥部主办逾期!$M$3:$M$31&gt;0)*(华东区域指挥部主办逾期!$W$3:$W$31=D6)*华东区域指挥部主办逾期!$M$3:$M$31*华东区域指挥部主办逾期!$Q$3:$Q$31*华东区域指挥部主办逾期!$X$3:$X$31)+SUMPRODUCT((华东区域指挥协办逾期!$M$3:$M$10&gt;0)*(华东区域指挥协办逾期!$T$3:$T$10=D6)*华东区域指挥协办逾期!$M$3:$M$10*华东区域指挥协办逾期!$Q$3:$Q$10*华东区域指挥协办逾期!$U$3:$U$10)+SUMPRODUCT((华东区域指挥协办逾期!$M$3:$M$10&gt;0)*(华东区域指挥协办逾期!$W$3:$W$10=D6)*华东区域指挥协办逾期!$M$3:$M$10*华东区域指挥协办逾期!$Q$3:$Q$10*华东区域指挥协办逾期!$X$3:$X$10))/10000</f>
        <v>383.9201</v>
      </c>
      <c r="H6" s="177" cm="1">
        <f t="array" ref="H6">(SUMPRODUCT((华东区域指挥部主办逾期!$N$3:$N$31&gt;0)*(华东区域指挥部主办逾期!$T$3:$T$31=D6)*华东区域指挥部主办逾期!$N$3:$N$31*华东区域指挥部主办逾期!$Q$3:$Q$31*华东区域指挥部主办逾期!$U$3:$U$31)+SUMPRODUCT((华东区域指挥部主办逾期!$N$3:$N$31&gt;0)*(华东区域指挥部主办逾期!$W$3:$W$31=D6)*华东区域指挥部主办逾期!$N$3:$N$31*华东区域指挥部主办逾期!$Q$3:$Q$31*华东区域指挥部主办逾期!$X$3:$X$31)+SUMPRODUCT((华东区域指挥协办逾期!$N$3:$N$10&gt;0)*(华东区域指挥协办逾期!$T$3:$T$10=D6)*华东区域指挥协办逾期!$N$3:$N$10*华东区域指挥协办逾期!$Q$3:$Q$10*华东区域指挥协办逾期!$U$3:$U$10)+SUMPRODUCT((华东区域指挥协办逾期!$N$3:$N$10&gt;0)*(华东区域指挥协办逾期!$W$3:$W$10=D6)*华东区域指挥协办逾期!$N$3:$N$10*华东区域指挥协办逾期!$Q$3:$Q$10*华东区域指挥协办逾期!$X$3:$X$10))/10000</f>
        <v>32.07</v>
      </c>
      <c r="I6" s="177" cm="1">
        <f t="array" ref="I6">(SUMPRODUCT((华东区域指挥部主办逾期!$O$3:$O$31&gt;0)*(华东区域指挥部主办逾期!$T$3:$T$31=D6)*华东区域指挥部主办逾期!$O$3:$O$31*华东区域指挥部主办逾期!$Q$3:$Q$31*华东区域指挥部主办逾期!$U$3:$U$31)+SUMPRODUCT((华东区域指挥部主办逾期!$O$3:$O$31&gt;0)*(华东区域指挥部主办逾期!$W$3:$W$31=D6)*华东区域指挥部主办逾期!$O$3:$O$31*华东区域指挥部主办逾期!$Q$3:$Q$31*华东区域指挥部主办逾期!$X$3:$X$31)+SUMPRODUCT((华东区域指挥协办逾期!$O$3:$O$10&gt;0)*(华东区域指挥协办逾期!$T$3:$T$10=D6)*华东区域指挥协办逾期!$O$3:$O$10*华东区域指挥协办逾期!$Q$3:$Q$10*华东区域指挥协办逾期!$U$3:$U$10)+SUMPRODUCT((华东区域指挥协办逾期!$O$3:$O$10&gt;0)*(华东区域指挥协办逾期!$W$3:$W$10=D6)*华东区域指挥协办逾期!$O$3:$O$10*华东区域指挥协办逾期!$Q$3:$Q$10*华东区域指挥协办逾期!$X$3:$X$10))/10000</f>
        <v>0</v>
      </c>
      <c r="J6" s="177" cm="1">
        <f t="array" ref="J6">(SUMPRODUCT((华东区域指挥部主办逾期!$P$3:$P$31&gt;0)*(华东区域指挥部主办逾期!$T$3:$T$31=D6)*华东区域指挥部主办逾期!$P$3:$P$31*华东区域指挥部主办逾期!$Q$3:$Q$31*华东区域指挥部主办逾期!$U$3:$U$31)+SUMPRODUCT((华东区域指挥部主办逾期!$P$3:$P$31&gt;0)*(华东区域指挥部主办逾期!$W$3:$W$31=D6)*华东区域指挥部主办逾期!$P$3:$P$31*华东区域指挥部主办逾期!$Q$3:$Q$31*华东区域指挥部主办逾期!$X$3:$X$31)+SUMPRODUCT((华东区域指挥协办逾期!$P$3:$P$10&gt;0)*(华东区域指挥协办逾期!$T$3:$T$10=D6)*华东区域指挥协办逾期!$P$3:$P$10*华东区域指挥协办逾期!$Q$3:$Q$10*华东区域指挥协办逾期!$U$3:$U$10)+SUMPRODUCT((华东区域指挥协办逾期!$P$3:$P$10&gt;0)*(华东区域指挥协办逾期!$W$3:$W$10=D6)*华东区域指挥协办逾期!$P$3:$P$10*华东区域指挥协办逾期!$Q$3:$Q$10*华东区域指挥协办逾期!$X$3:$X$10))/10000</f>
        <v>69.9776</v>
      </c>
      <c r="K6" s="177">
        <f>SUM(F6:J6)</f>
        <v>485.9677</v>
      </c>
      <c r="L6" s="177">
        <f>E6-K6</f>
        <v>408.88434352</v>
      </c>
      <c r="M6" s="178">
        <f>L6/E6</f>
        <v>0.456929552187877</v>
      </c>
    </row>
    <row r="7" ht="37" customHeight="1" spans="1:13">
      <c r="A7" s="5">
        <v>2</v>
      </c>
      <c r="B7" s="175"/>
      <c r="C7" s="175"/>
      <c r="D7" s="41" t="s">
        <v>20</v>
      </c>
      <c r="E7" s="176">
        <v>547.80299568</v>
      </c>
      <c r="F7" s="177" cm="1">
        <f t="array" ref="F7">(SUMPRODUCT((华东区域指挥部主办逾期!$L$3:$L$31&gt;0)*(华东区域指挥部主办逾期!$T$3:$T$31=D7)*华东区域指挥部主办逾期!$L$3:$L$31*华东区域指挥部主办逾期!$Q$3:$Q$31*华东区域指挥部主办逾期!$U$3:$U$31)+SUMPRODUCT((华东区域指挥部主办逾期!$L$3:$L$31&gt;0)*(华东区域指挥部主办逾期!$W$3:$W$31=D7)*华东区域指挥部主办逾期!$L$3:$L$31*华东区域指挥部主办逾期!$Q$3:$Q$31*华东区域指挥部主办逾期!$X$3:$X$31)+SUMPRODUCT((华东区域指挥协办逾期!$L$3:$L$10&gt;0)*(华东区域指挥协办逾期!$T$3:$T$10=D7)*华东区域指挥协办逾期!$L$3:$L$10*华东区域指挥协办逾期!$Q$3:$Q$10*华东区域指挥协办逾期!$U$3:$U$10)+SUMPRODUCT((华东区域指挥协办逾期!$L$3:$L$10&gt;0)*(华东区域指挥协办逾期!$W$3:$W$10=D7)*华东区域指挥协办逾期!$L$3:$L$10*华东区域指挥协办逾期!$Q$3:$Q$10*华东区域指挥协办逾期!$X$3:$X$10))/10000</f>
        <v>0</v>
      </c>
      <c r="G7" s="177" cm="1">
        <f t="array" ref="G7">(SUMPRODUCT((华东区域指挥部主办逾期!$M$3:$M$31&gt;0)*(华东区域指挥部主办逾期!$T$3:$T$31=D7)*华东区域指挥部主办逾期!$M$3:$M$31*华东区域指挥部主办逾期!$Q$3:$Q$31*华东区域指挥部主办逾期!$U$3:$U$31)+SUMPRODUCT((华东区域指挥部主办逾期!$M$3:$M$31&gt;0)*(华东区域指挥部主办逾期!$W$3:$W$31=D7)*华东区域指挥部主办逾期!$M$3:$M$31*华东区域指挥部主办逾期!$Q$3:$Q$31*华东区域指挥部主办逾期!$X$3:$X$31)+SUMPRODUCT((华东区域指挥协办逾期!$M$3:$M$10&gt;0)*(华东区域指挥协办逾期!$T$3:$T$10=D7)*华东区域指挥协办逾期!$M$3:$M$10*华东区域指挥协办逾期!$Q$3:$Q$10*华东区域指挥协办逾期!$U$3:$U$10)+SUMPRODUCT((华东区域指挥协办逾期!$M$3:$M$10&gt;0)*(华东区域指挥协办逾期!$W$3:$W$10=D7)*华东区域指挥协办逾期!$M$3:$M$10*华东区域指挥协办逾期!$Q$3:$Q$10*华东区域指挥协办逾期!$X$3:$X$10))/10000</f>
        <v>168.6729</v>
      </c>
      <c r="H7" s="177" cm="1">
        <f t="array" ref="H7">(SUMPRODUCT((华东区域指挥部主办逾期!$N$3:$N$31&gt;0)*(华东区域指挥部主办逾期!$T$3:$T$31=D7)*华东区域指挥部主办逾期!$N$3:$N$31*华东区域指挥部主办逾期!$Q$3:$Q$31*华东区域指挥部主办逾期!$U$3:$U$31)+SUMPRODUCT((华东区域指挥部主办逾期!$N$3:$N$31&gt;0)*(华东区域指挥部主办逾期!$W$3:$W$31=D7)*华东区域指挥部主办逾期!$N$3:$N$31*华东区域指挥部主办逾期!$Q$3:$Q$31*华东区域指挥部主办逾期!$X$3:$X$31)+SUMPRODUCT((华东区域指挥协办逾期!$N$3:$N$10&gt;0)*(华东区域指挥协办逾期!$T$3:$T$10=D7)*华东区域指挥协办逾期!$N$3:$N$10*华东区域指挥协办逾期!$Q$3:$Q$10*华东区域指挥协办逾期!$U$3:$U$10)+SUMPRODUCT((华东区域指挥协办逾期!$N$3:$N$10&gt;0)*(华东区域指挥协办逾期!$W$3:$W$10=D7)*华东区域指挥协办逾期!$N$3:$N$10*华东区域指挥协办逾期!$Q$3:$Q$10*华东区域指挥协办逾期!$X$3:$X$10))/10000</f>
        <v>0</v>
      </c>
      <c r="I7" s="177" cm="1">
        <f t="array" ref="I7">(SUMPRODUCT((华东区域指挥部主办逾期!$O$3:$O$31&gt;0)*(华东区域指挥部主办逾期!$T$3:$T$31=D7)*华东区域指挥部主办逾期!$O$3:$O$31*华东区域指挥部主办逾期!$Q$3:$Q$31*华东区域指挥部主办逾期!$U$3:$U$31)+SUMPRODUCT((华东区域指挥部主办逾期!$O$3:$O$31&gt;0)*(华东区域指挥部主办逾期!$W$3:$W$31=D7)*华东区域指挥部主办逾期!$O$3:$O$31*华东区域指挥部主办逾期!$Q$3:$Q$31*华东区域指挥部主办逾期!$X$3:$X$31)+SUMPRODUCT((华东区域指挥协办逾期!$O$3:$O$10&gt;0)*(华东区域指挥协办逾期!$T$3:$T$10=D7)*华东区域指挥协办逾期!$O$3:$O$10*华东区域指挥协办逾期!$Q$3:$Q$10*华东区域指挥协办逾期!$U$3:$U$10)+SUMPRODUCT((华东区域指挥协办逾期!$O$3:$O$10&gt;0)*(华东区域指挥协办逾期!$W$3:$W$10=D7)*华东区域指挥协办逾期!$O$3:$O$10*华东区域指挥协办逾期!$Q$3:$Q$10*华东区域指挥协办逾期!$X$3:$X$10))/10000</f>
        <v>0</v>
      </c>
      <c r="J7" s="177" cm="1">
        <f t="array" ref="J7">(SUMPRODUCT((华东区域指挥部主办逾期!$P$3:$P$31&gt;0)*(华东区域指挥部主办逾期!$T$3:$T$31=D7)*华东区域指挥部主办逾期!$P$3:$P$31*华东区域指挥部主办逾期!$Q$3:$Q$31*华东区域指挥部主办逾期!$U$3:$U$31)+SUMPRODUCT((华东区域指挥部主办逾期!$P$3:$P$31&gt;0)*(华东区域指挥部主办逾期!$W$3:$W$31=D7)*华东区域指挥部主办逾期!$P$3:$P$31*华东区域指挥部主办逾期!$Q$3:$Q$31*华东区域指挥部主办逾期!$X$3:$X$31)+SUMPRODUCT((华东区域指挥协办逾期!$P$3:$P$10&gt;0)*(华东区域指挥协办逾期!$T$3:$T$10=D7)*华东区域指挥协办逾期!$P$3:$P$10*华东区域指挥协办逾期!$Q$3:$Q$10*华东区域指挥协办逾期!$U$3:$U$10)+SUMPRODUCT((华东区域指挥协办逾期!$P$3:$P$10&gt;0)*(华东区域指挥协办逾期!$W$3:$W$10=D7)*华东区域指挥协办逾期!$P$3:$P$10*华东区域指挥协办逾期!$Q$3:$Q$10*华东区域指挥协办逾期!$X$3:$X$10))/10000</f>
        <v>17.4944</v>
      </c>
      <c r="K7" s="177">
        <f>SUM(F7:J7)</f>
        <v>186.1673</v>
      </c>
      <c r="L7" s="177">
        <f>E7-K7</f>
        <v>361.63569568</v>
      </c>
      <c r="M7" s="178">
        <f>L7/E7</f>
        <v>0.660156476930349</v>
      </c>
    </row>
    <row r="8" ht="37" customHeight="1" spans="1:13">
      <c r="A8" s="5">
        <v>3</v>
      </c>
      <c r="B8" s="175"/>
      <c r="C8" s="175"/>
      <c r="D8" s="179" t="s">
        <v>21</v>
      </c>
      <c r="E8" s="180">
        <v>1442.6550392</v>
      </c>
      <c r="F8" s="180">
        <f>SUM(F6:F7)</f>
        <v>0</v>
      </c>
      <c r="G8" s="180">
        <f>SUM(G6:G7)</f>
        <v>552.593</v>
      </c>
      <c r="H8" s="180">
        <f>SUM(H6:H6)</f>
        <v>32.07</v>
      </c>
      <c r="I8" s="180">
        <f>SUM(I6:I6)</f>
        <v>0</v>
      </c>
      <c r="J8" s="180">
        <f>SUM(J6:J7)</f>
        <v>87.472</v>
      </c>
      <c r="K8" s="180">
        <f>SUM(K6:K7)</f>
        <v>672.135</v>
      </c>
      <c r="L8" s="180">
        <f>SUM(L6:L7)</f>
        <v>770.5200392</v>
      </c>
      <c r="M8" s="181">
        <f>L8/E8</f>
        <v>0.534098601719285</v>
      </c>
    </row>
    <row r="9" ht="37" customHeight="1" spans="1:13">
      <c r="A9" s="5">
        <v>4</v>
      </c>
      <c r="B9" s="175"/>
      <c r="C9" s="175" t="s">
        <v>22</v>
      </c>
      <c r="D9" s="41" t="s">
        <v>23</v>
      </c>
      <c r="E9" s="176">
        <v>0</v>
      </c>
      <c r="F9" s="177" cm="1">
        <f t="array" ref="F9">(SUMPRODUCT((华东区域指挥部主办逾期!$L$3:$L$31&gt;0)*(华东区域指挥部主办逾期!$T$3:$T$31=D9)*华东区域指挥部主办逾期!$L$3:$L$31*华东区域指挥部主办逾期!$Q$3:$Q$31*华东区域指挥部主办逾期!$U$3:$U$31)+SUMPRODUCT((华东区域指挥部主办逾期!$L$3:$L$31&gt;0)*(华东区域指挥部主办逾期!$W$3:$W$31=D9)*华东区域指挥部主办逾期!$L$3:$L$31*华东区域指挥部主办逾期!$Q$3:$Q$31*华东区域指挥部主办逾期!$X$3:$X$31)+SUMPRODUCT((华东区域指挥协办逾期!$L$3:$L$10&gt;0)*(华东区域指挥协办逾期!$T$3:$T$10=D9)*华东区域指挥协办逾期!$L$3:$L$10*华东区域指挥协办逾期!$Q$3:$Q$10*华东区域指挥协办逾期!$U$3:$U$10)+SUMPRODUCT((华东区域指挥协办逾期!$L$3:$L$10&gt;0)*(华东区域指挥协办逾期!$W$3:$W$10=D9)*华东区域指挥协办逾期!$L$3:$L$10*华东区域指挥协办逾期!$Q$3:$Q$10*华东区域指挥协办逾期!$X$3:$X$10))/10000</f>
        <v>0</v>
      </c>
      <c r="G9" s="177" cm="1">
        <f t="array" ref="G9">(SUMPRODUCT((华东区域指挥部主办逾期!$M$3:$M$31&gt;0)*(华东区域指挥部主办逾期!$T$3:$T$31=D9)*华东区域指挥部主办逾期!$M$3:$M$31*华东区域指挥部主办逾期!$Q$3:$Q$31*华东区域指挥部主办逾期!$U$3:$U$31)+SUMPRODUCT((华东区域指挥部主办逾期!$M$3:$M$31&gt;0)*(华东区域指挥部主办逾期!$W$3:$W$31=D9)*华东区域指挥部主办逾期!$M$3:$M$31*华东区域指挥部主办逾期!$Q$3:$Q$31*华东区域指挥部主办逾期!$X$3:$X$31)+SUMPRODUCT((华东区域指挥协办逾期!$M$3:$M$10&gt;0)*(华东区域指挥协办逾期!$T$3:$T$10=D9)*华东区域指挥协办逾期!$M$3:$M$10*华东区域指挥协办逾期!$Q$3:$Q$10*华东区域指挥协办逾期!$U$3:$U$10)+SUMPRODUCT((华东区域指挥协办逾期!$M$3:$M$10&gt;0)*(华东区域指挥协办逾期!$W$3:$W$10=D9)*华东区域指挥协办逾期!$M$3:$M$10*华东区域指挥协办逾期!$Q$3:$Q$10*华东区域指挥协办逾期!$X$3:$X$10))/10000</f>
        <v>0</v>
      </c>
      <c r="H9" s="177" cm="1">
        <f t="array" ref="H9">(SUMPRODUCT((华东区域指挥部主办逾期!$N$3:$N$31&gt;0)*(华东区域指挥部主办逾期!$T$3:$T$31=D9)*华东区域指挥部主办逾期!$N$3:$N$31*华东区域指挥部主办逾期!$Q$3:$Q$31*华东区域指挥部主办逾期!$U$3:$U$31)+SUMPRODUCT((华东区域指挥部主办逾期!$N$3:$N$31&gt;0)*(华东区域指挥部主办逾期!$W$3:$W$31=D9)*华东区域指挥部主办逾期!$N$3:$N$31*华东区域指挥部主办逾期!$Q$3:$Q$31*华东区域指挥部主办逾期!$X$3:$X$31)+SUMPRODUCT((华东区域指挥协办逾期!$N$3:$N$10&gt;0)*(华东区域指挥协办逾期!$T$3:$T$10=D9)*华东区域指挥协办逾期!$N$3:$N$10*华东区域指挥协办逾期!$Q$3:$Q$10*华东区域指挥协办逾期!$U$3:$U$10)+SUMPRODUCT((华东区域指挥协办逾期!$N$3:$N$10&gt;0)*(华东区域指挥协办逾期!$W$3:$W$10=D9)*华东区域指挥协办逾期!$N$3:$N$10*华东区域指挥协办逾期!$Q$3:$Q$10*华东区域指挥协办逾期!$X$3:$X$10))/10000</f>
        <v>0</v>
      </c>
      <c r="I9" s="177" cm="1">
        <f t="array" ref="I9">(SUMPRODUCT((华东区域指挥部主办逾期!$O$3:$O$31&gt;0)*(华东区域指挥部主办逾期!$T$3:$T$31=D9)*华东区域指挥部主办逾期!$O$3:$O$31*华东区域指挥部主办逾期!$Q$3:$Q$31*华东区域指挥部主办逾期!$U$3:$U$31)+SUMPRODUCT((华东区域指挥部主办逾期!$O$3:$O$31&gt;0)*(华东区域指挥部主办逾期!$W$3:$W$31=D9)*华东区域指挥部主办逾期!$O$3:$O$31*华东区域指挥部主办逾期!$Q$3:$Q$31*华东区域指挥部主办逾期!$X$3:$X$31)+SUMPRODUCT((华东区域指挥协办逾期!$O$3:$O$10&gt;0)*(华东区域指挥协办逾期!$T$3:$T$10=D9)*华东区域指挥协办逾期!$O$3:$O$10*华东区域指挥协办逾期!$Q$3:$Q$10*华东区域指挥协办逾期!$U$3:$U$10)+SUMPRODUCT((华东区域指挥协办逾期!$O$3:$O$10&gt;0)*(华东区域指挥协办逾期!$W$3:$W$10=D9)*华东区域指挥协办逾期!$O$3:$O$10*华东区域指挥协办逾期!$Q$3:$Q$10*华东区域指挥协办逾期!$X$3:$X$10))/10000</f>
        <v>0</v>
      </c>
      <c r="J9" s="177" cm="1">
        <f t="array" ref="J9">(SUMPRODUCT((华东区域指挥部主办逾期!$P$3:$P$31&gt;0)*(华东区域指挥部主办逾期!$T$3:$T$31=D9)*华东区域指挥部主办逾期!$P$3:$P$31*华东区域指挥部主办逾期!$Q$3:$Q$31*华东区域指挥部主办逾期!$U$3:$U$31)+SUMPRODUCT((华东区域指挥部主办逾期!$P$3:$P$31&gt;0)*(华东区域指挥部主办逾期!$W$3:$W$31=D9)*华东区域指挥部主办逾期!$P$3:$P$31*华东区域指挥部主办逾期!$Q$3:$Q$31*华东区域指挥部主办逾期!$X$3:$X$31)+SUMPRODUCT((华东区域指挥协办逾期!$P$3:$P$10&gt;0)*(华东区域指挥协办逾期!$T$3:$T$10=D9)*华东区域指挥协办逾期!$P$3:$P$10*华东区域指挥协办逾期!$Q$3:$Q$10*华东区域指挥协办逾期!$U$3:$U$10)+SUMPRODUCT((华东区域指挥协办逾期!$P$3:$P$10&gt;0)*(华东区域指挥协办逾期!$W$3:$W$10=D9)*华东区域指挥协办逾期!$P$3:$P$10*华东区域指挥协办逾期!$Q$3:$Q$10*华东区域指挥协办逾期!$X$3:$X$10))/10000</f>
        <v>0</v>
      </c>
      <c r="K9" s="177">
        <f>SUM(F9:J9)</f>
        <v>0</v>
      </c>
      <c r="L9" s="177">
        <f>E9-K9</f>
        <v>0</v>
      </c>
      <c r="M9" s="178" t="e">
        <f>L9/E9</f>
        <v>#DIV/0!</v>
      </c>
    </row>
    <row r="10" ht="37" customHeight="1" spans="1:13">
      <c r="A10" s="5">
        <v>5</v>
      </c>
      <c r="B10" s="175"/>
      <c r="C10" s="175"/>
      <c r="D10" s="41" t="s">
        <v>24</v>
      </c>
      <c r="E10" s="176">
        <v>74.3</v>
      </c>
      <c r="F10" s="177" cm="1">
        <f t="array" ref="F10">(SUMPRODUCT((华东区域指挥部主办逾期!$L$3:$L$31&gt;0)*(华东区域指挥部主办逾期!$T$3:$T$31=D10)*华东区域指挥部主办逾期!$L$3:$L$31*华东区域指挥部主办逾期!$Q$3:$Q$31*华东区域指挥部主办逾期!$U$3:$U$31)+SUMPRODUCT((华东区域指挥部主办逾期!$L$3:$L$31&gt;0)*(华东区域指挥部主办逾期!$W$3:$W$31=D10)*华东区域指挥部主办逾期!$L$3:$L$31*华东区域指挥部主办逾期!$Q$3:$Q$31*华东区域指挥部主办逾期!$X$3:$X$31)+SUMPRODUCT((华东区域指挥协办逾期!$L$3:$L$10&gt;0)*(华东区域指挥协办逾期!$T$3:$T$10=D10)*华东区域指挥协办逾期!$L$3:$L$10*华东区域指挥协办逾期!$Q$3:$Q$10*华东区域指挥协办逾期!$U$3:$U$10)+SUMPRODUCT((华东区域指挥协办逾期!$L$3:$L$10&gt;0)*(华东区域指挥协办逾期!$W$3:$W$10=D10)*华东区域指挥协办逾期!$L$3:$L$10*华东区域指挥协办逾期!$Q$3:$Q$10*华东区域指挥协办逾期!$X$3:$X$10))/10000</f>
        <v>0</v>
      </c>
      <c r="G10" s="177" cm="1">
        <f t="array" ref="G10">(SUMPRODUCT((华东区域指挥部主办逾期!$M$3:$M$31&gt;0)*(华东区域指挥部主办逾期!$T$3:$T$31=D10)*华东区域指挥部主办逾期!$M$3:$M$31*华东区域指挥部主办逾期!$Q$3:$Q$31*华东区域指挥部主办逾期!$U$3:$U$31)+SUMPRODUCT((华东区域指挥部主办逾期!$M$3:$M$31&gt;0)*(华东区域指挥部主办逾期!$W$3:$W$31=D10)*华东区域指挥部主办逾期!$M$3:$M$31*华东区域指挥部主办逾期!$Q$3:$Q$31*华东区域指挥部主办逾期!$X$3:$X$31)+SUMPRODUCT((华东区域指挥协办逾期!$M$3:$M$10&gt;0)*(华东区域指挥协办逾期!$T$3:$T$10=D10)*华东区域指挥协办逾期!$M$3:$M$10*华东区域指挥协办逾期!$Q$3:$Q$10*华东区域指挥协办逾期!$U$3:$U$10)+SUMPRODUCT((华东区域指挥协办逾期!$M$3:$M$10&gt;0)*(华东区域指挥协办逾期!$W$3:$W$10=D10)*华东区域指挥协办逾期!$M$3:$M$10*华东区域指挥协办逾期!$Q$3:$Q$10*华东区域指挥协办逾期!$X$3:$X$10))/10000</f>
        <v>0</v>
      </c>
      <c r="H10" s="177" cm="1">
        <f t="array" ref="H10">(SUMPRODUCT((华东区域指挥部主办逾期!$N$3:$N$31&gt;0)*(华东区域指挥部主办逾期!$T$3:$T$31=D10)*华东区域指挥部主办逾期!$N$3:$N$31*华东区域指挥部主办逾期!$Q$3:$Q$31*华东区域指挥部主办逾期!$U$3:$U$31)+SUMPRODUCT((华东区域指挥部主办逾期!$N$3:$N$31&gt;0)*(华东区域指挥部主办逾期!$W$3:$W$31=D10)*华东区域指挥部主办逾期!$N$3:$N$31*华东区域指挥部主办逾期!$Q$3:$Q$31*华东区域指挥部主办逾期!$X$3:$X$31)+SUMPRODUCT((华东区域指挥协办逾期!$N$3:$N$10&gt;0)*(华东区域指挥协办逾期!$T$3:$T$10=D10)*华东区域指挥协办逾期!$N$3:$N$10*华东区域指挥协办逾期!$Q$3:$Q$10*华东区域指挥协办逾期!$U$3:$U$10)+SUMPRODUCT((华东区域指挥协办逾期!$N$3:$N$10&gt;0)*(华东区域指挥协办逾期!$W$3:$W$10=D10)*华东区域指挥协办逾期!$N$3:$N$10*华东区域指挥协办逾期!$Q$3:$Q$10*华东区域指挥协办逾期!$X$3:$X$10))/10000</f>
        <v>0</v>
      </c>
      <c r="I10" s="177" cm="1">
        <f t="array" ref="I10">(SUMPRODUCT((华东区域指挥部主办逾期!$O$3:$O$31&gt;0)*(华东区域指挥部主办逾期!$T$3:$T$31=D10)*华东区域指挥部主办逾期!$O$3:$O$31*华东区域指挥部主办逾期!$Q$3:$Q$31*华东区域指挥部主办逾期!$U$3:$U$31)+SUMPRODUCT((华东区域指挥部主办逾期!$O$3:$O$31&gt;0)*(华东区域指挥部主办逾期!$W$3:$W$31=D10)*华东区域指挥部主办逾期!$O$3:$O$31*华东区域指挥部主办逾期!$Q$3:$Q$31*华东区域指挥部主办逾期!$X$3:$X$31)+SUMPRODUCT((华东区域指挥协办逾期!$O$3:$O$10&gt;0)*(华东区域指挥协办逾期!$T$3:$T$10=D10)*华东区域指挥协办逾期!$O$3:$O$10*华东区域指挥协办逾期!$Q$3:$Q$10*华东区域指挥协办逾期!$U$3:$U$10)+SUMPRODUCT((华东区域指挥协办逾期!$O$3:$O$10&gt;0)*(华东区域指挥协办逾期!$W$3:$W$10=D10)*华东区域指挥协办逾期!$O$3:$O$10*华东区域指挥协办逾期!$Q$3:$Q$10*华东区域指挥协办逾期!$X$3:$X$10))/10000</f>
        <v>74.3</v>
      </c>
      <c r="J10" s="177" cm="1">
        <f t="array" ref="J10">(SUMPRODUCT((华东区域指挥部主办逾期!$P$3:$P$31&gt;0)*(华东区域指挥部主办逾期!$T$3:$T$31=D10)*华东区域指挥部主办逾期!$P$3:$P$31*华东区域指挥部主办逾期!$Q$3:$Q$31*华东区域指挥部主办逾期!$U$3:$U$31)+SUMPRODUCT((华东区域指挥部主办逾期!$P$3:$P$31&gt;0)*(华东区域指挥部主办逾期!$W$3:$W$31=D10)*华东区域指挥部主办逾期!$P$3:$P$31*华东区域指挥部主办逾期!$Q$3:$Q$31*华东区域指挥部主办逾期!$X$3:$X$31)+SUMPRODUCT((华东区域指挥协办逾期!$P$3:$P$10&gt;0)*(华东区域指挥协办逾期!$T$3:$T$10=D10)*华东区域指挥协办逾期!$P$3:$P$10*华东区域指挥协办逾期!$Q$3:$Q$10*华东区域指挥协办逾期!$U$3:$U$10)+SUMPRODUCT((华东区域指挥协办逾期!$P$3:$P$10&gt;0)*(华东区域指挥协办逾期!$W$3:$W$10=D10)*华东区域指挥协办逾期!$P$3:$P$10*华东区域指挥协办逾期!$Q$3:$Q$10*华东区域指挥协办逾期!$X$3:$X$10))/10000</f>
        <v>0</v>
      </c>
      <c r="K10" s="177">
        <f>SUM(F10:J10)</f>
        <v>74.3</v>
      </c>
      <c r="L10" s="177">
        <f>E10-K10</f>
        <v>0</v>
      </c>
      <c r="M10" s="178">
        <f>L10/E10</f>
        <v>0</v>
      </c>
    </row>
    <row r="11" ht="37" customHeight="1" spans="1:13">
      <c r="A11" s="5">
        <v>6</v>
      </c>
      <c r="B11" s="175"/>
      <c r="C11" s="175"/>
      <c r="D11" s="41" t="s">
        <v>25</v>
      </c>
      <c r="E11" s="176">
        <v>629.239895</v>
      </c>
      <c r="F11" s="177" cm="1">
        <f t="array" ref="F11">(SUMPRODUCT((华东区域指挥部主办逾期!$L$3:$L$31&gt;0)*(华东区域指挥部主办逾期!$T$3:$T$31=D11)*华东区域指挥部主办逾期!$L$3:$L$31*华东区域指挥部主办逾期!$Q$3:$Q$31*华东区域指挥部主办逾期!$U$3:$U$31)+SUMPRODUCT((华东区域指挥部主办逾期!$L$3:$L$31&gt;0)*(华东区域指挥部主办逾期!$W$3:$W$31=D11)*华东区域指挥部主办逾期!$L$3:$L$31*华东区域指挥部主办逾期!$Q$3:$Q$31*华东区域指挥部主办逾期!$X$3:$X$31)+SUMPRODUCT((华东区域指挥协办逾期!$L$3:$L$10&gt;0)*(华东区域指挥协办逾期!$T$3:$T$10=D11)*华东区域指挥协办逾期!$L$3:$L$10*华东区域指挥协办逾期!$Q$3:$Q$10*华东区域指挥协办逾期!$U$3:$U$10)+SUMPRODUCT((华东区域指挥协办逾期!$L$3:$L$10&gt;0)*(华东区域指挥协办逾期!$W$3:$W$10=D11)*华东区域指挥协办逾期!$L$3:$L$10*华东区域指挥协办逾期!$Q$3:$Q$10*华东区域指挥协办逾期!$X$3:$X$10))/10000</f>
        <v>0</v>
      </c>
      <c r="G11" s="177" cm="1">
        <f t="array" ref="G11">(SUMPRODUCT((华东区域指挥部主办逾期!$M$3:$M$31&gt;0)*(华东区域指挥部主办逾期!$T$3:$T$31=D11)*华东区域指挥部主办逾期!$M$3:$M$31*华东区域指挥部主办逾期!$Q$3:$Q$31*华东区域指挥部主办逾期!$U$3:$U$31)+SUMPRODUCT((华东区域指挥部主办逾期!$M$3:$M$31&gt;0)*(华东区域指挥部主办逾期!$W$3:$W$31=D11)*华东区域指挥部主办逾期!$M$3:$M$31*华东区域指挥部主办逾期!$Q$3:$Q$31*华东区域指挥部主办逾期!$X$3:$X$31)+SUMPRODUCT((华东区域指挥协办逾期!$M$3:$M$10&gt;0)*(华东区域指挥协办逾期!$T$3:$T$10=D11)*华东区域指挥协办逾期!$M$3:$M$10*华东区域指挥协办逾期!$Q$3:$Q$10*华东区域指挥协办逾期!$U$3:$U$10)+SUMPRODUCT((华东区域指挥协办逾期!$M$3:$M$10&gt;0)*(华东区域指挥协办逾期!$W$3:$W$10=D11)*华东区域指挥协办逾期!$M$3:$M$10*华东区域指挥协办逾期!$Q$3:$Q$10*华东区域指挥协办逾期!$X$3:$X$10))/10000</f>
        <v>25.56</v>
      </c>
      <c r="H11" s="177" cm="1">
        <f t="array" ref="H11">(SUMPRODUCT((华东区域指挥部主办逾期!$N$3:$N$31&gt;0)*(华东区域指挥部主办逾期!$T$3:$T$31=D11)*华东区域指挥部主办逾期!$N$3:$N$31*华东区域指挥部主办逾期!$Q$3:$Q$31*华东区域指挥部主办逾期!$U$3:$U$31)+SUMPRODUCT((华东区域指挥部主办逾期!$N$3:$N$31&gt;0)*(华东区域指挥部主办逾期!$W$3:$W$31=D11)*华东区域指挥部主办逾期!$N$3:$N$31*华东区域指挥部主办逾期!$Q$3:$Q$31*华东区域指挥部主办逾期!$X$3:$X$31)+SUMPRODUCT((华东区域指挥协办逾期!$N$3:$N$10&gt;0)*(华东区域指挥协办逾期!$T$3:$T$10=D11)*华东区域指挥协办逾期!$N$3:$N$10*华东区域指挥协办逾期!$Q$3:$Q$10*华东区域指挥协办逾期!$U$3:$U$10)+SUMPRODUCT((华东区域指挥协办逾期!$N$3:$N$10&gt;0)*(华东区域指挥协办逾期!$W$3:$W$10=D11)*华东区域指挥协办逾期!$N$3:$N$10*华东区域指挥协办逾期!$Q$3:$Q$10*华东区域指挥协办逾期!$X$3:$X$10))/10000</f>
        <v>269.78</v>
      </c>
      <c r="I11" s="177" cm="1">
        <f t="array" ref="I11">(SUMPRODUCT((华东区域指挥部主办逾期!$O$3:$O$31&gt;0)*(华东区域指挥部主办逾期!$T$3:$T$31=D11)*华东区域指挥部主办逾期!$O$3:$O$31*华东区域指挥部主办逾期!$Q$3:$Q$31*华东区域指挥部主办逾期!$U$3:$U$31)+SUMPRODUCT((华东区域指挥部主办逾期!$O$3:$O$31&gt;0)*(华东区域指挥部主办逾期!$W$3:$W$31=D11)*华东区域指挥部主办逾期!$O$3:$O$31*华东区域指挥部主办逾期!$Q$3:$Q$31*华东区域指挥部主办逾期!$X$3:$X$31)+SUMPRODUCT((华东区域指挥协办逾期!$O$3:$O$10&gt;0)*(华东区域指挥协办逾期!$T$3:$T$10=D11)*华东区域指挥协办逾期!$O$3:$O$10*华东区域指挥协办逾期!$Q$3:$Q$10*华东区域指挥协办逾期!$U$3:$U$10)+SUMPRODUCT((华东区域指挥协办逾期!$O$3:$O$10&gt;0)*(华东区域指挥协办逾期!$W$3:$W$10=D11)*华东区域指挥协办逾期!$O$3:$O$10*华东区域指挥协办逾期!$Q$3:$Q$10*华东区域指挥协办逾期!$X$3:$X$10))/10000</f>
        <v>0</v>
      </c>
      <c r="J11" s="177" cm="1">
        <f t="array" ref="J11">(SUMPRODUCT((华东区域指挥部主办逾期!$P$3:$P$31&gt;0)*(华东区域指挥部主办逾期!$T$3:$T$31=D11)*华东区域指挥部主办逾期!$P$3:$P$31*华东区域指挥部主办逾期!$Q$3:$Q$31*华东区域指挥部主办逾期!$U$3:$U$31)+SUMPRODUCT((华东区域指挥部主办逾期!$P$3:$P$31&gt;0)*(华东区域指挥部主办逾期!$W$3:$W$31=D11)*华东区域指挥部主办逾期!$P$3:$P$31*华东区域指挥部主办逾期!$Q$3:$Q$31*华东区域指挥部主办逾期!$X$3:$X$31)+SUMPRODUCT((华东区域指挥协办逾期!$P$3:$P$10&gt;0)*(华东区域指挥协办逾期!$T$3:$T$10=D11)*华东区域指挥协办逾期!$P$3:$P$10*华东区域指挥协办逾期!$Q$3:$Q$10*华东区域指挥协办逾期!$U$3:$U$10)+SUMPRODUCT((华东区域指挥协办逾期!$P$3:$P$10&gt;0)*(华东区域指挥协办逾期!$W$3:$W$10=D11)*华东区域指挥协办逾期!$P$3:$P$10*华东区域指挥协办逾期!$Q$3:$Q$10*华东区域指挥协办逾期!$X$3:$X$10))/10000</f>
        <v>193.899895</v>
      </c>
      <c r="K11" s="177">
        <f>SUM(F11:J11)</f>
        <v>489.239895</v>
      </c>
      <c r="L11" s="177">
        <f>E11-K11</f>
        <v>140</v>
      </c>
      <c r="M11" s="178" t="s">
        <v>26</v>
      </c>
    </row>
    <row r="12" ht="37" customHeight="1" spans="1:13">
      <c r="A12" s="5">
        <v>7</v>
      </c>
      <c r="B12" s="175"/>
      <c r="C12" s="175"/>
      <c r="D12" s="179" t="s">
        <v>21</v>
      </c>
      <c r="E12" s="180">
        <v>703.539895</v>
      </c>
      <c r="F12" s="180">
        <f t="shared" ref="F12:L12" si="0">SUM(F9:F11)</f>
        <v>0</v>
      </c>
      <c r="G12" s="180">
        <f t="shared" si="0"/>
        <v>25.56</v>
      </c>
      <c r="H12" s="180">
        <f t="shared" si="0"/>
        <v>269.78</v>
      </c>
      <c r="I12" s="180">
        <f t="shared" si="0"/>
        <v>74.3</v>
      </c>
      <c r="J12" s="180">
        <f t="shared" si="0"/>
        <v>193.899895</v>
      </c>
      <c r="K12" s="180">
        <f t="shared" si="0"/>
        <v>563.539895</v>
      </c>
      <c r="L12" s="180">
        <f t="shared" si="0"/>
        <v>140</v>
      </c>
      <c r="M12" s="181">
        <f t="shared" ref="M12:M22" si="1">L12/E12</f>
        <v>0.198993690329388</v>
      </c>
    </row>
    <row r="13" ht="37" customHeight="1" spans="1:13">
      <c r="A13" s="5">
        <v>8</v>
      </c>
      <c r="B13" s="175"/>
      <c r="C13" s="182" t="s">
        <v>27</v>
      </c>
      <c r="D13" s="182"/>
      <c r="E13" s="183">
        <v>2146.1949342</v>
      </c>
      <c r="F13" s="183">
        <f t="shared" ref="F13:L13" si="2">SUM(F8,F12)</f>
        <v>0</v>
      </c>
      <c r="G13" s="183">
        <f t="shared" si="2"/>
        <v>578.153</v>
      </c>
      <c r="H13" s="183">
        <f t="shared" si="2"/>
        <v>301.85</v>
      </c>
      <c r="I13" s="183">
        <f t="shared" si="2"/>
        <v>74.3</v>
      </c>
      <c r="J13" s="183">
        <f t="shared" si="2"/>
        <v>281.371895</v>
      </c>
      <c r="K13" s="183">
        <f t="shared" si="2"/>
        <v>1235.674895</v>
      </c>
      <c r="L13" s="183">
        <f t="shared" si="2"/>
        <v>910.5200392</v>
      </c>
      <c r="M13" s="184">
        <f t="shared" si="1"/>
        <v>0.424248526865244</v>
      </c>
    </row>
    <row r="14" ht="37" customHeight="1" spans="1:13">
      <c r="A14" s="5">
        <v>9</v>
      </c>
      <c r="B14" s="175" t="s">
        <v>28</v>
      </c>
      <c r="C14" s="175" t="s">
        <v>29</v>
      </c>
      <c r="D14" s="41" t="s">
        <v>30</v>
      </c>
      <c r="E14" s="176">
        <v>186.18068</v>
      </c>
      <c r="F14" s="177" cm="1">
        <f t="array" ref="F14">(SUMPRODUCT((华东区域指挥部主办逾期!$L$3:$L$31&gt;0)*(华东区域指挥部主办逾期!$T$3:$T$31=D14)*华东区域指挥部主办逾期!$L$3:$L$31*华东区域指挥部主办逾期!$Q$3:$Q$31*华东区域指挥部主办逾期!$U$3:$U$31)+SUMPRODUCT((华东区域指挥部主办逾期!$L$3:$L$31&gt;0)*(华东区域指挥部主办逾期!$W$3:$W$31=D14)*华东区域指挥部主办逾期!$L$3:$L$31*华东区域指挥部主办逾期!$Q$3:$Q$31*华东区域指挥部主办逾期!$X$3:$X$31)+SUMPRODUCT((华东区域指挥协办逾期!$L$3:$L$10&gt;0)*(华东区域指挥协办逾期!$T$3:$T$10=D14)*华东区域指挥协办逾期!$L$3:$L$10*华东区域指挥协办逾期!$Q$3:$Q$10*华东区域指挥协办逾期!$U$3:$U$10)+SUMPRODUCT((华东区域指挥协办逾期!$L$3:$L$10&gt;0)*(华东区域指挥协办逾期!$W$3:$W$10=D14)*华东区域指挥协办逾期!$L$3:$L$10*华东区域指挥协办逾期!$Q$3:$Q$10*华东区域指挥协办逾期!$X$3:$X$10))/10000</f>
        <v>0</v>
      </c>
      <c r="G14" s="177" cm="1">
        <f t="array" ref="G14">(SUMPRODUCT((华东区域指挥部主办逾期!$M$3:$M$31&gt;0)*(华东区域指挥部主办逾期!$T$3:$T$31=D14)*华东区域指挥部主办逾期!$M$3:$M$31*华东区域指挥部主办逾期!$Q$3:$Q$31*华东区域指挥部主办逾期!$U$3:$U$31)+SUMPRODUCT((华东区域指挥部主办逾期!$M$3:$M$31&gt;0)*(华东区域指挥部主办逾期!$W$3:$W$31=D14)*华东区域指挥部主办逾期!$M$3:$M$31*华东区域指挥部主办逾期!$Q$3:$Q$31*华东区域指挥部主办逾期!$X$3:$X$31)+SUMPRODUCT((华东区域指挥协办逾期!$M$3:$M$10&gt;0)*(华东区域指挥协办逾期!$T$3:$T$10=D14)*华东区域指挥协办逾期!$M$3:$M$10*华东区域指挥协办逾期!$Q$3:$Q$10*华东区域指挥协办逾期!$U$3:$U$10)+SUMPRODUCT((华东区域指挥协办逾期!$M$3:$M$10&gt;0)*(华东区域指挥协办逾期!$W$3:$W$10=D14)*华东区域指挥协办逾期!$M$3:$M$10*华东区域指挥协办逾期!$Q$3:$Q$10*华东区域指挥协办逾期!$X$3:$X$10))/10000</f>
        <v>65.08061</v>
      </c>
      <c r="H14" s="177" cm="1">
        <f t="array" ref="H14">(SUMPRODUCT((华东区域指挥部主办逾期!$N$3:$N$31&gt;0)*(华东区域指挥部主办逾期!$T$3:$T$31=D14)*华东区域指挥部主办逾期!$N$3:$N$31*华东区域指挥部主办逾期!$Q$3:$Q$31*华东区域指挥部主办逾期!$U$3:$U$31)+SUMPRODUCT((华东区域指挥部主办逾期!$N$3:$N$31&gt;0)*(华东区域指挥部主办逾期!$W$3:$W$31=D14)*华东区域指挥部主办逾期!$N$3:$N$31*华东区域指挥部主办逾期!$Q$3:$Q$31*华东区域指挥部主办逾期!$X$3:$X$31)+SUMPRODUCT((华东区域指挥协办逾期!$N$3:$N$10&gt;0)*(华东区域指挥协办逾期!$T$3:$T$10=D14)*华东区域指挥协办逾期!$N$3:$N$10*华东区域指挥协办逾期!$Q$3:$Q$10*华东区域指挥协办逾期!$U$3:$U$10)+SUMPRODUCT((华东区域指挥协办逾期!$N$3:$N$10&gt;0)*(华东区域指挥协办逾期!$W$3:$W$10=D14)*华东区域指挥协办逾期!$N$3:$N$10*华东区域指挥协办逾期!$Q$3:$Q$10*华东区域指挥协办逾期!$X$3:$X$10))/10000</f>
        <v>0</v>
      </c>
      <c r="I14" s="177" cm="1">
        <f t="array" ref="I14">(SUMPRODUCT((华东区域指挥部主办逾期!$O$3:$O$31&gt;0)*(华东区域指挥部主办逾期!$T$3:$T$31=D14)*华东区域指挥部主办逾期!$O$3:$O$31*华东区域指挥部主办逾期!$Q$3:$Q$31*华东区域指挥部主办逾期!$U$3:$U$31)+SUMPRODUCT((华东区域指挥部主办逾期!$O$3:$O$31&gt;0)*(华东区域指挥部主办逾期!$W$3:$W$31=D14)*华东区域指挥部主办逾期!$O$3:$O$31*华东区域指挥部主办逾期!$Q$3:$Q$31*华东区域指挥部主办逾期!$X$3:$X$31)+SUMPRODUCT((华东区域指挥协办逾期!$O$3:$O$10&gt;0)*(华东区域指挥协办逾期!$T$3:$T$10=D14)*华东区域指挥协办逾期!$O$3:$O$10*华东区域指挥协办逾期!$Q$3:$Q$10*华东区域指挥协办逾期!$U$3:$U$10)+SUMPRODUCT((华东区域指挥协办逾期!$O$3:$O$10&gt;0)*(华东区域指挥协办逾期!$W$3:$W$10=D14)*华东区域指挥协办逾期!$O$3:$O$10*华东区域指挥协办逾期!$Q$3:$Q$10*华东区域指挥协办逾期!$X$3:$X$10))/10000</f>
        <v>78.71962</v>
      </c>
      <c r="J14" s="177" cm="1">
        <f t="array" ref="J14">(SUMPRODUCT((华东区域指挥部主办逾期!$P$3:$P$31&gt;0)*(华东区域指挥部主办逾期!$T$3:$T$31=D14)*华东区域指挥部主办逾期!$P$3:$P$31*华东区域指挥部主办逾期!$Q$3:$Q$31*华东区域指挥部主办逾期!$U$3:$U$31)+SUMPRODUCT((华东区域指挥部主办逾期!$P$3:$P$31&gt;0)*(华东区域指挥部主办逾期!$W$3:$W$31=D14)*华东区域指挥部主办逾期!$P$3:$P$31*华东区域指挥部主办逾期!$Q$3:$Q$31*华东区域指挥部主办逾期!$X$3:$X$31)+SUMPRODUCT((华东区域指挥协办逾期!$P$3:$P$10&gt;0)*(华东区域指挥协办逾期!$T$3:$T$10=D14)*华东区域指挥协办逾期!$P$3:$P$10*华东区域指挥协办逾期!$Q$3:$Q$10*华东区域指挥协办逾期!$U$3:$U$10)+SUMPRODUCT((华东区域指挥协办逾期!$P$3:$P$10&gt;0)*(华东区域指挥协办逾期!$W$3:$W$10=D14)*华东区域指挥协办逾期!$P$3:$P$10*华东区域指挥协办逾期!$Q$3:$Q$10*华东区域指挥协办逾期!$X$3:$X$10))/10000</f>
        <v>0</v>
      </c>
      <c r="K14" s="177">
        <f>SUM(F14:J14)</f>
        <v>143.80023</v>
      </c>
      <c r="L14" s="177">
        <f>E14-K14</f>
        <v>42.38045</v>
      </c>
      <c r="M14" s="178">
        <f t="shared" si="1"/>
        <v>0.227630761688055</v>
      </c>
    </row>
    <row r="15" ht="37" customHeight="1" spans="1:13">
      <c r="A15" s="5">
        <v>10</v>
      </c>
      <c r="B15" s="175"/>
      <c r="C15" s="175"/>
      <c r="D15" s="41" t="s">
        <v>31</v>
      </c>
      <c r="E15" s="176">
        <v>1103.342673</v>
      </c>
      <c r="F15" s="177" cm="1">
        <f t="array" ref="F15">(SUMPRODUCT((华东区域指挥部主办逾期!$L$3:$L$31&gt;0)*(华东区域指挥部主办逾期!$T$3:$T$31=D15)*华东区域指挥部主办逾期!$L$3:$L$31*华东区域指挥部主办逾期!$Q$3:$Q$31*华东区域指挥部主办逾期!$U$3:$U$31)+SUMPRODUCT((华东区域指挥部主办逾期!$L$3:$L$31&gt;0)*(华东区域指挥部主办逾期!$W$3:$W$31=D15)*华东区域指挥部主办逾期!$L$3:$L$31*华东区域指挥部主办逾期!$Q$3:$Q$31*华东区域指挥部主办逾期!$X$3:$X$31)+SUMPRODUCT((华东区域指挥协办逾期!$L$3:$L$10&gt;0)*(华东区域指挥协办逾期!$T$3:$T$10=D15)*华东区域指挥协办逾期!$L$3:$L$10*华东区域指挥协办逾期!$Q$3:$Q$10*华东区域指挥协办逾期!$U$3:$U$10)+SUMPRODUCT((华东区域指挥协办逾期!$L$3:$L$10&gt;0)*(华东区域指挥协办逾期!$W$3:$W$10=D15)*华东区域指挥协办逾期!$L$3:$L$10*华东区域指挥协办逾期!$Q$3:$Q$10*华东区域指挥协办逾期!$X$3:$X$10))/10000</f>
        <v>0</v>
      </c>
      <c r="G15" s="177" cm="1">
        <f t="array" ref="G15">(SUMPRODUCT((华东区域指挥部主办逾期!$M$3:$M$31&gt;0)*(华东区域指挥部主办逾期!$T$3:$T$31=D15)*华东区域指挥部主办逾期!$M$3:$M$31*华东区域指挥部主办逾期!$Q$3:$Q$31*华东区域指挥部主办逾期!$U$3:$U$31)+SUMPRODUCT((华东区域指挥部主办逾期!$M$3:$M$31&gt;0)*(华东区域指挥部主办逾期!$W$3:$W$31=D15)*华东区域指挥部主办逾期!$M$3:$M$31*华东区域指挥部主办逾期!$Q$3:$Q$31*华东区域指挥部主办逾期!$X$3:$X$31)+SUMPRODUCT((华东区域指挥协办逾期!$M$3:$M$10&gt;0)*(华东区域指挥协办逾期!$T$3:$T$10=D15)*华东区域指挥协办逾期!$M$3:$M$10*华东区域指挥协办逾期!$Q$3:$Q$10*华东区域指挥协办逾期!$U$3:$U$10)+SUMPRODUCT((华东区域指挥协办逾期!$M$3:$M$10&gt;0)*(华东区域指挥协办逾期!$W$3:$W$10=D15)*华东区域指挥协办逾期!$M$3:$M$10*华东区域指挥协办逾期!$Q$3:$Q$10*华东区域指挥协办逾期!$X$3:$X$10))/10000</f>
        <v>486.257343</v>
      </c>
      <c r="H15" s="177" cm="1">
        <f t="array" ref="H15">(SUMPRODUCT((华东区域指挥部主办逾期!$N$3:$N$31&gt;0)*(华东区域指挥部主办逾期!$T$3:$T$31=D15)*华东区域指挥部主办逾期!$N$3:$N$31*华东区域指挥部主办逾期!$Q$3:$Q$31*华东区域指挥部主办逾期!$U$3:$U$31)+SUMPRODUCT((华东区域指挥部主办逾期!$N$3:$N$31&gt;0)*(华东区域指挥部主办逾期!$W$3:$W$31=D15)*华东区域指挥部主办逾期!$N$3:$N$31*华东区域指挥部主办逾期!$Q$3:$Q$31*华东区域指挥部主办逾期!$X$3:$X$31)+SUMPRODUCT((华东区域指挥协办逾期!$N$3:$N$10&gt;0)*(华东区域指挥协办逾期!$T$3:$T$10=D15)*华东区域指挥协办逾期!$N$3:$N$10*华东区域指挥协办逾期!$Q$3:$Q$10*华东区域指挥协办逾期!$U$3:$U$10)+SUMPRODUCT((华东区域指挥协办逾期!$N$3:$N$10&gt;0)*(华东区域指挥协办逾期!$W$3:$W$10=D15)*华东区域指挥协办逾期!$N$3:$N$10*华东区域指挥协办逾期!$Q$3:$Q$10*华东区域指挥协办逾期!$X$3:$X$10))/10000</f>
        <v>231.403167</v>
      </c>
      <c r="I15" s="177" cm="1">
        <f t="array" ref="I15">(SUMPRODUCT((华东区域指挥部主办逾期!$O$3:$O$31&gt;0)*(华东区域指挥部主办逾期!$T$3:$T$31=D15)*华东区域指挥部主办逾期!$O$3:$O$31*华东区域指挥部主办逾期!$Q$3:$Q$31*华东区域指挥部主办逾期!$U$3:$U$31)+SUMPRODUCT((华东区域指挥部主办逾期!$O$3:$O$31&gt;0)*(华东区域指挥部主办逾期!$W$3:$W$31=D15)*华东区域指挥部主办逾期!$O$3:$O$31*华东区域指挥部主办逾期!$Q$3:$Q$31*华东区域指挥部主办逾期!$X$3:$X$31)+SUMPRODUCT((华东区域指挥协办逾期!$O$3:$O$10&gt;0)*(华东区域指挥协办逾期!$T$3:$T$10=D15)*华东区域指挥协办逾期!$O$3:$O$10*华东区域指挥协办逾期!$Q$3:$Q$10*华东区域指挥协办逾期!$U$3:$U$10)+SUMPRODUCT((华东区域指挥协办逾期!$O$3:$O$10&gt;0)*(华东区域指挥协办逾期!$W$3:$W$10=D15)*华东区域指挥协办逾期!$O$3:$O$10*华东区域指挥协办逾期!$Q$3:$Q$10*华东区域指挥协办逾期!$X$3:$X$10))/10000</f>
        <v>89.73698</v>
      </c>
      <c r="J15" s="177" cm="1">
        <f t="array" ref="J15">(SUMPRODUCT((华东区域指挥部主办逾期!$P$3:$P$31&gt;0)*(华东区域指挥部主办逾期!$T$3:$T$31=D15)*华东区域指挥部主办逾期!$P$3:$P$31*华东区域指挥部主办逾期!$Q$3:$Q$31*华东区域指挥部主办逾期!$U$3:$U$31)+SUMPRODUCT((华东区域指挥部主办逾期!$P$3:$P$31&gt;0)*(华东区域指挥部主办逾期!$W$3:$W$31=D15)*华东区域指挥部主办逾期!$P$3:$P$31*华东区域指挥部主办逾期!$Q$3:$Q$31*华东区域指挥部主办逾期!$X$3:$X$31)+SUMPRODUCT((华东区域指挥协办逾期!$P$3:$P$10&gt;0)*(华东区域指挥协办逾期!$T$3:$T$10=D15)*华东区域指挥协办逾期!$P$3:$P$10*华东区域指挥协办逾期!$Q$3:$Q$10*华东区域指挥协办逾期!$U$3:$U$10)+SUMPRODUCT((华东区域指挥协办逾期!$P$3:$P$10&gt;0)*(华东区域指挥协办逾期!$W$3:$W$10=D15)*华东区域指挥协办逾期!$P$3:$P$10*华东区域指挥协办逾期!$Q$3:$Q$10*华东区域指挥协办逾期!$X$3:$X$10))/10000</f>
        <v>0</v>
      </c>
      <c r="K15" s="177">
        <f>SUM(F15:J15)</f>
        <v>807.39749</v>
      </c>
      <c r="L15" s="177">
        <f>E15-K15</f>
        <v>295.945183</v>
      </c>
      <c r="M15" s="178">
        <f t="shared" si="1"/>
        <v>0.268225992016897</v>
      </c>
    </row>
    <row r="16" ht="37" customHeight="1" spans="1:13">
      <c r="A16" s="5">
        <v>11</v>
      </c>
      <c r="B16" s="175"/>
      <c r="C16" s="182" t="s">
        <v>32</v>
      </c>
      <c r="D16" s="182"/>
      <c r="E16" s="183">
        <v>1289.523353</v>
      </c>
      <c r="F16" s="183">
        <f t="shared" ref="F16:L16" si="3">SUM(F14:F15)</f>
        <v>0</v>
      </c>
      <c r="G16" s="183">
        <f t="shared" si="3"/>
        <v>551.337953</v>
      </c>
      <c r="H16" s="183">
        <f t="shared" si="3"/>
        <v>231.403167</v>
      </c>
      <c r="I16" s="183">
        <f t="shared" si="3"/>
        <v>168.4566</v>
      </c>
      <c r="J16" s="183">
        <f t="shared" si="3"/>
        <v>0</v>
      </c>
      <c r="K16" s="183">
        <f t="shared" si="3"/>
        <v>951.19772</v>
      </c>
      <c r="L16" s="183">
        <f t="shared" si="3"/>
        <v>338.325633</v>
      </c>
      <c r="M16" s="184">
        <f t="shared" si="1"/>
        <v>0.262364874752292</v>
      </c>
    </row>
    <row r="17" ht="37" customHeight="1" spans="1:13">
      <c r="A17" s="5">
        <v>12</v>
      </c>
      <c r="B17" s="175" t="s">
        <v>33</v>
      </c>
      <c r="C17" s="175" t="s">
        <v>34</v>
      </c>
      <c r="D17" s="41" t="s">
        <v>35</v>
      </c>
      <c r="E17" s="176">
        <v>721.5774876</v>
      </c>
      <c r="F17" s="177" cm="1">
        <f t="array" ref="F17">(SUMPRODUCT((华东区域指挥部主办逾期!$L$3:$L$31&gt;0)*(华东区域指挥部主办逾期!$T$3:$T$31=D17)*华东区域指挥部主办逾期!$L$3:$L$31*华东区域指挥部主办逾期!$Q$3:$Q$31*华东区域指挥部主办逾期!$U$3:$U$31)+SUMPRODUCT((华东区域指挥部主办逾期!$L$3:$L$31&gt;0)*(华东区域指挥部主办逾期!$W$3:$W$31=D17)*华东区域指挥部主办逾期!$L$3:$L$31*华东区域指挥部主办逾期!$Q$3:$Q$31*华东区域指挥部主办逾期!$X$3:$X$31)+SUMPRODUCT((华东区域指挥协办逾期!$L$3:$L$10&gt;0)*(华东区域指挥协办逾期!$T$3:$T$10=D17)*华东区域指挥协办逾期!$L$3:$L$10*华东区域指挥协办逾期!$Q$3:$Q$10*华东区域指挥协办逾期!$U$3:$U$10)+SUMPRODUCT((华东区域指挥协办逾期!$L$3:$L$10&gt;0)*(华东区域指挥协办逾期!$W$3:$W$10=D17)*华东区域指挥协办逾期!$L$3:$L$10*华东区域指挥协办逾期!$Q$3:$Q$10*华东区域指挥协办逾期!$X$3:$X$10))/10000</f>
        <v>0</v>
      </c>
      <c r="G17" s="177" cm="1">
        <f t="array" ref="G17">(SUMPRODUCT((华东区域指挥部主办逾期!$M$3:$M$31&gt;0)*(华东区域指挥部主办逾期!$T$3:$T$31=D17)*华东区域指挥部主办逾期!$M$3:$M$31*华东区域指挥部主办逾期!$Q$3:$Q$31*华东区域指挥部主办逾期!$U$3:$U$31)+SUMPRODUCT((华东区域指挥部主办逾期!$M$3:$M$31&gt;0)*(华东区域指挥部主办逾期!$W$3:$W$31=D17)*华东区域指挥部主办逾期!$M$3:$M$31*华东区域指挥部主办逾期!$Q$3:$Q$31*华东区域指挥部主办逾期!$X$3:$X$31)+SUMPRODUCT((华东区域指挥协办逾期!$M$3:$M$10&gt;0)*(华东区域指挥协办逾期!$T$3:$T$10=D17)*华东区域指挥协办逾期!$M$3:$M$10*华东区域指挥协办逾期!$Q$3:$Q$10*华东区域指挥协办逾期!$U$3:$U$10)+SUMPRODUCT((华东区域指挥协办逾期!$M$3:$M$10&gt;0)*(华东区域指挥协办逾期!$W$3:$W$10=D17)*华东区域指挥协办逾期!$M$3:$M$10*华东区域指挥协办逾期!$Q$3:$Q$10*华东区域指挥协办逾期!$X$3:$X$10))/10000</f>
        <v>0</v>
      </c>
      <c r="H17" s="177" cm="1">
        <f t="array" ref="H17">(SUMPRODUCT((华东区域指挥部主办逾期!$N$3:$N$31&gt;0)*(华东区域指挥部主办逾期!$T$3:$T$31=D17)*华东区域指挥部主办逾期!$N$3:$N$31*华东区域指挥部主办逾期!$Q$3:$Q$31*华东区域指挥部主办逾期!$U$3:$U$31)+SUMPRODUCT((华东区域指挥部主办逾期!$N$3:$N$31&gt;0)*(华东区域指挥部主办逾期!$W$3:$W$31=D17)*华东区域指挥部主办逾期!$N$3:$N$31*华东区域指挥部主办逾期!$Q$3:$Q$31*华东区域指挥部主办逾期!$X$3:$X$31)+SUMPRODUCT((华东区域指挥协办逾期!$N$3:$N$10&gt;0)*(华东区域指挥协办逾期!$T$3:$T$10=D17)*华东区域指挥协办逾期!$N$3:$N$10*华东区域指挥协办逾期!$Q$3:$Q$10*华东区域指挥协办逾期!$U$3:$U$10)+SUMPRODUCT((华东区域指挥协办逾期!$N$3:$N$10&gt;0)*(华东区域指挥协办逾期!$W$3:$W$10=D17)*华东区域指挥协办逾期!$N$3:$N$10*华东区域指挥协办逾期!$Q$3:$Q$10*华东区域指挥协办逾期!$X$3:$X$10))/10000</f>
        <v>721.5774876</v>
      </c>
      <c r="I17" s="177" cm="1">
        <f t="array" ref="I17">(SUMPRODUCT((华东区域指挥部主办逾期!$O$3:$O$31&gt;0)*(华东区域指挥部主办逾期!$T$3:$T$31=D17)*华东区域指挥部主办逾期!$O$3:$O$31*华东区域指挥部主办逾期!$Q$3:$Q$31*华东区域指挥部主办逾期!$U$3:$U$31)+SUMPRODUCT((华东区域指挥部主办逾期!$O$3:$O$31&gt;0)*(华东区域指挥部主办逾期!$W$3:$W$31=D17)*华东区域指挥部主办逾期!$O$3:$O$31*华东区域指挥部主办逾期!$Q$3:$Q$31*华东区域指挥部主办逾期!$X$3:$X$31)+SUMPRODUCT((华东区域指挥协办逾期!$O$3:$O$10&gt;0)*(华东区域指挥协办逾期!$T$3:$T$10=D17)*华东区域指挥协办逾期!$O$3:$O$10*华东区域指挥协办逾期!$Q$3:$Q$10*华东区域指挥协办逾期!$U$3:$U$10)+SUMPRODUCT((华东区域指挥协办逾期!$O$3:$O$10&gt;0)*(华东区域指挥协办逾期!$W$3:$W$10=D17)*华东区域指挥协办逾期!$O$3:$O$10*华东区域指挥协办逾期!$Q$3:$Q$10*华东区域指挥协办逾期!$X$3:$X$10))/10000</f>
        <v>0</v>
      </c>
      <c r="J17" s="177" cm="1">
        <f t="array" ref="J17">(SUMPRODUCT((华东区域指挥部主办逾期!$P$3:$P$31&gt;0)*(华东区域指挥部主办逾期!$T$3:$T$31=D17)*华东区域指挥部主办逾期!$P$3:$P$31*华东区域指挥部主办逾期!$Q$3:$Q$31*华东区域指挥部主办逾期!$U$3:$U$31)+SUMPRODUCT((华东区域指挥部主办逾期!$P$3:$P$31&gt;0)*(华东区域指挥部主办逾期!$W$3:$W$31=D17)*华东区域指挥部主办逾期!$P$3:$P$31*华东区域指挥部主办逾期!$Q$3:$Q$31*华东区域指挥部主办逾期!$X$3:$X$31)+SUMPRODUCT((华东区域指挥协办逾期!$P$3:$P$10&gt;0)*(华东区域指挥协办逾期!$T$3:$T$10=D17)*华东区域指挥协办逾期!$P$3:$P$10*华东区域指挥协办逾期!$Q$3:$Q$10*华东区域指挥协办逾期!$U$3:$U$10)+SUMPRODUCT((华东区域指挥协办逾期!$P$3:$P$10&gt;0)*(华东区域指挥协办逾期!$W$3:$W$10=D17)*华东区域指挥协办逾期!$P$3:$P$10*华东区域指挥协办逾期!$Q$3:$Q$10*华东区域指挥协办逾期!$X$3:$X$10))/10000</f>
        <v>0</v>
      </c>
      <c r="K17" s="177">
        <f>SUM(F17:J17)</f>
        <v>721.5774876</v>
      </c>
      <c r="L17" s="177">
        <f>E17-K17</f>
        <v>0</v>
      </c>
      <c r="M17" s="178">
        <f t="shared" si="1"/>
        <v>0</v>
      </c>
    </row>
    <row r="18" ht="37" customHeight="1" spans="1:13">
      <c r="A18" s="5">
        <v>13</v>
      </c>
      <c r="B18" s="175"/>
      <c r="C18" s="175"/>
      <c r="D18" s="41" t="s">
        <v>36</v>
      </c>
      <c r="E18" s="176">
        <v>1650.0742252</v>
      </c>
      <c r="F18" s="177" cm="1">
        <f t="array" ref="F18">(SUMPRODUCT((华东区域指挥部主办逾期!$L$3:$L$31&gt;0)*(华东区域指挥部主办逾期!$T$3:$T$31=D18)*华东区域指挥部主办逾期!$L$3:$L$31*华东区域指挥部主办逾期!$Q$3:$Q$31*华东区域指挥部主办逾期!$U$3:$U$31)+SUMPRODUCT((华东区域指挥部主办逾期!$L$3:$L$31&gt;0)*(华东区域指挥部主办逾期!$W$3:$W$31=D18)*华东区域指挥部主办逾期!$L$3:$L$31*华东区域指挥部主办逾期!$Q$3:$Q$31*华东区域指挥部主办逾期!$X$3:$X$31)+SUMPRODUCT((华东区域指挥协办逾期!$L$3:$L$10&gt;0)*(华东区域指挥协办逾期!$T$3:$T$10=D18)*华东区域指挥协办逾期!$L$3:$L$10*华东区域指挥协办逾期!$Q$3:$Q$10*华东区域指挥协办逾期!$U$3:$U$10)+SUMPRODUCT((华东区域指挥协办逾期!$L$3:$L$10&gt;0)*(华东区域指挥协办逾期!$W$3:$W$10=D18)*华东区域指挥协办逾期!$L$3:$L$10*华东区域指挥协办逾期!$Q$3:$Q$10*华东区域指挥协办逾期!$X$3:$X$10))/10000</f>
        <v>0</v>
      </c>
      <c r="G18" s="177" cm="1">
        <f t="array" ref="G18">(SUMPRODUCT((华东区域指挥部主办逾期!$M$3:$M$31&gt;0)*(华东区域指挥部主办逾期!$T$3:$T$31=D18)*华东区域指挥部主办逾期!$M$3:$M$31*华东区域指挥部主办逾期!$Q$3:$Q$31*华东区域指挥部主办逾期!$U$3:$U$31)+SUMPRODUCT((华东区域指挥部主办逾期!$M$3:$M$31&gt;0)*(华东区域指挥部主办逾期!$W$3:$W$31=D18)*华东区域指挥部主办逾期!$M$3:$M$31*华东区域指挥部主办逾期!$Q$3:$Q$31*华东区域指挥部主办逾期!$X$3:$X$31)+SUMPRODUCT((华东区域指挥协办逾期!$M$3:$M$10&gt;0)*(华东区域指挥协办逾期!$T$3:$T$10=D18)*华东区域指挥协办逾期!$M$3:$M$10*华东区域指挥协办逾期!$Q$3:$Q$10*华东区域指挥协办逾期!$U$3:$U$10)+SUMPRODUCT((华东区域指挥协办逾期!$M$3:$M$10&gt;0)*(华东区域指挥协办逾期!$W$3:$W$10=D18)*华东区域指挥协办逾期!$M$3:$M$10*华东区域指挥协办逾期!$Q$3:$Q$10*华东区域指挥协办逾期!$X$3:$X$10))/10000</f>
        <v>1146.0751</v>
      </c>
      <c r="H18" s="177" cm="1">
        <f t="array" ref="H18">(SUMPRODUCT((华东区域指挥部主办逾期!$N$3:$N$31&gt;0)*(华东区域指挥部主办逾期!$T$3:$T$31=D18)*华东区域指挥部主办逾期!$N$3:$N$31*华东区域指挥部主办逾期!$Q$3:$Q$31*华东区域指挥部主办逾期!$U$3:$U$31)+SUMPRODUCT((华东区域指挥部主办逾期!$N$3:$N$31&gt;0)*(华东区域指挥部主办逾期!$W$3:$W$31=D18)*华东区域指挥部主办逾期!$N$3:$N$31*华东区域指挥部主办逾期!$Q$3:$Q$31*华东区域指挥部主办逾期!$X$3:$X$31)+SUMPRODUCT((华东区域指挥协办逾期!$N$3:$N$10&gt;0)*(华东区域指挥协办逾期!$T$3:$T$10=D18)*华东区域指挥协办逾期!$N$3:$N$10*华东区域指挥协办逾期!$Q$3:$Q$10*华东区域指挥协办逾期!$U$3:$U$10)+SUMPRODUCT((华东区域指挥协办逾期!$N$3:$N$10&gt;0)*(华东区域指挥协办逾期!$W$3:$W$10=D18)*华东区域指挥协办逾期!$N$3:$N$10*华东区域指挥协办逾期!$Q$3:$Q$10*华东区域指挥协办逾期!$X$3:$X$10))/10000</f>
        <v>132.43916</v>
      </c>
      <c r="I18" s="177" cm="1">
        <f t="array" ref="I18">(SUMPRODUCT((华东区域指挥部主办逾期!$O$3:$O$31&gt;0)*(华东区域指挥部主办逾期!$T$3:$T$31=D18)*华东区域指挥部主办逾期!$O$3:$O$31*华东区域指挥部主办逾期!$Q$3:$Q$31*华东区域指挥部主办逾期!$U$3:$U$31)+SUMPRODUCT((华东区域指挥部主办逾期!$O$3:$O$31&gt;0)*(华东区域指挥部主办逾期!$W$3:$W$31=D18)*华东区域指挥部主办逾期!$O$3:$O$31*华东区域指挥部主办逾期!$Q$3:$Q$31*华东区域指挥部主办逾期!$X$3:$X$31)+SUMPRODUCT((华东区域指挥协办逾期!$O$3:$O$10&gt;0)*(华东区域指挥协办逾期!$T$3:$T$10=D18)*华东区域指挥协办逾期!$O$3:$O$10*华东区域指挥协办逾期!$Q$3:$Q$10*华东区域指挥协办逾期!$U$3:$U$10)+SUMPRODUCT((华东区域指挥协办逾期!$O$3:$O$10&gt;0)*(华东区域指挥协办逾期!$W$3:$W$10=D18)*华东区域指挥协办逾期!$O$3:$O$10*华东区域指挥协办逾期!$Q$3:$Q$10*华东区域指挥协办逾期!$X$3:$X$10))/10000</f>
        <v>6.12408</v>
      </c>
      <c r="J18" s="177" cm="1">
        <f t="array" ref="J18">(SUMPRODUCT((华东区域指挥部主办逾期!$P$3:$P$31&gt;0)*(华东区域指挥部主办逾期!$T$3:$T$31=D18)*华东区域指挥部主办逾期!$P$3:$P$31*华东区域指挥部主办逾期!$Q$3:$Q$31*华东区域指挥部主办逾期!$U$3:$U$31)+SUMPRODUCT((华东区域指挥部主办逾期!$P$3:$P$31&gt;0)*(华东区域指挥部主办逾期!$W$3:$W$31=D18)*华东区域指挥部主办逾期!$P$3:$P$31*华东区域指挥部主办逾期!$Q$3:$Q$31*华东区域指挥部主办逾期!$X$3:$X$31)+SUMPRODUCT((华东区域指挥协办逾期!$P$3:$P$10&gt;0)*(华东区域指挥协办逾期!$T$3:$T$10=D18)*华东区域指挥协办逾期!$P$3:$P$10*华东区域指挥协办逾期!$Q$3:$Q$10*华东区域指挥协办逾期!$U$3:$U$10)+SUMPRODUCT((华东区域指挥协办逾期!$P$3:$P$10&gt;0)*(华东区域指挥协办逾期!$W$3:$W$10=D18)*华东区域指挥协办逾期!$P$3:$P$10*华东区域指挥协办逾期!$Q$3:$Q$10*华东区域指挥协办逾期!$X$3:$X$10))/10000</f>
        <v>275.195885200001</v>
      </c>
      <c r="K18" s="177">
        <f>SUM(F18:J18)</f>
        <v>1559.8342252</v>
      </c>
      <c r="L18" s="177">
        <f>E18-K18</f>
        <v>90.2399999999991</v>
      </c>
      <c r="M18" s="178">
        <f t="shared" si="1"/>
        <v>0.0546884489326905</v>
      </c>
    </row>
    <row r="19" ht="37" customHeight="1" spans="1:13">
      <c r="A19" s="5">
        <v>14</v>
      </c>
      <c r="B19" s="175"/>
      <c r="C19" s="175"/>
      <c r="D19" s="179" t="s">
        <v>21</v>
      </c>
      <c r="E19" s="180">
        <v>2371.6517128</v>
      </c>
      <c r="F19" s="180">
        <f t="shared" ref="F19:L19" si="4">SUM(F17:F18)</f>
        <v>0</v>
      </c>
      <c r="G19" s="180">
        <f t="shared" si="4"/>
        <v>1146.0751</v>
      </c>
      <c r="H19" s="180">
        <f t="shared" si="4"/>
        <v>854.0166476</v>
      </c>
      <c r="I19" s="180">
        <f t="shared" si="4"/>
        <v>6.12408</v>
      </c>
      <c r="J19" s="180">
        <f t="shared" si="4"/>
        <v>275.195885200001</v>
      </c>
      <c r="K19" s="180">
        <f t="shared" si="4"/>
        <v>2281.4117128</v>
      </c>
      <c r="L19" s="180">
        <f t="shared" si="4"/>
        <v>90.2399999999991</v>
      </c>
      <c r="M19" s="181">
        <f t="shared" si="1"/>
        <v>0.0380494317580302</v>
      </c>
    </row>
    <row r="20" ht="37" customHeight="1" spans="1:13">
      <c r="A20" s="5">
        <v>15</v>
      </c>
      <c r="B20" s="175"/>
      <c r="C20" s="175" t="s">
        <v>37</v>
      </c>
      <c r="D20" s="41" t="s">
        <v>38</v>
      </c>
      <c r="E20" s="176">
        <v>2328.15</v>
      </c>
      <c r="F20" s="177" cm="1">
        <f t="array" ref="F20">(SUMPRODUCT((华东区域指挥部主办逾期!$L$3:$L$31&gt;0)*(华东区域指挥部主办逾期!$T$3:$T$31=D20)*华东区域指挥部主办逾期!$L$3:$L$31*华东区域指挥部主办逾期!$Q$3:$Q$31*华东区域指挥部主办逾期!$U$3:$U$31)+SUMPRODUCT((华东区域指挥部主办逾期!$L$3:$L$31&gt;0)*(华东区域指挥部主办逾期!$W$3:$W$31=D20)*华东区域指挥部主办逾期!$L$3:$L$31*华东区域指挥部主办逾期!$Q$3:$Q$31*华东区域指挥部主办逾期!$X$3:$X$31)+SUMPRODUCT((华东区域指挥协办逾期!$L$3:$L$10&gt;0)*(华东区域指挥协办逾期!$T$3:$T$10=D20)*华东区域指挥协办逾期!$L$3:$L$10*华东区域指挥协办逾期!$Q$3:$Q$10*华东区域指挥协办逾期!$U$3:$U$10)+SUMPRODUCT((华东区域指挥协办逾期!$L$3:$L$10&gt;0)*(华东区域指挥协办逾期!$W$3:$W$10=D20)*华东区域指挥协办逾期!$L$3:$L$10*华东区域指挥协办逾期!$Q$3:$Q$10*华东区域指挥协办逾期!$X$3:$X$10))/10000</f>
        <v>0</v>
      </c>
      <c r="G20" s="177" cm="1">
        <f t="array" ref="G20">(SUMPRODUCT((华东区域指挥部主办逾期!$M$3:$M$31&gt;0)*(华东区域指挥部主办逾期!$T$3:$T$31=D20)*华东区域指挥部主办逾期!$M$3:$M$31*华东区域指挥部主办逾期!$Q$3:$Q$31*华东区域指挥部主办逾期!$U$3:$U$31)+SUMPRODUCT((华东区域指挥部主办逾期!$M$3:$M$31&gt;0)*(华东区域指挥部主办逾期!$W$3:$W$31=D20)*华东区域指挥部主办逾期!$M$3:$M$31*华东区域指挥部主办逾期!$Q$3:$Q$31*华东区域指挥部主办逾期!$X$3:$X$31)+SUMPRODUCT((华东区域指挥协办逾期!$M$3:$M$10&gt;0)*(华东区域指挥协办逾期!$T$3:$T$10=D20)*华东区域指挥协办逾期!$M$3:$M$10*华东区域指挥协办逾期!$Q$3:$Q$10*华东区域指挥协办逾期!$U$3:$U$10)+SUMPRODUCT((华东区域指挥协办逾期!$M$3:$M$10&gt;0)*(华东区域指挥协办逾期!$W$3:$W$10=D20)*华东区域指挥协办逾期!$M$3:$M$10*华东区域指挥协办逾期!$Q$3:$Q$10*华东区域指挥协办逾期!$X$3:$X$10))/10000</f>
        <v>2064.65</v>
      </c>
      <c r="H20" s="177" cm="1">
        <f t="array" ref="H20">(SUMPRODUCT((华东区域指挥部主办逾期!$N$3:$N$31&gt;0)*(华东区域指挥部主办逾期!$T$3:$T$31=D20)*华东区域指挥部主办逾期!$N$3:$N$31*华东区域指挥部主办逾期!$Q$3:$Q$31*华东区域指挥部主办逾期!$U$3:$U$31)+SUMPRODUCT((华东区域指挥部主办逾期!$N$3:$N$31&gt;0)*(华东区域指挥部主办逾期!$W$3:$W$31=D20)*华东区域指挥部主办逾期!$N$3:$N$31*华东区域指挥部主办逾期!$Q$3:$Q$31*华东区域指挥部主办逾期!$X$3:$X$31)+SUMPRODUCT((华东区域指挥协办逾期!$N$3:$N$10&gt;0)*(华东区域指挥协办逾期!$T$3:$T$10=D20)*华东区域指挥协办逾期!$N$3:$N$10*华东区域指挥协办逾期!$Q$3:$Q$10*华东区域指挥协办逾期!$U$3:$U$10)+SUMPRODUCT((华东区域指挥协办逾期!$N$3:$N$10&gt;0)*(华东区域指挥协办逾期!$W$3:$W$10=D20)*华东区域指挥协办逾期!$N$3:$N$10*华东区域指挥协办逾期!$Q$3:$Q$10*华东区域指挥协办逾期!$X$3:$X$10))/10000</f>
        <v>9</v>
      </c>
      <c r="I20" s="177" cm="1">
        <f t="array" ref="I20">(SUMPRODUCT((华东区域指挥部主办逾期!$O$3:$O$31&gt;0)*(华东区域指挥部主办逾期!$T$3:$T$31=D20)*华东区域指挥部主办逾期!$O$3:$O$31*华东区域指挥部主办逾期!$Q$3:$Q$31*华东区域指挥部主办逾期!$U$3:$U$31)+SUMPRODUCT((华东区域指挥部主办逾期!$O$3:$O$31&gt;0)*(华东区域指挥部主办逾期!$W$3:$W$31=D20)*华东区域指挥部主办逾期!$O$3:$O$31*华东区域指挥部主办逾期!$Q$3:$Q$31*华东区域指挥部主办逾期!$X$3:$X$31)+SUMPRODUCT((华东区域指挥协办逾期!$O$3:$O$10&gt;0)*(华东区域指挥协办逾期!$T$3:$T$10=D20)*华东区域指挥协办逾期!$O$3:$O$10*华东区域指挥协办逾期!$Q$3:$Q$10*华东区域指挥协办逾期!$U$3:$U$10)+SUMPRODUCT((华东区域指挥协办逾期!$O$3:$O$10&gt;0)*(华东区域指挥协办逾期!$W$3:$W$10=D20)*华东区域指挥协办逾期!$O$3:$O$10*华东区域指挥协办逾期!$Q$3:$Q$10*华东区域指挥协办逾期!$X$3:$X$10))/10000</f>
        <v>0</v>
      </c>
      <c r="J20" s="177" cm="1">
        <f t="array" ref="J20">(SUMPRODUCT((华东区域指挥部主办逾期!$P$3:$P$31&gt;0)*(华东区域指挥部主办逾期!$T$3:$T$31=D20)*华东区域指挥部主办逾期!$P$3:$P$31*华东区域指挥部主办逾期!$Q$3:$Q$31*华东区域指挥部主办逾期!$U$3:$U$31)+SUMPRODUCT((华东区域指挥部主办逾期!$P$3:$P$31&gt;0)*(华东区域指挥部主办逾期!$W$3:$W$31=D20)*华东区域指挥部主办逾期!$P$3:$P$31*华东区域指挥部主办逾期!$Q$3:$Q$31*华东区域指挥部主办逾期!$X$3:$X$31)+SUMPRODUCT((华东区域指挥协办逾期!$P$3:$P$10&gt;0)*(华东区域指挥协办逾期!$T$3:$T$10=D20)*华东区域指挥协办逾期!$P$3:$P$10*华东区域指挥协办逾期!$Q$3:$Q$10*华东区域指挥协办逾期!$U$3:$U$10)+SUMPRODUCT((华东区域指挥协办逾期!$P$3:$P$10&gt;0)*(华东区域指挥协办逾期!$W$3:$W$10=D20)*华东区域指挥协办逾期!$P$3:$P$10*华东区域指挥协办逾期!$Q$3:$Q$10*华东区域指挥协办逾期!$X$3:$X$10))/10000</f>
        <v>4.5</v>
      </c>
      <c r="K20" s="177">
        <f>SUM(F20:J20)</f>
        <v>2078.15</v>
      </c>
      <c r="L20" s="177">
        <f>E20-K20</f>
        <v>250</v>
      </c>
      <c r="M20" s="185">
        <f t="shared" si="1"/>
        <v>0.107381397246741</v>
      </c>
    </row>
    <row r="21" ht="37" customHeight="1" spans="1:13">
      <c r="A21" s="5">
        <v>16</v>
      </c>
      <c r="B21" s="175"/>
      <c r="C21" s="186" t="s">
        <v>39</v>
      </c>
      <c r="D21" s="186"/>
      <c r="E21" s="183">
        <v>4699.8017128</v>
      </c>
      <c r="F21" s="183">
        <f t="shared" ref="F21:L21" si="5">SUM(F19,F20)</f>
        <v>0</v>
      </c>
      <c r="G21" s="183">
        <f t="shared" si="5"/>
        <v>3210.7251</v>
      </c>
      <c r="H21" s="183">
        <f t="shared" si="5"/>
        <v>863.0166476</v>
      </c>
      <c r="I21" s="183">
        <f t="shared" si="5"/>
        <v>6.12408</v>
      </c>
      <c r="J21" s="183">
        <f t="shared" si="5"/>
        <v>279.695885200001</v>
      </c>
      <c r="K21" s="183">
        <f t="shared" si="5"/>
        <v>4359.5617128</v>
      </c>
      <c r="L21" s="183">
        <f t="shared" si="5"/>
        <v>340.239999999999</v>
      </c>
      <c r="M21" s="187">
        <f t="shared" si="1"/>
        <v>0.0723945435981584</v>
      </c>
    </row>
    <row r="22" ht="37" customHeight="1" spans="1:13">
      <c r="A22" s="5">
        <v>17</v>
      </c>
      <c r="B22" s="186" t="s">
        <v>40</v>
      </c>
      <c r="C22" s="186"/>
      <c r="D22" s="186"/>
      <c r="E22" s="183">
        <v>8135.52</v>
      </c>
      <c r="F22" s="183">
        <f t="shared" ref="F22:L22" si="6">SUM(F13,F16,F21)</f>
        <v>0</v>
      </c>
      <c r="G22" s="183">
        <f t="shared" si="6"/>
        <v>4340.216053</v>
      </c>
      <c r="H22" s="183">
        <f t="shared" si="6"/>
        <v>1396.2698146</v>
      </c>
      <c r="I22" s="183">
        <f t="shared" si="6"/>
        <v>248.88068</v>
      </c>
      <c r="J22" s="183">
        <f t="shared" si="6"/>
        <v>561.067780200001</v>
      </c>
      <c r="K22" s="183">
        <f t="shared" si="6"/>
        <v>6546.4343278</v>
      </c>
      <c r="L22" s="183">
        <f t="shared" si="6"/>
        <v>1589.0856722</v>
      </c>
      <c r="M22" s="184">
        <f t="shared" si="1"/>
        <v>0.19532687181643</v>
      </c>
    </row>
    <row r="23" ht="30" customHeight="1" spans="1:13">
      <c r="K23" s="168">
        <v>17210.43427</v>
      </c>
    </row>
    <row r="24" spans="1:13">
      <c r="I24" s="166"/>
      <c r="J24" s="166"/>
      <c r="K24" s="166"/>
    </row>
    <row r="25" spans="1:13">
      <c r="K25" s="168">
        <f>K22+K23</f>
        <v>23756.8685978</v>
      </c>
    </row>
    <row r="26" spans="1:13">
      <c r="K26" s="168">
        <f>E22-K25</f>
        <v>-15621.3485978</v>
      </c>
    </row>
    <row r="27" spans="1:13">
      <c r="K27" s="168">
        <f>K26/E22</f>
        <v>-1.920141379752</v>
      </c>
      <c r="M27"/>
    </row>
    <row r="28" ht="40" customHeight="1" spans="1:13">
      <c r="H28"/>
      <c r="K28" s="188"/>
    </row>
    <row r="29" ht="40" customHeight="1" spans="1:13">
      <c r="E29" s="62"/>
    </row>
    <row r="30" spans="1:13">
      <c r="E30" s="62"/>
    </row>
    <row r="31" spans="1:13">
      <c r="E31" s="62"/>
    </row>
    <row r="32" spans="1:13">
      <c r="E32" s="62"/>
    </row>
    <row r="38" spans="13:13">
      <c r="M38" s="168"/>
    </row>
  </sheetData>
  <mergeCells count="23">
    <mergeCell ref="A1:M1"/>
    <mergeCell ref="B2:M2"/>
    <mergeCell ref="F3:K3"/>
    <mergeCell ref="F4:J4"/>
    <mergeCell ref="C13:D13"/>
    <mergeCell ref="C16:D16"/>
    <mergeCell ref="C21:D21"/>
    <mergeCell ref="B22:D22"/>
    <mergeCell ref="A3:A5"/>
    <mergeCell ref="B3:B5"/>
    <mergeCell ref="B6:B13"/>
    <mergeCell ref="B14:B16"/>
    <mergeCell ref="B17:B21"/>
    <mergeCell ref="C3:C5"/>
    <mergeCell ref="C6:C8"/>
    <mergeCell ref="C9:C12"/>
    <mergeCell ref="C14:C15"/>
    <mergeCell ref="C17:C19"/>
    <mergeCell ref="D3:D5"/>
    <mergeCell ref="E3:E5"/>
    <mergeCell ref="K4:K5"/>
    <mergeCell ref="L3:L5"/>
    <mergeCell ref="M3:M5"/>
  </mergeCells>
  <pageMargins left="0.7" right="0.7" top="0.75" bottom="0.75" header="0.3" footer="0.3"/>
  <pageSetup paperSize="9" orientation="portrait"/>
  <headerFooter/>
  <ignoredErrors>
    <ignoredError sqref="H8:L8 F16:L16 F19:L19"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9"/>
  <sheetViews>
    <sheetView zoomScale="55" zoomScaleNormal="55" workbookViewId="0">
      <pane xSplit="1" ySplit="2" topLeftCell="B15" activePane="bottomRight" state="frozen"/>
      <selection/>
      <selection pane="topRight"/>
      <selection pane="bottomLeft"/>
      <selection pane="bottomRight" activeCell="E11" sqref="E11"/>
    </sheetView>
  </sheetViews>
  <sheetFormatPr defaultColWidth="8.72727272727273" defaultRowHeight="14"/>
  <cols>
    <col min="1" max="1" width="6.1" style="91" customWidth="1"/>
    <col min="2" max="2" width="10.5727272727273" style="100" customWidth="1"/>
    <col min="3" max="4" width="25.0636363636364" style="100" customWidth="1"/>
    <col min="5" max="5" width="18.3454545454545" style="100" customWidth="1"/>
    <col min="6" max="6" width="11.6545454545455" style="100" hidden="1" customWidth="1"/>
    <col min="7" max="7" width="16.1" style="100" customWidth="1"/>
    <col min="8" max="8" width="15.3181818181818" style="100" customWidth="1"/>
    <col min="9" max="10" width="18.7" style="100" customWidth="1"/>
    <col min="11" max="11" width="19.8272727272727" style="91" customWidth="1"/>
    <col min="12" max="16" width="16.1909090909091" style="91" customWidth="1"/>
    <col min="17" max="17" width="9.61818181818182" style="91" customWidth="1"/>
    <col min="18" max="18" width="15.4545454545455" style="91" customWidth="1"/>
    <col min="19" max="19" width="12.0818181818182" style="91" customWidth="1"/>
    <col min="20" max="20" width="10.6363636363636" style="91" customWidth="1"/>
    <col min="21" max="21" width="9.3" style="91" customWidth="1"/>
    <col min="22" max="22" width="17.9181818181818" style="92" customWidth="1"/>
    <col min="23" max="23" width="9.3" style="91" customWidth="1"/>
    <col min="24" max="24" width="6.94545454545455" style="91" customWidth="1"/>
    <col min="25" max="25" width="18.5" style="92" customWidth="1"/>
    <col min="26" max="26" width="8.83636363636364" hidden="1" customWidth="1"/>
    <col min="27" max="27" width="8.72727272727273" hidden="1" customWidth="1"/>
    <col min="28" max="28" width="8.81818181818182" hidden="1" customWidth="1"/>
    <col min="29" max="29" width="14.9363636363636" hidden="1" customWidth="1"/>
    <col min="30" max="30" width="8.72727272727273" hidden="1" customWidth="1"/>
    <col min="31" max="31" width="11.2727272727273" hidden="1" customWidth="1"/>
    <col min="32" max="32" width="13.9090909090909"/>
    <col min="33" max="33" width="12.4636363636364" customWidth="1"/>
    <col min="34" max="34" width="12.8181818181818"/>
  </cols>
  <sheetData>
    <row r="1" ht="57" customHeight="1" spans="1:32">
      <c r="A1" s="63" t="s">
        <v>2</v>
      </c>
      <c r="B1" s="63" t="s">
        <v>41</v>
      </c>
      <c r="C1" s="63" t="s">
        <v>42</v>
      </c>
      <c r="D1" s="63" t="s">
        <v>43</v>
      </c>
      <c r="E1" s="63" t="s">
        <v>44</v>
      </c>
      <c r="F1" s="63" t="s">
        <v>45</v>
      </c>
      <c r="G1" s="101" t="s">
        <v>6</v>
      </c>
      <c r="H1" s="101" t="s">
        <v>46</v>
      </c>
      <c r="I1" s="101" t="s">
        <v>8</v>
      </c>
      <c r="J1" s="101" t="s">
        <v>47</v>
      </c>
      <c r="K1" s="65" t="s">
        <v>48</v>
      </c>
      <c r="L1" s="102" t="s">
        <v>10</v>
      </c>
      <c r="M1" s="103"/>
      <c r="N1" s="103"/>
      <c r="O1" s="103"/>
      <c r="P1" s="103"/>
      <c r="Q1" s="104" t="s">
        <v>49</v>
      </c>
      <c r="R1" s="104"/>
      <c r="S1" s="69" t="s">
        <v>50</v>
      </c>
      <c r="T1" s="69" t="s">
        <v>51</v>
      </c>
      <c r="U1" s="69"/>
      <c r="V1" s="69"/>
      <c r="W1" s="69" t="s">
        <v>52</v>
      </c>
      <c r="X1" s="69"/>
      <c r="Y1" s="69"/>
      <c r="Z1" s="105" t="s">
        <v>53</v>
      </c>
      <c r="AA1" s="105"/>
      <c r="AB1" s="105"/>
      <c r="AC1" s="105" t="s">
        <v>54</v>
      </c>
      <c r="AD1" s="105"/>
      <c r="AE1" s="105"/>
      <c r="AF1" s="106"/>
    </row>
    <row r="2" ht="58" customHeight="1" spans="1:32">
      <c r="A2" s="63"/>
      <c r="B2" s="63"/>
      <c r="C2" s="63"/>
      <c r="D2" s="63"/>
      <c r="E2" s="63"/>
      <c r="F2" s="63"/>
      <c r="G2" s="107"/>
      <c r="H2" s="107"/>
      <c r="I2" s="107"/>
      <c r="J2" s="107"/>
      <c r="K2" s="70"/>
      <c r="L2" s="108" t="s">
        <v>12</v>
      </c>
      <c r="M2" s="108" t="s">
        <v>13</v>
      </c>
      <c r="N2" s="108" t="s">
        <v>14</v>
      </c>
      <c r="O2" s="108" t="s">
        <v>15</v>
      </c>
      <c r="P2" s="108" t="s">
        <v>16</v>
      </c>
      <c r="Q2" s="73" t="s">
        <v>55</v>
      </c>
      <c r="R2" s="109" t="s">
        <v>56</v>
      </c>
      <c r="S2" s="75" t="s">
        <v>57</v>
      </c>
      <c r="T2" s="75" t="s">
        <v>57</v>
      </c>
      <c r="U2" s="73" t="s">
        <v>58</v>
      </c>
      <c r="V2" s="76" t="s">
        <v>59</v>
      </c>
      <c r="W2" s="75" t="s">
        <v>57</v>
      </c>
      <c r="X2" s="73" t="s">
        <v>58</v>
      </c>
      <c r="Y2" s="76" t="s">
        <v>59</v>
      </c>
      <c r="Z2" s="110" t="s">
        <v>57</v>
      </c>
      <c r="AA2" s="111" t="s">
        <v>58</v>
      </c>
      <c r="AB2" s="112" t="s">
        <v>59</v>
      </c>
      <c r="AC2" s="110" t="s">
        <v>57</v>
      </c>
      <c r="AD2" s="111" t="s">
        <v>58</v>
      </c>
      <c r="AE2" s="112" t="s">
        <v>59</v>
      </c>
      <c r="AF2" s="106"/>
    </row>
    <row r="3" s="97" customFormat="1" ht="81" customHeight="1" spans="1:32">
      <c r="A3" s="83">
        <v>1</v>
      </c>
      <c r="B3" s="85" t="s">
        <v>60</v>
      </c>
      <c r="C3" s="113" t="s">
        <v>61</v>
      </c>
      <c r="D3" s="113" t="s">
        <v>62</v>
      </c>
      <c r="E3" s="114" t="s">
        <v>63</v>
      </c>
      <c r="F3" s="115"/>
      <c r="G3" s="116">
        <v>10376551</v>
      </c>
      <c r="H3" s="89"/>
      <c r="I3" s="89">
        <v>0</v>
      </c>
      <c r="J3" s="89">
        <f>G3-I3</f>
        <v>10376551</v>
      </c>
      <c r="K3" s="117">
        <f t="shared" ref="K3:K12" si="0">J3-SUM(L3:P3)</f>
        <v>0</v>
      </c>
      <c r="L3" s="89"/>
      <c r="M3" s="89">
        <v>10376551</v>
      </c>
      <c r="N3" s="89"/>
      <c r="O3" s="82"/>
      <c r="P3" s="82"/>
      <c r="Q3" s="82">
        <v>1</v>
      </c>
      <c r="R3" s="118">
        <f t="shared" ref="R3:R12" si="1">J3*Q3</f>
        <v>10376551</v>
      </c>
      <c r="S3" s="82" t="s">
        <v>64</v>
      </c>
      <c r="T3" s="82" t="s">
        <v>36</v>
      </c>
      <c r="U3" s="82">
        <v>1</v>
      </c>
      <c r="V3" s="81">
        <f t="shared" ref="V3:V12" si="2">R3*U3</f>
        <v>10376551</v>
      </c>
      <c r="W3" s="83"/>
      <c r="X3" s="82"/>
      <c r="Y3" s="81"/>
      <c r="Z3" s="119"/>
      <c r="AA3" s="120"/>
      <c r="AB3" s="119"/>
      <c r="AD3" s="121"/>
    </row>
    <row r="4" s="97" customFormat="1" ht="81" customHeight="1" spans="1:32">
      <c r="A4" s="83">
        <v>2</v>
      </c>
      <c r="B4" s="85" t="s">
        <v>60</v>
      </c>
      <c r="C4" s="113" t="s">
        <v>65</v>
      </c>
      <c r="D4" s="113" t="s">
        <v>66</v>
      </c>
      <c r="E4" s="114" t="s">
        <v>67</v>
      </c>
      <c r="F4" s="115"/>
      <c r="G4" s="116">
        <v>1402143</v>
      </c>
      <c r="H4" s="89"/>
      <c r="I4" s="89">
        <v>0</v>
      </c>
      <c r="J4" s="89">
        <f>G4-I4</f>
        <v>1402143</v>
      </c>
      <c r="K4" s="117">
        <f t="shared" si="0"/>
        <v>0</v>
      </c>
      <c r="L4" s="89"/>
      <c r="M4" s="89">
        <v>0</v>
      </c>
      <c r="N4" s="82">
        <v>1402143</v>
      </c>
      <c r="O4" s="89">
        <v>0</v>
      </c>
      <c r="P4" s="82"/>
      <c r="Q4" s="82">
        <v>0.7</v>
      </c>
      <c r="R4" s="118">
        <f t="shared" si="1"/>
        <v>981500.1</v>
      </c>
      <c r="S4" s="82" t="s">
        <v>64</v>
      </c>
      <c r="T4" s="82" t="s">
        <v>35</v>
      </c>
      <c r="U4" s="82">
        <v>1</v>
      </c>
      <c r="V4" s="81">
        <f t="shared" si="2"/>
        <v>981500.1</v>
      </c>
      <c r="W4" s="83"/>
      <c r="X4" s="82"/>
      <c r="Y4" s="81"/>
      <c r="Z4" s="119"/>
      <c r="AA4" s="120"/>
      <c r="AB4" s="119"/>
      <c r="AD4" s="121"/>
    </row>
    <row r="5" s="97" customFormat="1" ht="81" customHeight="1" spans="1:32">
      <c r="A5" s="83">
        <v>3</v>
      </c>
      <c r="B5" s="85" t="s">
        <v>60</v>
      </c>
      <c r="C5" s="85" t="s">
        <v>68</v>
      </c>
      <c r="D5" s="85" t="s">
        <v>69</v>
      </c>
      <c r="E5" s="122" t="s">
        <v>70</v>
      </c>
      <c r="F5" s="115"/>
      <c r="G5" s="116">
        <v>5070000</v>
      </c>
      <c r="H5" s="123"/>
      <c r="I5" s="89">
        <v>490000</v>
      </c>
      <c r="J5" s="89">
        <f>3241958.85200001-I5</f>
        <v>2751958.85200001</v>
      </c>
      <c r="K5" s="117">
        <f t="shared" si="0"/>
        <v>0</v>
      </c>
      <c r="L5" s="82"/>
      <c r="M5" s="82"/>
      <c r="N5" s="89"/>
      <c r="O5" s="89">
        <v>0</v>
      </c>
      <c r="P5" s="89">
        <v>2751958.85200001</v>
      </c>
      <c r="Q5" s="82">
        <v>1</v>
      </c>
      <c r="R5" s="118">
        <f t="shared" si="1"/>
        <v>2751958.85200001</v>
      </c>
      <c r="S5" s="82" t="s">
        <v>64</v>
      </c>
      <c r="T5" s="82" t="s">
        <v>36</v>
      </c>
      <c r="U5" s="82">
        <v>1</v>
      </c>
      <c r="V5" s="81">
        <f t="shared" si="2"/>
        <v>2751958.85200001</v>
      </c>
      <c r="W5" s="81"/>
      <c r="X5" s="83"/>
      <c r="Y5" s="82"/>
      <c r="Z5" s="124"/>
      <c r="AA5" s="119"/>
      <c r="AB5" s="120"/>
    </row>
    <row r="6" s="97" customFormat="1" ht="72" customHeight="1" spans="1:32">
      <c r="A6" s="83">
        <v>4</v>
      </c>
      <c r="B6" s="85" t="s">
        <v>60</v>
      </c>
      <c r="C6" s="125" t="s">
        <v>71</v>
      </c>
      <c r="D6" s="126" t="s">
        <v>72</v>
      </c>
      <c r="E6" s="114" t="s">
        <v>73</v>
      </c>
      <c r="F6" s="115"/>
      <c r="G6" s="116">
        <v>280000</v>
      </c>
      <c r="H6" s="89"/>
      <c r="I6" s="89">
        <v>71196</v>
      </c>
      <c r="J6" s="89">
        <f>G6-I6</f>
        <v>208804</v>
      </c>
      <c r="K6" s="117">
        <f t="shared" si="0"/>
        <v>0</v>
      </c>
      <c r="L6" s="89"/>
      <c r="M6" s="89"/>
      <c r="N6" s="89"/>
      <c r="O6" s="89">
        <v>208804</v>
      </c>
      <c r="P6" s="127"/>
      <c r="Q6" s="127">
        <v>1</v>
      </c>
      <c r="R6" s="118">
        <f t="shared" si="1"/>
        <v>208804</v>
      </c>
      <c r="S6" s="82" t="s">
        <v>30</v>
      </c>
      <c r="T6" s="82" t="s">
        <v>30</v>
      </c>
      <c r="U6" s="82">
        <v>0.7</v>
      </c>
      <c r="V6" s="81">
        <f t="shared" si="2"/>
        <v>146162.8</v>
      </c>
      <c r="W6" s="82" t="s">
        <v>31</v>
      </c>
      <c r="X6" s="82">
        <v>0.3</v>
      </c>
      <c r="Y6" s="81">
        <f>R6*X6</f>
        <v>62641.2</v>
      </c>
    </row>
    <row r="7" s="97" customFormat="1" ht="72" customHeight="1" spans="1:32">
      <c r="A7" s="83">
        <v>5</v>
      </c>
      <c r="B7" s="128" t="s">
        <v>74</v>
      </c>
      <c r="C7" s="125" t="s">
        <v>75</v>
      </c>
      <c r="D7" s="113" t="s">
        <v>76</v>
      </c>
      <c r="E7" s="113" t="s">
        <v>77</v>
      </c>
      <c r="F7" s="115" t="s">
        <v>78</v>
      </c>
      <c r="G7" s="129">
        <v>2486114</v>
      </c>
      <c r="H7" s="89"/>
      <c r="I7" s="89">
        <v>2486114</v>
      </c>
      <c r="J7" s="89">
        <f t="shared" ref="J6:J11" si="3">G7-I7</f>
        <v>0</v>
      </c>
      <c r="K7" s="117">
        <f t="shared" si="0"/>
        <v>0</v>
      </c>
      <c r="L7" s="89">
        <v>0</v>
      </c>
      <c r="M7" s="89"/>
      <c r="N7" s="89"/>
      <c r="O7" s="127"/>
      <c r="P7" s="127"/>
      <c r="Q7" s="127">
        <v>0.7</v>
      </c>
      <c r="R7" s="118">
        <f t="shared" si="1"/>
        <v>0</v>
      </c>
      <c r="S7" s="82" t="s">
        <v>30</v>
      </c>
      <c r="T7" s="82" t="s">
        <v>31</v>
      </c>
      <c r="U7" s="82">
        <v>1</v>
      </c>
      <c r="V7" s="81">
        <f t="shared" si="2"/>
        <v>0</v>
      </c>
      <c r="W7" s="83"/>
      <c r="X7" s="82"/>
      <c r="Y7" s="81"/>
    </row>
    <row r="8" s="97" customFormat="1" ht="72" customHeight="1" spans="1:32">
      <c r="A8" s="83">
        <v>6</v>
      </c>
      <c r="B8" s="128" t="s">
        <v>74</v>
      </c>
      <c r="C8" s="125" t="s">
        <v>75</v>
      </c>
      <c r="D8" s="113" t="s">
        <v>76</v>
      </c>
      <c r="E8" s="113" t="s">
        <v>77</v>
      </c>
      <c r="F8" s="115" t="s">
        <v>79</v>
      </c>
      <c r="G8" s="129">
        <v>1936062</v>
      </c>
      <c r="H8" s="89"/>
      <c r="I8" s="89">
        <v>1043886</v>
      </c>
      <c r="J8" s="89">
        <f t="shared" si="3"/>
        <v>892176</v>
      </c>
      <c r="K8" s="117">
        <f t="shared" si="0"/>
        <v>0</v>
      </c>
      <c r="L8" s="89">
        <v>0</v>
      </c>
      <c r="M8" s="89">
        <v>892176</v>
      </c>
      <c r="N8" s="89"/>
      <c r="O8" s="127"/>
      <c r="P8" s="127"/>
      <c r="Q8" s="127">
        <v>0.7</v>
      </c>
      <c r="R8" s="118">
        <f t="shared" si="1"/>
        <v>624523.2</v>
      </c>
      <c r="S8" s="82" t="s">
        <v>30</v>
      </c>
      <c r="T8" s="82" t="s">
        <v>31</v>
      </c>
      <c r="U8" s="82">
        <v>1</v>
      </c>
      <c r="V8" s="81">
        <f t="shared" si="2"/>
        <v>624523.2</v>
      </c>
      <c r="W8" s="83"/>
      <c r="X8" s="82"/>
      <c r="Y8" s="81"/>
    </row>
    <row r="9" s="97" customFormat="1" ht="72" customHeight="1" spans="1:32">
      <c r="A9" s="83">
        <v>7</v>
      </c>
      <c r="B9" s="128" t="s">
        <v>74</v>
      </c>
      <c r="C9" s="125" t="s">
        <v>80</v>
      </c>
      <c r="D9" s="113" t="s">
        <v>81</v>
      </c>
      <c r="E9" s="113" t="s">
        <v>82</v>
      </c>
      <c r="F9" s="115"/>
      <c r="G9" s="129">
        <v>1242000</v>
      </c>
      <c r="H9" s="89"/>
      <c r="I9" s="89">
        <v>0</v>
      </c>
      <c r="J9" s="89">
        <f t="shared" si="3"/>
        <v>1242000</v>
      </c>
      <c r="K9" s="117">
        <f t="shared" si="0"/>
        <v>0</v>
      </c>
      <c r="L9" s="89"/>
      <c r="M9" s="89">
        <v>828000</v>
      </c>
      <c r="N9" s="89">
        <v>414000</v>
      </c>
      <c r="O9" s="127"/>
      <c r="P9" s="127"/>
      <c r="Q9" s="127">
        <v>0.7</v>
      </c>
      <c r="R9" s="118">
        <f t="shared" si="1"/>
        <v>869400</v>
      </c>
      <c r="S9" s="82" t="s">
        <v>83</v>
      </c>
      <c r="T9" s="82" t="s">
        <v>19</v>
      </c>
      <c r="U9" s="82">
        <v>1</v>
      </c>
      <c r="V9" s="81">
        <f t="shared" si="2"/>
        <v>869400</v>
      </c>
      <c r="W9" s="83"/>
      <c r="X9" s="82"/>
      <c r="Y9" s="81"/>
    </row>
    <row r="10" s="97" customFormat="1" ht="72" customHeight="1" spans="1:32">
      <c r="A10" s="83">
        <v>8</v>
      </c>
      <c r="B10" s="128" t="s">
        <v>74</v>
      </c>
      <c r="C10" s="125" t="s">
        <v>84</v>
      </c>
      <c r="D10" s="113" t="s">
        <v>85</v>
      </c>
      <c r="E10" s="113" t="s">
        <v>86</v>
      </c>
      <c r="F10" s="115"/>
      <c r="G10" s="129">
        <v>5854000</v>
      </c>
      <c r="H10" s="89"/>
      <c r="I10" s="89">
        <v>2000000</v>
      </c>
      <c r="J10" s="89">
        <f t="shared" si="3"/>
        <v>3854000</v>
      </c>
      <c r="K10" s="117">
        <f t="shared" si="0"/>
        <v>0</v>
      </c>
      <c r="L10" s="89"/>
      <c r="M10" s="89"/>
      <c r="N10" s="89">
        <v>3854000</v>
      </c>
      <c r="O10" s="127"/>
      <c r="P10" s="127"/>
      <c r="Q10" s="127">
        <v>0.7</v>
      </c>
      <c r="R10" s="118">
        <f t="shared" si="1"/>
        <v>2697800</v>
      </c>
      <c r="S10" s="82" t="s">
        <v>83</v>
      </c>
      <c r="T10" s="82" t="s">
        <v>25</v>
      </c>
      <c r="U10" s="82">
        <v>1</v>
      </c>
      <c r="V10" s="81">
        <f t="shared" si="2"/>
        <v>2697800</v>
      </c>
      <c r="W10" s="83"/>
      <c r="X10" s="82"/>
      <c r="Y10" s="81"/>
    </row>
    <row r="11" s="98" customFormat="1" ht="72" customHeight="1" spans="1:32">
      <c r="A11" s="130">
        <v>9</v>
      </c>
      <c r="B11" s="131" t="s">
        <v>74</v>
      </c>
      <c r="C11" s="132" t="s">
        <v>87</v>
      </c>
      <c r="D11" s="133" t="s">
        <v>88</v>
      </c>
      <c r="E11" s="133" t="s">
        <v>89</v>
      </c>
      <c r="F11" s="134"/>
      <c r="G11" s="135">
        <v>1020000</v>
      </c>
      <c r="H11" s="136">
        <v>492100</v>
      </c>
      <c r="I11" s="136">
        <v>492100</v>
      </c>
      <c r="J11" s="136">
        <f t="shared" si="3"/>
        <v>527900</v>
      </c>
      <c r="K11" s="137">
        <f t="shared" si="0"/>
        <v>0</v>
      </c>
      <c r="L11" s="136"/>
      <c r="M11" s="136">
        <v>527900</v>
      </c>
      <c r="N11" s="136"/>
      <c r="O11" s="138"/>
      <c r="P11" s="138"/>
      <c r="Q11" s="138">
        <v>1</v>
      </c>
      <c r="R11" s="139">
        <f t="shared" si="1"/>
        <v>527900</v>
      </c>
      <c r="S11" s="140" t="s">
        <v>83</v>
      </c>
      <c r="T11" s="140" t="s">
        <v>19</v>
      </c>
      <c r="U11" s="140">
        <v>1</v>
      </c>
      <c r="V11" s="141">
        <f t="shared" si="2"/>
        <v>527900</v>
      </c>
      <c r="W11" s="130"/>
      <c r="X11" s="140"/>
      <c r="Y11" s="141"/>
    </row>
    <row r="12" s="99" customFormat="1" ht="81" customHeight="1" spans="1:32">
      <c r="A12" s="83">
        <v>10</v>
      </c>
      <c r="B12" s="85" t="s">
        <v>60</v>
      </c>
      <c r="C12" s="85" t="s">
        <v>71</v>
      </c>
      <c r="D12" s="85" t="s">
        <v>90</v>
      </c>
      <c r="E12" s="122" t="s">
        <v>91</v>
      </c>
      <c r="F12" s="142"/>
      <c r="G12" s="116">
        <v>2379724</v>
      </c>
      <c r="H12" s="89"/>
      <c r="I12" s="89">
        <v>0</v>
      </c>
      <c r="J12" s="89">
        <v>1845485</v>
      </c>
      <c r="K12" s="117">
        <f t="shared" si="0"/>
        <v>0</v>
      </c>
      <c r="L12" s="89"/>
      <c r="M12" s="89">
        <v>929723</v>
      </c>
      <c r="N12" s="89">
        <v>0</v>
      </c>
      <c r="O12" s="89">
        <v>915762</v>
      </c>
      <c r="P12" s="82"/>
      <c r="Q12" s="82">
        <v>1</v>
      </c>
      <c r="R12" s="118">
        <f t="shared" si="1"/>
        <v>1845485</v>
      </c>
      <c r="S12" s="82" t="s">
        <v>30</v>
      </c>
      <c r="T12" s="82" t="s">
        <v>30</v>
      </c>
      <c r="U12" s="82">
        <v>0.7</v>
      </c>
      <c r="V12" s="81">
        <f t="shared" si="2"/>
        <v>1291839.5</v>
      </c>
      <c r="W12" s="83" t="s">
        <v>31</v>
      </c>
      <c r="X12" s="82">
        <v>0.3</v>
      </c>
      <c r="Y12" s="81">
        <f>R12*X12</f>
        <v>553645.5</v>
      </c>
      <c r="Z12" s="143"/>
      <c r="AA12" s="144"/>
      <c r="AB12" s="143"/>
      <c r="AC12" s="143"/>
      <c r="AD12" s="144"/>
      <c r="AE12" s="143"/>
    </row>
    <row r="13" s="97" customFormat="1" ht="72" customHeight="1" spans="1:32">
      <c r="A13" s="83">
        <v>11</v>
      </c>
      <c r="B13" s="85" t="s">
        <v>74</v>
      </c>
      <c r="C13" s="125" t="s">
        <v>92</v>
      </c>
      <c r="D13" s="113" t="s">
        <v>93</v>
      </c>
      <c r="E13" s="114" t="s">
        <v>94</v>
      </c>
      <c r="F13" s="115"/>
      <c r="G13" s="129">
        <v>2000000</v>
      </c>
      <c r="H13" s="89"/>
      <c r="I13" s="89">
        <v>2000000</v>
      </c>
      <c r="J13" s="89">
        <f t="shared" ref="J13:J32" si="4">G13-I13</f>
        <v>0</v>
      </c>
      <c r="K13" s="117">
        <f t="shared" ref="K13:K31" si="5">J13-SUM(L13:P13)</f>
        <v>0</v>
      </c>
      <c r="L13" s="89"/>
      <c r="M13" s="89">
        <v>0</v>
      </c>
      <c r="N13" s="89"/>
      <c r="O13" s="127"/>
      <c r="P13" s="127"/>
      <c r="Q13" s="127">
        <v>0.7</v>
      </c>
      <c r="R13" s="118">
        <f t="shared" ref="R13:R32" si="6">J13*Q13</f>
        <v>0</v>
      </c>
      <c r="S13" s="82" t="s">
        <v>83</v>
      </c>
      <c r="T13" s="82" t="s">
        <v>20</v>
      </c>
      <c r="U13" s="82">
        <v>1</v>
      </c>
      <c r="V13" s="81">
        <f t="shared" ref="V13:V32" si="7">R13*U13</f>
        <v>0</v>
      </c>
      <c r="W13" s="83"/>
      <c r="X13" s="82"/>
      <c r="Y13" s="81"/>
    </row>
    <row r="14" s="97" customFormat="1" ht="72" customHeight="1" spans="1:32">
      <c r="A14" s="83">
        <v>12</v>
      </c>
      <c r="B14" s="85" t="s">
        <v>74</v>
      </c>
      <c r="C14" s="125" t="s">
        <v>87</v>
      </c>
      <c r="D14" s="113" t="s">
        <v>95</v>
      </c>
      <c r="E14" s="114" t="s">
        <v>96</v>
      </c>
      <c r="F14" s="115"/>
      <c r="G14" s="129">
        <v>30900</v>
      </c>
      <c r="H14" s="89"/>
      <c r="I14" s="89">
        <v>0</v>
      </c>
      <c r="J14" s="89">
        <f t="shared" si="4"/>
        <v>30900</v>
      </c>
      <c r="K14" s="117">
        <f t="shared" si="5"/>
        <v>0</v>
      </c>
      <c r="L14" s="89"/>
      <c r="M14" s="89"/>
      <c r="N14" s="89">
        <v>30900</v>
      </c>
      <c r="O14" s="127"/>
      <c r="P14" s="127"/>
      <c r="Q14" s="127">
        <v>1</v>
      </c>
      <c r="R14" s="118">
        <f t="shared" si="6"/>
        <v>30900</v>
      </c>
      <c r="S14" s="82" t="s">
        <v>83</v>
      </c>
      <c r="T14" s="82" t="s">
        <v>19</v>
      </c>
      <c r="U14" s="82">
        <v>1</v>
      </c>
      <c r="V14" s="81">
        <f t="shared" si="7"/>
        <v>30900</v>
      </c>
      <c r="W14" s="83"/>
      <c r="X14" s="82"/>
      <c r="Y14" s="81"/>
    </row>
    <row r="15" s="97" customFormat="1" ht="72" customHeight="1" spans="1:32">
      <c r="A15" s="83">
        <v>13</v>
      </c>
      <c r="B15" s="85" t="s">
        <v>74</v>
      </c>
      <c r="C15" s="125" t="s">
        <v>97</v>
      </c>
      <c r="D15" s="113" t="s">
        <v>98</v>
      </c>
      <c r="E15" s="114" t="s">
        <v>99</v>
      </c>
      <c r="F15" s="115"/>
      <c r="G15" s="129">
        <v>930000</v>
      </c>
      <c r="H15" s="89"/>
      <c r="I15" s="89">
        <v>0</v>
      </c>
      <c r="J15" s="89">
        <f t="shared" si="4"/>
        <v>930000</v>
      </c>
      <c r="K15" s="117">
        <f t="shared" si="5"/>
        <v>0</v>
      </c>
      <c r="L15" s="89"/>
      <c r="M15" s="89">
        <v>930000</v>
      </c>
      <c r="N15" s="89"/>
      <c r="O15" s="127"/>
      <c r="P15" s="127"/>
      <c r="Q15" s="127">
        <v>0.6</v>
      </c>
      <c r="R15" s="118">
        <f t="shared" si="6"/>
        <v>558000</v>
      </c>
      <c r="S15" s="82" t="s">
        <v>64</v>
      </c>
      <c r="T15" s="82" t="s">
        <v>38</v>
      </c>
      <c r="U15" s="82">
        <v>1</v>
      </c>
      <c r="V15" s="81">
        <f t="shared" si="7"/>
        <v>558000</v>
      </c>
      <c r="W15" s="83"/>
      <c r="X15" s="82"/>
      <c r="Y15" s="81"/>
    </row>
    <row r="16" s="99" customFormat="1" ht="72" customHeight="1" spans="1:32">
      <c r="A16" s="83">
        <v>14</v>
      </c>
      <c r="B16" s="85" t="s">
        <v>74</v>
      </c>
      <c r="C16" s="85" t="s">
        <v>100</v>
      </c>
      <c r="D16" s="85" t="s">
        <v>101</v>
      </c>
      <c r="E16" s="122" t="s">
        <v>102</v>
      </c>
      <c r="F16" s="115"/>
      <c r="G16" s="145">
        <v>800000</v>
      </c>
      <c r="H16" s="89"/>
      <c r="I16" s="146">
        <v>0</v>
      </c>
      <c r="J16" s="89">
        <f t="shared" si="4"/>
        <v>800000</v>
      </c>
      <c r="K16" s="117">
        <f t="shared" si="5"/>
        <v>0</v>
      </c>
      <c r="L16" s="89"/>
      <c r="M16" s="89"/>
      <c r="N16" s="89"/>
      <c r="O16" s="89">
        <v>800000</v>
      </c>
      <c r="P16" s="127"/>
      <c r="Q16" s="127">
        <v>0.7</v>
      </c>
      <c r="R16" s="118">
        <f t="shared" si="6"/>
        <v>560000</v>
      </c>
      <c r="S16" s="82" t="s">
        <v>30</v>
      </c>
      <c r="T16" s="82" t="s">
        <v>31</v>
      </c>
      <c r="U16" s="82">
        <v>1</v>
      </c>
      <c r="V16" s="81">
        <f t="shared" si="7"/>
        <v>560000</v>
      </c>
      <c r="W16" s="83"/>
      <c r="X16" s="82"/>
      <c r="Y16" s="81"/>
    </row>
    <row r="17" s="99" customFormat="1" ht="72" customHeight="1" spans="1:25">
      <c r="A17" s="83">
        <v>15</v>
      </c>
      <c r="B17" s="85" t="s">
        <v>74</v>
      </c>
      <c r="C17" s="147" t="s">
        <v>103</v>
      </c>
      <c r="D17" s="113" t="s">
        <v>104</v>
      </c>
      <c r="E17" s="114" t="s">
        <v>105</v>
      </c>
      <c r="F17" s="115"/>
      <c r="G17" s="148">
        <v>588000</v>
      </c>
      <c r="H17" s="89"/>
      <c r="I17" s="89">
        <v>0</v>
      </c>
      <c r="J17" s="89">
        <f t="shared" si="4"/>
        <v>588000</v>
      </c>
      <c r="K17" s="117">
        <f t="shared" si="5"/>
        <v>0</v>
      </c>
      <c r="L17" s="89"/>
      <c r="M17" s="89"/>
      <c r="N17" s="89">
        <v>588000</v>
      </c>
      <c r="O17" s="127"/>
      <c r="P17" s="127"/>
      <c r="Q17" s="127">
        <v>0.6</v>
      </c>
      <c r="R17" s="118">
        <f t="shared" si="6"/>
        <v>352800</v>
      </c>
      <c r="S17" s="82" t="s">
        <v>64</v>
      </c>
      <c r="T17" s="82" t="s">
        <v>35</v>
      </c>
      <c r="U17" s="82">
        <v>1</v>
      </c>
      <c r="V17" s="81">
        <f t="shared" si="7"/>
        <v>352800</v>
      </c>
      <c r="W17" s="83"/>
      <c r="X17" s="82"/>
      <c r="Y17" s="81"/>
    </row>
    <row r="18" s="99" customFormat="1" ht="72" customHeight="1" spans="1:25">
      <c r="A18" s="83">
        <v>16</v>
      </c>
      <c r="B18" s="85" t="s">
        <v>60</v>
      </c>
      <c r="C18" s="147" t="s">
        <v>106</v>
      </c>
      <c r="D18" s="113" t="s">
        <v>107</v>
      </c>
      <c r="E18" s="114" t="s">
        <v>108</v>
      </c>
      <c r="F18" s="115"/>
      <c r="G18" s="129">
        <v>199800</v>
      </c>
      <c r="H18" s="89"/>
      <c r="I18" s="89">
        <v>199800</v>
      </c>
      <c r="J18" s="89">
        <f t="shared" si="4"/>
        <v>0</v>
      </c>
      <c r="K18" s="117">
        <f t="shared" si="5"/>
        <v>0</v>
      </c>
      <c r="L18" s="89">
        <v>0</v>
      </c>
      <c r="M18" s="89"/>
      <c r="N18" s="89"/>
      <c r="O18" s="127"/>
      <c r="P18" s="127"/>
      <c r="Q18" s="127">
        <v>0.7</v>
      </c>
      <c r="R18" s="118">
        <f t="shared" si="6"/>
        <v>0</v>
      </c>
      <c r="S18" s="82" t="s">
        <v>83</v>
      </c>
      <c r="T18" s="82" t="s">
        <v>19</v>
      </c>
      <c r="U18" s="82">
        <v>0.6</v>
      </c>
      <c r="V18" s="81">
        <f t="shared" si="7"/>
        <v>0</v>
      </c>
      <c r="W18" s="83" t="s">
        <v>20</v>
      </c>
      <c r="X18" s="82">
        <v>0.4</v>
      </c>
      <c r="Y18" s="81">
        <f>R18*X18</f>
        <v>0</v>
      </c>
    </row>
    <row r="19" s="99" customFormat="1" ht="72" customHeight="1" spans="1:25">
      <c r="A19" s="83">
        <v>17</v>
      </c>
      <c r="B19" s="85" t="s">
        <v>74</v>
      </c>
      <c r="C19" s="125" t="s">
        <v>109</v>
      </c>
      <c r="D19" s="113" t="s">
        <v>110</v>
      </c>
      <c r="E19" s="114" t="s">
        <v>111</v>
      </c>
      <c r="F19" s="115"/>
      <c r="G19" s="129">
        <v>8160000</v>
      </c>
      <c r="H19" s="89"/>
      <c r="I19" s="89">
        <v>3000000</v>
      </c>
      <c r="J19" s="89">
        <f t="shared" si="4"/>
        <v>5160000</v>
      </c>
      <c r="K19" s="117">
        <f t="shared" si="5"/>
        <v>0</v>
      </c>
      <c r="L19" s="89"/>
      <c r="M19" s="89">
        <v>5160000</v>
      </c>
      <c r="N19" s="89"/>
      <c r="O19" s="127"/>
      <c r="P19" s="127"/>
      <c r="Q19" s="127">
        <v>0.7</v>
      </c>
      <c r="R19" s="118">
        <f t="shared" si="6"/>
        <v>3612000</v>
      </c>
      <c r="S19" s="82" t="s">
        <v>83</v>
      </c>
      <c r="T19" s="82" t="s">
        <v>19</v>
      </c>
      <c r="U19" s="82">
        <v>0.6</v>
      </c>
      <c r="V19" s="81">
        <f t="shared" si="7"/>
        <v>2167200</v>
      </c>
      <c r="W19" s="83" t="s">
        <v>20</v>
      </c>
      <c r="X19" s="82">
        <v>0.4</v>
      </c>
      <c r="Y19" s="81">
        <f>R19*X19</f>
        <v>1444800</v>
      </c>
    </row>
    <row r="20" s="99" customFormat="1" ht="72" customHeight="1" spans="1:25">
      <c r="A20" s="83">
        <v>18</v>
      </c>
      <c r="B20" s="85" t="s">
        <v>74</v>
      </c>
      <c r="C20" s="147" t="s">
        <v>112</v>
      </c>
      <c r="D20" s="113" t="s">
        <v>113</v>
      </c>
      <c r="E20" s="114" t="s">
        <v>114</v>
      </c>
      <c r="F20" s="115"/>
      <c r="G20" s="129">
        <v>4715760.56</v>
      </c>
      <c r="H20" s="89"/>
      <c r="I20" s="89">
        <v>4715760.56</v>
      </c>
      <c r="J20" s="89">
        <f t="shared" si="4"/>
        <v>0</v>
      </c>
      <c r="K20" s="117">
        <f t="shared" si="5"/>
        <v>0</v>
      </c>
      <c r="L20" s="89">
        <v>0</v>
      </c>
      <c r="M20" s="89"/>
      <c r="N20" s="89"/>
      <c r="O20" s="127"/>
      <c r="P20" s="127"/>
      <c r="Q20" s="127">
        <v>0.7</v>
      </c>
      <c r="R20" s="118">
        <f t="shared" si="6"/>
        <v>0</v>
      </c>
      <c r="S20" s="82" t="s">
        <v>83</v>
      </c>
      <c r="T20" s="82" t="s">
        <v>19</v>
      </c>
      <c r="U20" s="82">
        <v>0.6</v>
      </c>
      <c r="V20" s="81">
        <f t="shared" si="7"/>
        <v>0</v>
      </c>
      <c r="W20" s="83" t="s">
        <v>20</v>
      </c>
      <c r="X20" s="82">
        <v>0.4</v>
      </c>
      <c r="Y20" s="81">
        <f>R20*X20</f>
        <v>0</v>
      </c>
    </row>
    <row r="21" s="97" customFormat="1" ht="72" customHeight="1" spans="1:25">
      <c r="A21" s="83">
        <v>19</v>
      </c>
      <c r="B21" s="85" t="s">
        <v>74</v>
      </c>
      <c r="C21" s="85" t="s">
        <v>115</v>
      </c>
      <c r="D21" s="113" t="s">
        <v>116</v>
      </c>
      <c r="E21" s="113" t="s">
        <v>117</v>
      </c>
      <c r="F21" s="115"/>
      <c r="G21" s="116">
        <v>90000</v>
      </c>
      <c r="H21" s="89"/>
      <c r="I21" s="89">
        <v>0</v>
      </c>
      <c r="J21" s="89">
        <f t="shared" si="4"/>
        <v>90000</v>
      </c>
      <c r="K21" s="117">
        <f t="shared" si="5"/>
        <v>0</v>
      </c>
      <c r="L21" s="89"/>
      <c r="M21" s="89"/>
      <c r="N21" s="149">
        <v>90000</v>
      </c>
      <c r="O21" s="82"/>
      <c r="P21" s="82"/>
      <c r="Q21" s="82">
        <v>1</v>
      </c>
      <c r="R21" s="118">
        <f t="shared" si="6"/>
        <v>90000</v>
      </c>
      <c r="S21" s="82" t="s">
        <v>64</v>
      </c>
      <c r="T21" s="82" t="s">
        <v>38</v>
      </c>
      <c r="U21" s="82">
        <v>1</v>
      </c>
      <c r="V21" s="81">
        <f t="shared" si="7"/>
        <v>90000</v>
      </c>
      <c r="W21" s="83"/>
      <c r="X21" s="82"/>
      <c r="Y21" s="81"/>
    </row>
    <row r="22" s="97" customFormat="1" ht="72" customHeight="1" spans="1:25">
      <c r="A22" s="83">
        <v>20</v>
      </c>
      <c r="B22" s="85" t="s">
        <v>60</v>
      </c>
      <c r="C22" s="125" t="s">
        <v>118</v>
      </c>
      <c r="D22" s="126" t="s">
        <v>119</v>
      </c>
      <c r="E22" s="114" t="s">
        <v>120</v>
      </c>
      <c r="F22" s="115"/>
      <c r="G22" s="116">
        <v>8028</v>
      </c>
      <c r="H22" s="89"/>
      <c r="I22" s="89">
        <v>0</v>
      </c>
      <c r="J22" s="89">
        <f t="shared" si="4"/>
        <v>8028</v>
      </c>
      <c r="K22" s="117">
        <f t="shared" si="5"/>
        <v>0</v>
      </c>
      <c r="L22" s="89"/>
      <c r="M22" s="89"/>
      <c r="N22" s="149"/>
      <c r="O22" s="149">
        <v>8028</v>
      </c>
      <c r="P22" s="82"/>
      <c r="Q22" s="82">
        <v>0.8</v>
      </c>
      <c r="R22" s="118">
        <f t="shared" si="6"/>
        <v>6422.4</v>
      </c>
      <c r="S22" s="82" t="s">
        <v>64</v>
      </c>
      <c r="T22" s="82" t="s">
        <v>36</v>
      </c>
      <c r="U22" s="82">
        <v>1</v>
      </c>
      <c r="V22" s="81">
        <f t="shared" si="7"/>
        <v>6422.4</v>
      </c>
      <c r="W22" s="146"/>
      <c r="X22" s="150"/>
      <c r="Y22" s="151"/>
    </row>
    <row r="23" s="98" customFormat="1" ht="72" customHeight="1" spans="1:25">
      <c r="A23" s="130">
        <v>21</v>
      </c>
      <c r="B23" s="152" t="s">
        <v>60</v>
      </c>
      <c r="C23" s="132" t="s">
        <v>118</v>
      </c>
      <c r="D23" s="153" t="s">
        <v>119</v>
      </c>
      <c r="E23" s="154" t="s">
        <v>120</v>
      </c>
      <c r="F23" s="134"/>
      <c r="G23" s="155">
        <v>318523</v>
      </c>
      <c r="H23" s="136">
        <v>200000</v>
      </c>
      <c r="I23" s="136">
        <v>250000</v>
      </c>
      <c r="J23" s="136">
        <f t="shared" si="4"/>
        <v>68523</v>
      </c>
      <c r="K23" s="137">
        <f t="shared" si="5"/>
        <v>0</v>
      </c>
      <c r="L23" s="136"/>
      <c r="M23" s="136"/>
      <c r="N23" s="156"/>
      <c r="O23" s="156">
        <v>68523</v>
      </c>
      <c r="P23" s="140"/>
      <c r="Q23" s="140">
        <v>0.8</v>
      </c>
      <c r="R23" s="139">
        <f t="shared" si="6"/>
        <v>54818.4</v>
      </c>
      <c r="S23" s="140" t="s">
        <v>64</v>
      </c>
      <c r="T23" s="140" t="s">
        <v>36</v>
      </c>
      <c r="U23" s="140">
        <v>1</v>
      </c>
      <c r="V23" s="141">
        <f t="shared" si="7"/>
        <v>54818.4</v>
      </c>
      <c r="W23" s="157"/>
      <c r="X23" s="158"/>
      <c r="Y23" s="159"/>
    </row>
    <row r="24" s="97" customFormat="1" ht="72" customHeight="1" spans="1:25">
      <c r="A24" s="83">
        <v>22</v>
      </c>
      <c r="B24" s="85" t="s">
        <v>74</v>
      </c>
      <c r="C24" s="125" t="s">
        <v>121</v>
      </c>
      <c r="D24" s="126" t="s">
        <v>122</v>
      </c>
      <c r="E24" s="114" t="s">
        <v>123</v>
      </c>
      <c r="F24" s="115"/>
      <c r="G24" s="116">
        <v>453680</v>
      </c>
      <c r="H24" s="89"/>
      <c r="I24" s="89">
        <v>453680</v>
      </c>
      <c r="J24" s="89">
        <f t="shared" si="4"/>
        <v>0</v>
      </c>
      <c r="K24" s="117">
        <f t="shared" si="5"/>
        <v>0</v>
      </c>
      <c r="L24" s="89"/>
      <c r="M24" s="89"/>
      <c r="N24" s="149">
        <v>0</v>
      </c>
      <c r="O24" s="82"/>
      <c r="P24" s="82"/>
      <c r="Q24" s="82">
        <v>0.6</v>
      </c>
      <c r="R24" s="118">
        <f t="shared" si="6"/>
        <v>0</v>
      </c>
      <c r="S24" s="82" t="s">
        <v>83</v>
      </c>
      <c r="T24" s="82" t="s">
        <v>19</v>
      </c>
      <c r="U24" s="82">
        <v>1</v>
      </c>
      <c r="V24" s="81">
        <f t="shared" si="7"/>
        <v>0</v>
      </c>
      <c r="W24" s="146"/>
      <c r="X24" s="150"/>
      <c r="Y24" s="151"/>
    </row>
    <row r="25" s="97" customFormat="1" ht="72" customHeight="1" spans="1:25">
      <c r="A25" s="83">
        <v>23</v>
      </c>
      <c r="B25" s="85" t="s">
        <v>74</v>
      </c>
      <c r="C25" s="85" t="s">
        <v>100</v>
      </c>
      <c r="D25" s="126" t="s">
        <v>124</v>
      </c>
      <c r="E25" s="114" t="s">
        <v>125</v>
      </c>
      <c r="F25" s="115"/>
      <c r="G25" s="116">
        <v>743000</v>
      </c>
      <c r="H25" s="89"/>
      <c r="I25" s="89">
        <v>0</v>
      </c>
      <c r="J25" s="89">
        <f t="shared" si="4"/>
        <v>743000</v>
      </c>
      <c r="K25" s="117">
        <f t="shared" si="5"/>
        <v>0</v>
      </c>
      <c r="L25" s="89"/>
      <c r="M25" s="89"/>
      <c r="N25" s="149"/>
      <c r="O25" s="149">
        <v>743000</v>
      </c>
      <c r="P25" s="82"/>
      <c r="Q25" s="82">
        <v>1</v>
      </c>
      <c r="R25" s="118">
        <f t="shared" si="6"/>
        <v>743000</v>
      </c>
      <c r="S25" s="82" t="s">
        <v>83</v>
      </c>
      <c r="T25" s="82" t="s">
        <v>24</v>
      </c>
      <c r="U25" s="82">
        <v>0.6</v>
      </c>
      <c r="V25" s="81">
        <f t="shared" si="7"/>
        <v>445800</v>
      </c>
      <c r="W25" s="83" t="s">
        <v>24</v>
      </c>
      <c r="X25" s="82">
        <v>0.4</v>
      </c>
      <c r="Y25" s="81">
        <f>R25*X25</f>
        <v>297200</v>
      </c>
    </row>
    <row r="26" s="97" customFormat="1" ht="72" customHeight="1" spans="1:25">
      <c r="A26" s="83">
        <v>24</v>
      </c>
      <c r="B26" s="85" t="s">
        <v>74</v>
      </c>
      <c r="C26" s="85" t="s">
        <v>126</v>
      </c>
      <c r="D26" s="85" t="s">
        <v>127</v>
      </c>
      <c r="E26" s="122" t="s">
        <v>128</v>
      </c>
      <c r="F26" s="122" t="s">
        <v>129</v>
      </c>
      <c r="G26" s="89">
        <v>1249600</v>
      </c>
      <c r="H26" s="89"/>
      <c r="I26" s="89">
        <v>0</v>
      </c>
      <c r="J26" s="89">
        <f t="shared" si="4"/>
        <v>1249600</v>
      </c>
      <c r="K26" s="117">
        <f t="shared" si="5"/>
        <v>0</v>
      </c>
      <c r="L26" s="89"/>
      <c r="M26" s="89"/>
      <c r="N26" s="84"/>
      <c r="O26" s="84"/>
      <c r="P26" s="149">
        <v>1249600</v>
      </c>
      <c r="Q26" s="84">
        <v>0.7</v>
      </c>
      <c r="R26" s="118">
        <f t="shared" si="6"/>
        <v>874720</v>
      </c>
      <c r="S26" s="82" t="s">
        <v>83</v>
      </c>
      <c r="T26" s="82" t="s">
        <v>19</v>
      </c>
      <c r="U26" s="82">
        <v>0.8</v>
      </c>
      <c r="V26" s="81">
        <f t="shared" si="7"/>
        <v>699776</v>
      </c>
      <c r="W26" s="83" t="s">
        <v>20</v>
      </c>
      <c r="X26" s="82">
        <v>0.2</v>
      </c>
      <c r="Y26" s="81">
        <f>R26*X26</f>
        <v>174944</v>
      </c>
    </row>
    <row r="27" s="97" customFormat="1" ht="72" customHeight="1" spans="1:25">
      <c r="A27" s="83">
        <v>25</v>
      </c>
      <c r="B27" s="85" t="s">
        <v>74</v>
      </c>
      <c r="C27" s="85" t="s">
        <v>130</v>
      </c>
      <c r="D27" s="85" t="s">
        <v>131</v>
      </c>
      <c r="E27" s="122" t="s">
        <v>132</v>
      </c>
      <c r="F27" s="122" t="s">
        <v>133</v>
      </c>
      <c r="G27" s="89">
        <v>2769998.5</v>
      </c>
      <c r="H27" s="89"/>
      <c r="I27" s="89">
        <v>0</v>
      </c>
      <c r="J27" s="89">
        <f t="shared" si="4"/>
        <v>2769998.5</v>
      </c>
      <c r="K27" s="117">
        <f t="shared" si="5"/>
        <v>0</v>
      </c>
      <c r="L27" s="89"/>
      <c r="M27" s="89"/>
      <c r="N27" s="84"/>
      <c r="O27" s="84"/>
      <c r="P27" s="149">
        <v>2769998.5</v>
      </c>
      <c r="Q27" s="84">
        <v>0.7</v>
      </c>
      <c r="R27" s="118">
        <f t="shared" si="6"/>
        <v>1938998.95</v>
      </c>
      <c r="S27" s="82" t="s">
        <v>83</v>
      </c>
      <c r="T27" s="82" t="s">
        <v>25</v>
      </c>
      <c r="U27" s="82">
        <v>1</v>
      </c>
      <c r="V27" s="81">
        <f t="shared" si="7"/>
        <v>1938998.95</v>
      </c>
      <c r="W27" s="83"/>
      <c r="X27" s="82"/>
      <c r="Y27" s="81"/>
    </row>
    <row r="28" s="97" customFormat="1" ht="72" customHeight="1" spans="1:25">
      <c r="A28" s="83">
        <v>26</v>
      </c>
      <c r="B28" s="85" t="s">
        <v>74</v>
      </c>
      <c r="C28" s="125" t="s">
        <v>109</v>
      </c>
      <c r="D28" s="113" t="s">
        <v>134</v>
      </c>
      <c r="E28" s="114" t="s">
        <v>135</v>
      </c>
      <c r="F28" s="115"/>
      <c r="G28" s="129">
        <v>2142000</v>
      </c>
      <c r="H28" s="89"/>
      <c r="I28" s="89">
        <v>0</v>
      </c>
      <c r="J28" s="89">
        <f t="shared" si="4"/>
        <v>2142000</v>
      </c>
      <c r="K28" s="117">
        <f t="shared" si="5"/>
        <v>0</v>
      </c>
      <c r="L28" s="89">
        <v>0</v>
      </c>
      <c r="M28" s="89">
        <v>2142000</v>
      </c>
      <c r="N28" s="89"/>
      <c r="O28" s="127"/>
      <c r="P28" s="127"/>
      <c r="Q28" s="127">
        <v>0.5</v>
      </c>
      <c r="R28" s="118">
        <f t="shared" si="6"/>
        <v>1071000</v>
      </c>
      <c r="S28" s="82" t="s">
        <v>38</v>
      </c>
      <c r="T28" s="82" t="s">
        <v>38</v>
      </c>
      <c r="U28" s="82">
        <v>1</v>
      </c>
      <c r="V28" s="81">
        <f t="shared" si="7"/>
        <v>1071000</v>
      </c>
      <c r="W28" s="83"/>
      <c r="X28" s="82"/>
      <c r="Y28" s="81"/>
    </row>
    <row r="29" s="97" customFormat="1" ht="72" customHeight="1" spans="1:25">
      <c r="A29" s="83">
        <v>27</v>
      </c>
      <c r="B29" s="85" t="s">
        <v>74</v>
      </c>
      <c r="C29" s="125" t="s">
        <v>109</v>
      </c>
      <c r="D29" s="113" t="s">
        <v>134</v>
      </c>
      <c r="E29" s="114" t="s">
        <v>136</v>
      </c>
      <c r="F29" s="115"/>
      <c r="G29" s="129">
        <v>43035000</v>
      </c>
      <c r="H29" s="89"/>
      <c r="I29" s="89">
        <v>5000000</v>
      </c>
      <c r="J29" s="89">
        <f t="shared" si="4"/>
        <v>38035000</v>
      </c>
      <c r="K29" s="117">
        <f t="shared" si="5"/>
        <v>0</v>
      </c>
      <c r="L29" s="89">
        <v>0</v>
      </c>
      <c r="M29" s="89">
        <v>38035000</v>
      </c>
      <c r="N29" s="89"/>
      <c r="O29" s="127"/>
      <c r="P29" s="127"/>
      <c r="Q29" s="127">
        <v>0.5</v>
      </c>
      <c r="R29" s="118">
        <f t="shared" si="6"/>
        <v>19017500</v>
      </c>
      <c r="S29" s="82" t="s">
        <v>38</v>
      </c>
      <c r="T29" s="82" t="s">
        <v>38</v>
      </c>
      <c r="U29" s="82">
        <v>1</v>
      </c>
      <c r="V29" s="81">
        <f t="shared" si="7"/>
        <v>19017500</v>
      </c>
      <c r="W29" s="83"/>
      <c r="X29" s="82"/>
      <c r="Y29" s="81"/>
    </row>
    <row r="30" s="97" customFormat="1" ht="72" customHeight="1" spans="1:25">
      <c r="A30" s="83">
        <v>28</v>
      </c>
      <c r="B30" s="85" t="s">
        <v>74</v>
      </c>
      <c r="C30" s="77" t="s">
        <v>137</v>
      </c>
      <c r="D30" s="78" t="s">
        <v>138</v>
      </c>
      <c r="E30" s="78" t="s">
        <v>139</v>
      </c>
      <c r="F30" s="115"/>
      <c r="G30" s="129">
        <v>212400</v>
      </c>
      <c r="H30" s="89"/>
      <c r="I30" s="89">
        <v>212400</v>
      </c>
      <c r="J30" s="89">
        <f t="shared" si="4"/>
        <v>0</v>
      </c>
      <c r="K30" s="117">
        <f t="shared" si="5"/>
        <v>0</v>
      </c>
      <c r="L30" s="89">
        <v>0</v>
      </c>
      <c r="M30" s="89"/>
      <c r="N30" s="89"/>
      <c r="O30" s="127"/>
      <c r="P30" s="127"/>
      <c r="Q30" s="127">
        <v>1</v>
      </c>
      <c r="R30" s="118">
        <f t="shared" si="6"/>
        <v>0</v>
      </c>
      <c r="S30" s="82" t="s">
        <v>64</v>
      </c>
      <c r="T30" s="82" t="s">
        <v>36</v>
      </c>
      <c r="U30" s="82">
        <v>1</v>
      </c>
      <c r="V30" s="81">
        <f t="shared" si="7"/>
        <v>0</v>
      </c>
      <c r="W30" s="83"/>
      <c r="X30" s="82"/>
      <c r="Y30" s="81"/>
    </row>
    <row r="31" s="97" customFormat="1" ht="72" customHeight="1" spans="1:25">
      <c r="A31" s="83">
        <v>29</v>
      </c>
      <c r="B31" s="85" t="s">
        <v>60</v>
      </c>
      <c r="C31" s="125" t="s">
        <v>71</v>
      </c>
      <c r="D31" s="113" t="s">
        <v>140</v>
      </c>
      <c r="E31" s="114" t="s">
        <v>141</v>
      </c>
      <c r="F31" s="115" t="s">
        <v>142</v>
      </c>
      <c r="G31" s="129">
        <v>2682000</v>
      </c>
      <c r="H31" s="89"/>
      <c r="I31" s="89">
        <v>306735</v>
      </c>
      <c r="J31" s="89">
        <v>2375265</v>
      </c>
      <c r="K31" s="117">
        <f t="shared" si="5"/>
        <v>0</v>
      </c>
      <c r="L31" s="89"/>
      <c r="M31" s="89">
        <v>61233.3300000001</v>
      </c>
      <c r="N31" s="89">
        <f>J31-M31</f>
        <v>2314031.67</v>
      </c>
      <c r="O31" s="127"/>
      <c r="P31" s="127"/>
      <c r="Q31" s="127">
        <v>1</v>
      </c>
      <c r="R31" s="118">
        <f t="shared" si="6"/>
        <v>2375265</v>
      </c>
      <c r="S31" s="82" t="s">
        <v>30</v>
      </c>
      <c r="T31" s="82" t="s">
        <v>31</v>
      </c>
      <c r="U31" s="82">
        <v>1</v>
      </c>
      <c r="V31" s="81">
        <f t="shared" si="7"/>
        <v>2375265</v>
      </c>
      <c r="W31" s="83"/>
      <c r="X31" s="82"/>
      <c r="Y31" s="81"/>
    </row>
    <row r="32" ht="43" customHeight="1" spans="1:25">
      <c r="E32" s="55"/>
      <c r="G32" s="160"/>
      <c r="H32" s="160"/>
      <c r="I32" s="160"/>
      <c r="J32" s="161">
        <f t="shared" ref="J32:P32" si="8">SUBTOTAL(9,J3:J31)</f>
        <v>78091332.352</v>
      </c>
      <c r="L32" s="162">
        <f t="shared" si="8"/>
        <v>0</v>
      </c>
      <c r="M32" s="162">
        <f t="shared" si="8"/>
        <v>59882583.33</v>
      </c>
      <c r="N32" s="162">
        <f t="shared" si="8"/>
        <v>8693074.67</v>
      </c>
      <c r="O32" s="162">
        <f t="shared" si="8"/>
        <v>2744117</v>
      </c>
      <c r="P32" s="162">
        <f t="shared" si="8"/>
        <v>6771557.35200001</v>
      </c>
      <c r="R32" s="163">
        <f>SUM(R3:R31)</f>
        <v>52169346.902</v>
      </c>
    </row>
    <row r="33" ht="14.5" spans="5:10">
      <c r="E33" s="164"/>
      <c r="G33" s="160"/>
      <c r="H33" s="160"/>
      <c r="I33" s="160"/>
      <c r="J33" s="165"/>
    </row>
    <row r="34" spans="5:10">
      <c r="G34" s="160"/>
      <c r="H34" s="160"/>
      <c r="I34" s="160"/>
    </row>
    <row r="36" spans="5:10">
      <c r="G36" s="160"/>
      <c r="H36" s="160"/>
      <c r="I36" s="160"/>
      <c r="J36" s="165"/>
    </row>
    <row r="37" spans="5:10">
      <c r="G37" s="160"/>
      <c r="H37" s="160"/>
      <c r="I37" s="160"/>
      <c r="J37" s="165"/>
    </row>
    <row r="38" spans="5:10">
      <c r="G38" s="160"/>
      <c r="H38" s="160"/>
      <c r="I38" s="160"/>
      <c r="J38" s="165"/>
    </row>
    <row r="39" ht="13" customHeight="1" spans="5:10">
      <c r="G39" s="160"/>
      <c r="H39" s="160"/>
      <c r="I39" s="160"/>
      <c r="J39" s="165"/>
    </row>
  </sheetData>
  <mergeCells count="17">
    <mergeCell ref="L1:P1"/>
    <mergeCell ref="Q1:R1"/>
    <mergeCell ref="T1:V1"/>
    <mergeCell ref="W1:Y1"/>
    <mergeCell ref="Z1:AB1"/>
    <mergeCell ref="AC1:AE1"/>
    <mergeCell ref="A1:A2"/>
    <mergeCell ref="B1:B2"/>
    <mergeCell ref="C1:C2"/>
    <mergeCell ref="D1:D2"/>
    <mergeCell ref="E1:E2"/>
    <mergeCell ref="F1:F2"/>
    <mergeCell ref="G1:G2"/>
    <mergeCell ref="H1:H2"/>
    <mergeCell ref="I1:I2"/>
    <mergeCell ref="J1:J2"/>
    <mergeCell ref="K1:K2"/>
  </mergeCells>
  <conditionalFormatting sqref="E8">
    <cfRule type="duplicateValues" dxfId="0" priority="1"/>
  </conditionalFormatting>
  <conditionalFormatting sqref="E4:E5">
    <cfRule type="duplicateValues" dxfId="0" priority="6"/>
  </conditionalFormatting>
  <conditionalFormatting sqref="E3 E6">
    <cfRule type="duplicateValues" dxfId="0" priority="7"/>
  </conditionalFormatting>
  <conditionalFormatting sqref="E7 E9:E12">
    <cfRule type="duplicateValues" dxfId="0" priority="4"/>
  </conditionalFormatting>
  <pageMargins left="0.75" right="0.75" top="1" bottom="1" header="0.5" footer="0.5"/>
  <pageSetup paperSize="9" orientation="portrait"/>
  <headerFooter/>
  <ignoredErrors>
    <ignoredError sqref="K3:K27 K30:K31"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148"/>
  <sheetViews>
    <sheetView zoomScale="70" zoomScaleNormal="70" workbookViewId="0">
      <pane xSplit="1" ySplit="3" topLeftCell="B88" activePane="bottomRight" state="frozen"/>
      <selection/>
      <selection pane="topRight"/>
      <selection pane="bottomLeft"/>
      <selection pane="bottomRight" activeCell="A23" sqref="A23"/>
    </sheetView>
  </sheetViews>
  <sheetFormatPr defaultColWidth="8.72727272727273" defaultRowHeight="14"/>
  <cols>
    <col min="1" max="1" width="4.45454545454545" style="91" customWidth="1"/>
    <col min="2" max="3" width="7.81818181818182" style="91" customWidth="1"/>
    <col min="4" max="4" width="17.2636363636364" style="91" customWidth="1"/>
    <col min="5" max="5" width="14.1181818181818" style="91" customWidth="1"/>
    <col min="6" max="6" width="11.3272727272727" style="91" customWidth="1"/>
    <col min="7" max="7" width="14.8" style="91" customWidth="1"/>
    <col min="8" max="8" width="13.6909090909091" style="91" customWidth="1"/>
    <col min="9" max="9" width="12.9363636363636" style="91" customWidth="1"/>
    <col min="10" max="10" width="11.6545454545455" style="91" customWidth="1"/>
    <col min="11" max="14" width="10.7909090909091" style="91" customWidth="1"/>
    <col min="16" max="17" width="9.61818181818182" style="91" customWidth="1"/>
    <col min="18" max="18" width="12.0818181818182" style="91" customWidth="1"/>
    <col min="19" max="19" width="10.6363636363636" style="91" customWidth="1"/>
    <col min="20" max="20" width="9.3" style="91" customWidth="1"/>
    <col min="21" max="21" width="11.3363636363636" style="92" customWidth="1"/>
    <col min="22" max="22" width="9.3" style="91" customWidth="1"/>
    <col min="23" max="23" width="6.94545454545455" style="91" customWidth="1"/>
    <col min="24" max="24" width="11.9090909090909" style="92" customWidth="1"/>
  </cols>
  <sheetData>
    <row r="1" spans="1:24">
      <c r="A1" s="1" t="s">
        <v>2</v>
      </c>
      <c r="B1" s="1" t="s">
        <v>143</v>
      </c>
      <c r="C1" s="1" t="s">
        <v>144</v>
      </c>
      <c r="D1" s="1" t="s">
        <v>42</v>
      </c>
      <c r="E1" s="1" t="s">
        <v>145</v>
      </c>
      <c r="F1" s="1" t="s">
        <v>43</v>
      </c>
      <c r="G1" s="1" t="s">
        <v>44</v>
      </c>
      <c r="H1" s="2" t="s">
        <v>146</v>
      </c>
      <c r="I1" s="3" t="s">
        <v>147</v>
      </c>
      <c r="J1" s="1" t="s">
        <v>45</v>
      </c>
      <c r="K1" s="93" t="s">
        <v>6</v>
      </c>
      <c r="L1" s="93" t="s">
        <v>148</v>
      </c>
      <c r="M1" s="93" t="s">
        <v>8</v>
      </c>
      <c r="N1" s="93" t="s">
        <v>47</v>
      </c>
      <c r="O1" s="5" t="s">
        <v>149</v>
      </c>
      <c r="P1" s="6" t="s">
        <v>150</v>
      </c>
      <c r="Q1" s="7" t="s">
        <v>56</v>
      </c>
      <c r="R1" s="8" t="s">
        <v>50</v>
      </c>
      <c r="S1" s="8" t="s">
        <v>51</v>
      </c>
      <c r="T1" s="8"/>
      <c r="U1" s="8"/>
      <c r="V1" s="8" t="s">
        <v>52</v>
      </c>
      <c r="W1" s="8"/>
      <c r="X1" s="8"/>
    </row>
    <row r="2" spans="1:24">
      <c r="A2" s="9"/>
      <c r="B2" s="9"/>
      <c r="C2" s="9"/>
      <c r="D2" s="9"/>
      <c r="E2" s="9"/>
      <c r="F2" s="9"/>
      <c r="G2" s="9"/>
      <c r="H2" s="10"/>
      <c r="I2" s="11"/>
      <c r="J2" s="9"/>
      <c r="K2" s="94"/>
      <c r="L2" s="94"/>
      <c r="M2" s="94"/>
      <c r="N2" s="94"/>
      <c r="O2" s="5"/>
      <c r="P2" s="12"/>
      <c r="Q2" s="7"/>
      <c r="R2" s="8"/>
      <c r="S2" s="8"/>
      <c r="T2" s="8"/>
      <c r="U2" s="8"/>
      <c r="V2" s="8"/>
      <c r="W2" s="8"/>
      <c r="X2" s="8"/>
    </row>
    <row r="3" spans="1:24">
      <c r="A3" s="9"/>
      <c r="B3" s="9"/>
      <c r="C3" s="9"/>
      <c r="D3" s="9"/>
      <c r="E3" s="9"/>
      <c r="F3" s="9"/>
      <c r="G3" s="9"/>
      <c r="H3" s="10"/>
      <c r="I3" s="11"/>
      <c r="J3" s="9"/>
      <c r="K3" s="95"/>
      <c r="L3" s="95"/>
      <c r="M3" s="95"/>
      <c r="N3" s="95"/>
      <c r="O3" s="5"/>
      <c r="P3" s="12"/>
      <c r="Q3" s="7"/>
      <c r="R3" s="13" t="s">
        <v>57</v>
      </c>
      <c r="S3" s="13" t="s">
        <v>57</v>
      </c>
      <c r="T3" s="6" t="s">
        <v>58</v>
      </c>
      <c r="U3" s="14" t="s">
        <v>59</v>
      </c>
      <c r="V3" s="13" t="s">
        <v>57</v>
      </c>
      <c r="W3" s="6" t="s">
        <v>58</v>
      </c>
      <c r="X3" s="14" t="s">
        <v>59</v>
      </c>
    </row>
    <row r="4" ht="47" customHeight="1" spans="1:24">
      <c r="A4" s="15">
        <v>1</v>
      </c>
      <c r="B4" s="16" t="s">
        <v>151</v>
      </c>
      <c r="C4" s="16" t="s">
        <v>74</v>
      </c>
      <c r="D4" s="16" t="s">
        <v>152</v>
      </c>
      <c r="E4" s="16" t="s">
        <v>153</v>
      </c>
      <c r="F4" s="17"/>
      <c r="G4" s="18" t="s">
        <v>154</v>
      </c>
      <c r="H4" s="19">
        <v>25086005.8534</v>
      </c>
      <c r="I4" s="20">
        <v>43511</v>
      </c>
      <c r="J4" s="18" t="s">
        <v>155</v>
      </c>
      <c r="K4" s="19">
        <v>0</v>
      </c>
      <c r="L4" s="19"/>
      <c r="M4" s="19">
        <f t="shared" ref="M4:M67" si="0">K4-N4</f>
        <v>0</v>
      </c>
      <c r="N4" s="19">
        <v>0</v>
      </c>
      <c r="O4" s="46" t="s">
        <v>156</v>
      </c>
      <c r="P4" s="22">
        <v>0.7</v>
      </c>
      <c r="Q4" s="96">
        <f t="shared" ref="Q4:Q67" si="1">N4*P4</f>
        <v>0</v>
      </c>
      <c r="R4" s="28" t="s">
        <v>83</v>
      </c>
      <c r="S4" s="28" t="s">
        <v>157</v>
      </c>
      <c r="T4" s="24">
        <v>0.7</v>
      </c>
      <c r="U4" s="23">
        <f t="shared" ref="U4:U67" si="2">Q4*T4</f>
        <v>0</v>
      </c>
      <c r="V4" s="32" t="s">
        <v>19</v>
      </c>
      <c r="W4" s="24">
        <v>0.3</v>
      </c>
      <c r="X4" s="23">
        <f t="shared" ref="X4:X9" si="3">Q4*W4</f>
        <v>0</v>
      </c>
    </row>
    <row r="5" customFormat="1" ht="47" hidden="1" customHeight="1" spans="1:24">
      <c r="A5" s="15">
        <v>2</v>
      </c>
      <c r="B5" s="16" t="s">
        <v>151</v>
      </c>
      <c r="C5" s="16" t="s">
        <v>74</v>
      </c>
      <c r="D5" s="16" t="s">
        <v>158</v>
      </c>
      <c r="E5" s="16" t="s">
        <v>159</v>
      </c>
      <c r="F5" s="17"/>
      <c r="G5" s="18" t="s">
        <v>160</v>
      </c>
      <c r="H5" s="19">
        <v>11787600</v>
      </c>
      <c r="I5" s="20">
        <v>43678</v>
      </c>
      <c r="J5" s="18" t="s">
        <v>161</v>
      </c>
      <c r="K5" s="19">
        <v>5656408.7</v>
      </c>
      <c r="L5" s="19"/>
      <c r="M5" s="19">
        <f t="shared" si="0"/>
        <v>4000000</v>
      </c>
      <c r="N5" s="19">
        <v>1656408.7</v>
      </c>
      <c r="O5" s="46" t="s">
        <v>162</v>
      </c>
      <c r="P5" s="22">
        <v>0.7</v>
      </c>
      <c r="Q5" s="96">
        <f t="shared" si="1"/>
        <v>1159486.09</v>
      </c>
      <c r="R5" s="28" t="s">
        <v>83</v>
      </c>
      <c r="S5" s="28" t="s">
        <v>157</v>
      </c>
      <c r="T5" s="24">
        <v>0.7</v>
      </c>
      <c r="U5" s="23">
        <f t="shared" si="2"/>
        <v>811640.263</v>
      </c>
      <c r="V5" s="32" t="s">
        <v>19</v>
      </c>
      <c r="W5" s="24">
        <v>0.3</v>
      </c>
      <c r="X5" s="23">
        <f t="shared" si="3"/>
        <v>347845.827</v>
      </c>
    </row>
    <row r="6" customFormat="1" ht="47" hidden="1" customHeight="1" spans="1:24">
      <c r="A6" s="15">
        <v>3</v>
      </c>
      <c r="B6" s="16" t="s">
        <v>151</v>
      </c>
      <c r="C6" s="16" t="s">
        <v>74</v>
      </c>
      <c r="D6" s="16" t="s">
        <v>158</v>
      </c>
      <c r="E6" s="16" t="s">
        <v>159</v>
      </c>
      <c r="F6" s="17" t="s">
        <v>163</v>
      </c>
      <c r="G6" s="18" t="s">
        <v>160</v>
      </c>
      <c r="H6" s="19">
        <v>11992800</v>
      </c>
      <c r="I6" s="20">
        <v>43678</v>
      </c>
      <c r="J6" s="18" t="s">
        <v>164</v>
      </c>
      <c r="K6" s="19">
        <v>6863991.3</v>
      </c>
      <c r="L6" s="19"/>
      <c r="M6" s="19">
        <f t="shared" si="0"/>
        <v>0</v>
      </c>
      <c r="N6" s="19">
        <v>6863991.3</v>
      </c>
      <c r="O6" s="46" t="s">
        <v>165</v>
      </c>
      <c r="P6" s="22">
        <v>0.7</v>
      </c>
      <c r="Q6" s="96">
        <f t="shared" si="1"/>
        <v>4804793.91</v>
      </c>
      <c r="R6" s="28" t="s">
        <v>83</v>
      </c>
      <c r="S6" s="28" t="s">
        <v>157</v>
      </c>
      <c r="T6" s="24">
        <v>0.7</v>
      </c>
      <c r="U6" s="23">
        <f t="shared" si="2"/>
        <v>3363355.737</v>
      </c>
      <c r="V6" s="32" t="s">
        <v>19</v>
      </c>
      <c r="W6" s="24">
        <v>0.3</v>
      </c>
      <c r="X6" s="23">
        <f t="shared" si="3"/>
        <v>1441438.173</v>
      </c>
    </row>
    <row r="7" customFormat="1" ht="47" hidden="1" customHeight="1" spans="1:24">
      <c r="A7" s="15">
        <v>4</v>
      </c>
      <c r="B7" s="16" t="s">
        <v>151</v>
      </c>
      <c r="C7" s="16" t="s">
        <v>74</v>
      </c>
      <c r="D7" s="16" t="s">
        <v>166</v>
      </c>
      <c r="E7" s="16" t="s">
        <v>167</v>
      </c>
      <c r="F7" s="17"/>
      <c r="G7" s="18" t="s">
        <v>128</v>
      </c>
      <c r="H7" s="19">
        <v>9095400</v>
      </c>
      <c r="I7" s="20">
        <v>43693</v>
      </c>
      <c r="J7" s="18" t="s">
        <v>129</v>
      </c>
      <c r="K7" s="19">
        <v>1549600</v>
      </c>
      <c r="L7" s="19"/>
      <c r="M7" s="19">
        <f t="shared" si="0"/>
        <v>300000</v>
      </c>
      <c r="N7" s="19">
        <v>1249600</v>
      </c>
      <c r="O7" s="46" t="s">
        <v>156</v>
      </c>
      <c r="P7" s="22">
        <v>0.7</v>
      </c>
      <c r="Q7" s="96">
        <f t="shared" si="1"/>
        <v>874720</v>
      </c>
      <c r="R7" s="28" t="s">
        <v>83</v>
      </c>
      <c r="S7" s="28" t="s">
        <v>157</v>
      </c>
      <c r="T7" s="24">
        <v>0.7</v>
      </c>
      <c r="U7" s="23">
        <f t="shared" si="2"/>
        <v>612304</v>
      </c>
      <c r="V7" s="32" t="s">
        <v>19</v>
      </c>
      <c r="W7" s="24">
        <v>0.3</v>
      </c>
      <c r="X7" s="23">
        <f t="shared" si="3"/>
        <v>262416</v>
      </c>
    </row>
    <row r="8" customFormat="1" ht="47" hidden="1" customHeight="1" spans="1:24">
      <c r="A8" s="15">
        <v>5</v>
      </c>
      <c r="B8" s="16" t="s">
        <v>151</v>
      </c>
      <c r="C8" s="16" t="s">
        <v>74</v>
      </c>
      <c r="D8" s="16" t="s">
        <v>168</v>
      </c>
      <c r="E8" s="16" t="s">
        <v>159</v>
      </c>
      <c r="F8" s="17" t="s">
        <v>169</v>
      </c>
      <c r="G8" s="18" t="s">
        <v>170</v>
      </c>
      <c r="H8" s="19">
        <v>12768762</v>
      </c>
      <c r="I8" s="20">
        <v>43830</v>
      </c>
      <c r="J8" s="18" t="s">
        <v>171</v>
      </c>
      <c r="K8" s="19">
        <v>1565140.1</v>
      </c>
      <c r="L8" s="19"/>
      <c r="M8" s="19">
        <f t="shared" si="0"/>
        <v>1000000</v>
      </c>
      <c r="N8" s="19">
        <v>565140.1</v>
      </c>
      <c r="O8" s="46" t="s">
        <v>172</v>
      </c>
      <c r="P8" s="22">
        <v>0.7</v>
      </c>
      <c r="Q8" s="96">
        <f t="shared" si="1"/>
        <v>395598.07</v>
      </c>
      <c r="R8" s="28" t="s">
        <v>83</v>
      </c>
      <c r="S8" s="28" t="s">
        <v>157</v>
      </c>
      <c r="T8" s="24">
        <v>0.7</v>
      </c>
      <c r="U8" s="23">
        <f t="shared" si="2"/>
        <v>276918.649</v>
      </c>
      <c r="V8" s="32" t="s">
        <v>19</v>
      </c>
      <c r="W8" s="24">
        <v>0.3</v>
      </c>
      <c r="X8" s="23">
        <f t="shared" si="3"/>
        <v>118679.421</v>
      </c>
    </row>
    <row r="9" customFormat="1" ht="47" hidden="1" customHeight="1" spans="1:24">
      <c r="A9" s="15">
        <v>6</v>
      </c>
      <c r="B9" s="16" t="s">
        <v>151</v>
      </c>
      <c r="C9" s="16" t="s">
        <v>74</v>
      </c>
      <c r="D9" s="16" t="s">
        <v>168</v>
      </c>
      <c r="E9" s="16" t="s">
        <v>159</v>
      </c>
      <c r="F9" s="17"/>
      <c r="G9" s="18" t="s">
        <v>170</v>
      </c>
      <c r="H9" s="19">
        <v>13517100</v>
      </c>
      <c r="I9" s="20">
        <v>43830</v>
      </c>
      <c r="J9" s="18" t="s">
        <v>173</v>
      </c>
      <c r="K9" s="19">
        <v>743303.8</v>
      </c>
      <c r="L9" s="19"/>
      <c r="M9" s="19">
        <f t="shared" si="0"/>
        <v>0</v>
      </c>
      <c r="N9" s="19">
        <v>743303.8</v>
      </c>
      <c r="O9" s="46" t="s">
        <v>156</v>
      </c>
      <c r="P9" s="22">
        <v>0.7</v>
      </c>
      <c r="Q9" s="96">
        <f t="shared" si="1"/>
        <v>520312.66</v>
      </c>
      <c r="R9" s="28" t="s">
        <v>83</v>
      </c>
      <c r="S9" s="28" t="s">
        <v>157</v>
      </c>
      <c r="T9" s="24">
        <v>0.7</v>
      </c>
      <c r="U9" s="23">
        <f t="shared" si="2"/>
        <v>364218.862</v>
      </c>
      <c r="V9" s="32" t="s">
        <v>19</v>
      </c>
      <c r="W9" s="24">
        <v>0.3</v>
      </c>
      <c r="X9" s="23">
        <f t="shared" si="3"/>
        <v>156093.798</v>
      </c>
    </row>
    <row r="10" customFormat="1" ht="47" customHeight="1" spans="1:24">
      <c r="A10" s="15">
        <v>7</v>
      </c>
      <c r="B10" s="16" t="s">
        <v>151</v>
      </c>
      <c r="C10" s="16" t="s">
        <v>60</v>
      </c>
      <c r="D10" s="16" t="s">
        <v>174</v>
      </c>
      <c r="E10" s="16" t="s">
        <v>175</v>
      </c>
      <c r="F10" s="17"/>
      <c r="G10" s="18" t="s">
        <v>176</v>
      </c>
      <c r="H10" s="19">
        <v>9705975</v>
      </c>
      <c r="I10" s="20">
        <v>42941</v>
      </c>
      <c r="J10" s="18" t="s">
        <v>177</v>
      </c>
      <c r="K10" s="19">
        <v>0</v>
      </c>
      <c r="L10" s="19"/>
      <c r="M10" s="19">
        <f t="shared" si="0"/>
        <v>0</v>
      </c>
      <c r="N10" s="19">
        <v>0</v>
      </c>
      <c r="O10" s="46" t="s">
        <v>178</v>
      </c>
      <c r="P10" s="22">
        <v>1</v>
      </c>
      <c r="Q10" s="96">
        <f t="shared" si="1"/>
        <v>0</v>
      </c>
      <c r="R10" s="28" t="s">
        <v>83</v>
      </c>
      <c r="S10" s="28" t="s">
        <v>157</v>
      </c>
      <c r="T10" s="24">
        <v>1</v>
      </c>
      <c r="U10" s="23">
        <f t="shared" si="2"/>
        <v>0</v>
      </c>
      <c r="V10" s="32"/>
      <c r="W10" s="24"/>
      <c r="X10" s="23"/>
    </row>
    <row r="11" customFormat="1" ht="47" hidden="1" customHeight="1" spans="1:24">
      <c r="A11" s="15">
        <v>8</v>
      </c>
      <c r="B11" s="16" t="s">
        <v>151</v>
      </c>
      <c r="C11" s="16" t="s">
        <v>60</v>
      </c>
      <c r="D11" s="16" t="s">
        <v>174</v>
      </c>
      <c r="E11" s="16" t="s">
        <v>175</v>
      </c>
      <c r="F11" s="17"/>
      <c r="G11" s="18" t="s">
        <v>179</v>
      </c>
      <c r="H11" s="19">
        <v>7940000</v>
      </c>
      <c r="I11" s="20">
        <v>43045</v>
      </c>
      <c r="J11" s="18" t="s">
        <v>180</v>
      </c>
      <c r="K11" s="19">
        <v>3076365.6</v>
      </c>
      <c r="L11" s="19"/>
      <c r="M11" s="19">
        <f t="shared" si="0"/>
        <v>150000</v>
      </c>
      <c r="N11" s="19">
        <v>2926365.6</v>
      </c>
      <c r="O11" s="46" t="s">
        <v>178</v>
      </c>
      <c r="P11" s="22">
        <v>1</v>
      </c>
      <c r="Q11" s="96">
        <f t="shared" si="1"/>
        <v>2926365.6</v>
      </c>
      <c r="R11" s="28" t="s">
        <v>83</v>
      </c>
      <c r="S11" s="28" t="s">
        <v>157</v>
      </c>
      <c r="T11" s="24">
        <v>1</v>
      </c>
      <c r="U11" s="23">
        <f t="shared" si="2"/>
        <v>2926365.6</v>
      </c>
      <c r="V11" s="32"/>
      <c r="W11" s="24"/>
      <c r="X11" s="23"/>
    </row>
    <row r="12" customFormat="1" ht="47" customHeight="1" spans="1:24">
      <c r="A12" s="15">
        <v>9</v>
      </c>
      <c r="B12" s="16" t="s">
        <v>181</v>
      </c>
      <c r="C12" s="16" t="s">
        <v>60</v>
      </c>
      <c r="D12" s="16" t="s">
        <v>182</v>
      </c>
      <c r="E12" s="16" t="s">
        <v>183</v>
      </c>
      <c r="F12" s="17" t="s">
        <v>184</v>
      </c>
      <c r="G12" s="18" t="s">
        <v>185</v>
      </c>
      <c r="H12" s="19">
        <v>36500000</v>
      </c>
      <c r="I12" s="20">
        <v>43445</v>
      </c>
      <c r="J12" s="18" t="s">
        <v>186</v>
      </c>
      <c r="K12" s="19">
        <v>0</v>
      </c>
      <c r="L12" s="19"/>
      <c r="M12" s="19">
        <f t="shared" si="0"/>
        <v>0</v>
      </c>
      <c r="N12" s="19">
        <v>0</v>
      </c>
      <c r="O12" s="46" t="s">
        <v>187</v>
      </c>
      <c r="P12" s="22">
        <v>1</v>
      </c>
      <c r="Q12" s="96">
        <f t="shared" si="1"/>
        <v>0</v>
      </c>
      <c r="R12" s="28" t="s">
        <v>83</v>
      </c>
      <c r="S12" s="28" t="s">
        <v>157</v>
      </c>
      <c r="T12" s="24">
        <v>0.7</v>
      </c>
      <c r="U12" s="23">
        <f t="shared" si="2"/>
        <v>0</v>
      </c>
      <c r="V12" s="32" t="s">
        <v>19</v>
      </c>
      <c r="W12" s="24">
        <v>0.3</v>
      </c>
      <c r="X12" s="23">
        <f>Q12*W12</f>
        <v>0</v>
      </c>
    </row>
    <row r="13" customFormat="1" ht="47" customHeight="1" spans="1:24">
      <c r="A13" s="15">
        <v>10</v>
      </c>
      <c r="B13" s="16" t="s">
        <v>181</v>
      </c>
      <c r="C13" s="16" t="s">
        <v>74</v>
      </c>
      <c r="D13" s="16" t="s">
        <v>188</v>
      </c>
      <c r="E13" s="16" t="s">
        <v>189</v>
      </c>
      <c r="F13" s="17" t="s">
        <v>190</v>
      </c>
      <c r="G13" s="18" t="s">
        <v>191</v>
      </c>
      <c r="H13" s="19">
        <v>6400000</v>
      </c>
      <c r="I13" s="20">
        <v>41935</v>
      </c>
      <c r="J13" s="18" t="s">
        <v>192</v>
      </c>
      <c r="K13" s="19">
        <v>0</v>
      </c>
      <c r="L13" s="19"/>
      <c r="M13" s="19">
        <f t="shared" si="0"/>
        <v>0</v>
      </c>
      <c r="N13" s="19">
        <v>0</v>
      </c>
      <c r="O13" s="46" t="s">
        <v>193</v>
      </c>
      <c r="P13" s="22">
        <v>1</v>
      </c>
      <c r="Q13" s="96">
        <f t="shared" si="1"/>
        <v>0</v>
      </c>
      <c r="R13" s="28" t="s">
        <v>194</v>
      </c>
      <c r="S13" s="28" t="s">
        <v>35</v>
      </c>
      <c r="T13" s="24">
        <v>1</v>
      </c>
      <c r="U13" s="23">
        <f t="shared" si="2"/>
        <v>0</v>
      </c>
      <c r="V13" s="32"/>
      <c r="W13" s="24"/>
      <c r="X13" s="23"/>
    </row>
    <row r="14" customFormat="1" ht="47" hidden="1" customHeight="1" spans="1:24">
      <c r="A14" s="15">
        <v>11</v>
      </c>
      <c r="B14" s="16" t="s">
        <v>181</v>
      </c>
      <c r="C14" s="16" t="s">
        <v>74</v>
      </c>
      <c r="D14" s="16" t="s">
        <v>195</v>
      </c>
      <c r="E14" s="16" t="s">
        <v>189</v>
      </c>
      <c r="F14" s="17" t="s">
        <v>190</v>
      </c>
      <c r="G14" s="18" t="s">
        <v>196</v>
      </c>
      <c r="H14" s="19">
        <v>2460000</v>
      </c>
      <c r="I14" s="20">
        <v>42082</v>
      </c>
      <c r="J14" s="18" t="s">
        <v>197</v>
      </c>
      <c r="K14" s="19">
        <v>1710000</v>
      </c>
      <c r="L14" s="19"/>
      <c r="M14" s="19">
        <f t="shared" si="0"/>
        <v>0</v>
      </c>
      <c r="N14" s="19">
        <v>1710000</v>
      </c>
      <c r="O14" s="46" t="s">
        <v>198</v>
      </c>
      <c r="P14" s="22">
        <v>1</v>
      </c>
      <c r="Q14" s="96">
        <f t="shared" si="1"/>
        <v>1710000</v>
      </c>
      <c r="R14" s="28" t="s">
        <v>194</v>
      </c>
      <c r="S14" s="28" t="s">
        <v>35</v>
      </c>
      <c r="T14" s="24">
        <v>1</v>
      </c>
      <c r="U14" s="23">
        <f t="shared" si="2"/>
        <v>1710000</v>
      </c>
      <c r="V14" s="32"/>
      <c r="W14" s="24"/>
      <c r="X14" s="23"/>
    </row>
    <row r="15" customFormat="1" ht="47" customHeight="1" spans="1:24">
      <c r="A15" s="15">
        <v>12</v>
      </c>
      <c r="B15" s="16" t="s">
        <v>181</v>
      </c>
      <c r="C15" s="16" t="s">
        <v>74</v>
      </c>
      <c r="D15" s="16" t="s">
        <v>100</v>
      </c>
      <c r="E15" s="16" t="s">
        <v>199</v>
      </c>
      <c r="F15" s="17" t="s">
        <v>190</v>
      </c>
      <c r="G15" s="18" t="s">
        <v>200</v>
      </c>
      <c r="H15" s="19">
        <v>3730000</v>
      </c>
      <c r="I15" s="20">
        <v>42535</v>
      </c>
      <c r="J15" s="18" t="s">
        <v>201</v>
      </c>
      <c r="K15" s="19">
        <v>0</v>
      </c>
      <c r="L15" s="19"/>
      <c r="M15" s="19">
        <f t="shared" si="0"/>
        <v>0</v>
      </c>
      <c r="N15" s="19">
        <v>0</v>
      </c>
      <c r="O15" s="46" t="s">
        <v>187</v>
      </c>
      <c r="P15" s="22">
        <v>1</v>
      </c>
      <c r="Q15" s="96">
        <f t="shared" si="1"/>
        <v>0</v>
      </c>
      <c r="R15" s="28" t="s">
        <v>194</v>
      </c>
      <c r="S15" s="28" t="s">
        <v>35</v>
      </c>
      <c r="T15" s="24">
        <v>1</v>
      </c>
      <c r="U15" s="23">
        <f t="shared" si="2"/>
        <v>0</v>
      </c>
      <c r="V15" s="32"/>
      <c r="W15" s="24"/>
      <c r="X15" s="23"/>
    </row>
    <row r="16" customFormat="1" ht="47" customHeight="1" spans="1:24">
      <c r="A16" s="15">
        <v>13</v>
      </c>
      <c r="B16" s="16" t="s">
        <v>181</v>
      </c>
      <c r="C16" s="16" t="s">
        <v>74</v>
      </c>
      <c r="D16" s="16" t="s">
        <v>202</v>
      </c>
      <c r="E16" s="16" t="s">
        <v>203</v>
      </c>
      <c r="F16" s="17" t="s">
        <v>204</v>
      </c>
      <c r="G16" s="18" t="s">
        <v>205</v>
      </c>
      <c r="H16" s="19">
        <v>1720000</v>
      </c>
      <c r="I16" s="20">
        <v>42542</v>
      </c>
      <c r="J16" s="18" t="s">
        <v>206</v>
      </c>
      <c r="K16" s="19">
        <v>0</v>
      </c>
      <c r="L16" s="19"/>
      <c r="M16" s="19">
        <f t="shared" si="0"/>
        <v>0</v>
      </c>
      <c r="N16" s="19">
        <v>0</v>
      </c>
      <c r="O16" s="46" t="s">
        <v>193</v>
      </c>
      <c r="P16" s="22">
        <v>1</v>
      </c>
      <c r="Q16" s="96">
        <f t="shared" si="1"/>
        <v>0</v>
      </c>
      <c r="R16" s="28" t="s">
        <v>64</v>
      </c>
      <c r="S16" s="28" t="s">
        <v>38</v>
      </c>
      <c r="T16" s="24">
        <v>1</v>
      </c>
      <c r="U16" s="23">
        <f t="shared" si="2"/>
        <v>0</v>
      </c>
      <c r="V16" s="32"/>
      <c r="W16" s="24"/>
      <c r="X16" s="23"/>
    </row>
    <row r="17" customFormat="1" ht="47" customHeight="1" spans="1:24">
      <c r="A17" s="15">
        <v>14</v>
      </c>
      <c r="B17" s="16" t="s">
        <v>181</v>
      </c>
      <c r="C17" s="16" t="s">
        <v>74</v>
      </c>
      <c r="D17" s="16" t="s">
        <v>207</v>
      </c>
      <c r="E17" s="16" t="s">
        <v>208</v>
      </c>
      <c r="F17" s="17" t="s">
        <v>190</v>
      </c>
      <c r="G17" s="18" t="s">
        <v>209</v>
      </c>
      <c r="H17" s="19">
        <v>5500000</v>
      </c>
      <c r="I17" s="20">
        <v>42592</v>
      </c>
      <c r="J17" s="18" t="s">
        <v>210</v>
      </c>
      <c r="K17" s="19">
        <v>0</v>
      </c>
      <c r="L17" s="19"/>
      <c r="M17" s="19">
        <f t="shared" si="0"/>
        <v>0</v>
      </c>
      <c r="N17" s="19">
        <v>0</v>
      </c>
      <c r="O17" s="46" t="s">
        <v>193</v>
      </c>
      <c r="P17" s="22">
        <v>1</v>
      </c>
      <c r="Q17" s="96">
        <f t="shared" si="1"/>
        <v>0</v>
      </c>
      <c r="R17" s="28" t="s">
        <v>64</v>
      </c>
      <c r="S17" s="28" t="s">
        <v>38</v>
      </c>
      <c r="T17" s="24">
        <v>1</v>
      </c>
      <c r="U17" s="23">
        <f t="shared" si="2"/>
        <v>0</v>
      </c>
      <c r="V17" s="32"/>
      <c r="W17" s="24"/>
      <c r="X17" s="23"/>
    </row>
    <row r="18" customFormat="1" ht="47" customHeight="1" spans="1:24">
      <c r="A18" s="15">
        <v>15</v>
      </c>
      <c r="B18" s="16" t="s">
        <v>181</v>
      </c>
      <c r="C18" s="16" t="s">
        <v>74</v>
      </c>
      <c r="D18" s="16" t="s">
        <v>202</v>
      </c>
      <c r="E18" s="16" t="s">
        <v>203</v>
      </c>
      <c r="F18" s="17" t="s">
        <v>211</v>
      </c>
      <c r="G18" s="18" t="s">
        <v>212</v>
      </c>
      <c r="H18" s="19">
        <v>1720000</v>
      </c>
      <c r="I18" s="20">
        <v>42604</v>
      </c>
      <c r="J18" s="18" t="s">
        <v>213</v>
      </c>
      <c r="K18" s="19">
        <v>0</v>
      </c>
      <c r="L18" s="19"/>
      <c r="M18" s="19">
        <f t="shared" si="0"/>
        <v>0</v>
      </c>
      <c r="N18" s="19">
        <v>0</v>
      </c>
      <c r="O18" s="46" t="s">
        <v>178</v>
      </c>
      <c r="P18" s="22">
        <v>1</v>
      </c>
      <c r="Q18" s="96">
        <f t="shared" si="1"/>
        <v>0</v>
      </c>
      <c r="R18" s="28" t="s">
        <v>64</v>
      </c>
      <c r="S18" s="28" t="s">
        <v>38</v>
      </c>
      <c r="T18" s="24">
        <v>1</v>
      </c>
      <c r="U18" s="23">
        <f t="shared" si="2"/>
        <v>0</v>
      </c>
      <c r="V18" s="32"/>
      <c r="W18" s="24"/>
      <c r="X18" s="23"/>
    </row>
    <row r="19" customFormat="1" ht="47" customHeight="1" spans="1:24">
      <c r="A19" s="15">
        <v>16</v>
      </c>
      <c r="B19" s="16" t="s">
        <v>181</v>
      </c>
      <c r="C19" s="16" t="s">
        <v>74</v>
      </c>
      <c r="D19" s="16" t="s">
        <v>207</v>
      </c>
      <c r="E19" s="16" t="s">
        <v>208</v>
      </c>
      <c r="F19" s="17" t="s">
        <v>214</v>
      </c>
      <c r="G19" s="18" t="s">
        <v>215</v>
      </c>
      <c r="H19" s="19">
        <v>1760000</v>
      </c>
      <c r="I19" s="20">
        <v>42591</v>
      </c>
      <c r="J19" s="18" t="s">
        <v>216</v>
      </c>
      <c r="K19" s="19">
        <v>0</v>
      </c>
      <c r="L19" s="19"/>
      <c r="M19" s="19">
        <f t="shared" si="0"/>
        <v>0</v>
      </c>
      <c r="N19" s="19">
        <v>0</v>
      </c>
      <c r="O19" s="46" t="s">
        <v>178</v>
      </c>
      <c r="P19" s="22">
        <v>1</v>
      </c>
      <c r="Q19" s="96">
        <f t="shared" si="1"/>
        <v>0</v>
      </c>
      <c r="R19" s="28" t="s">
        <v>64</v>
      </c>
      <c r="S19" s="28" t="s">
        <v>38</v>
      </c>
      <c r="T19" s="24">
        <v>1</v>
      </c>
      <c r="U19" s="23">
        <f t="shared" si="2"/>
        <v>0</v>
      </c>
      <c r="V19" s="32"/>
      <c r="W19" s="24"/>
      <c r="X19" s="23"/>
    </row>
    <row r="20" customFormat="1" ht="47" hidden="1" customHeight="1" spans="1:24">
      <c r="A20" s="15">
        <v>17</v>
      </c>
      <c r="B20" s="16" t="s">
        <v>181</v>
      </c>
      <c r="C20" s="16" t="s">
        <v>60</v>
      </c>
      <c r="D20" s="16" t="s">
        <v>217</v>
      </c>
      <c r="E20" s="16" t="s">
        <v>217</v>
      </c>
      <c r="F20" s="17" t="s">
        <v>218</v>
      </c>
      <c r="G20" s="18" t="s">
        <v>219</v>
      </c>
      <c r="H20" s="19">
        <v>1980000</v>
      </c>
      <c r="I20" s="20">
        <v>42518</v>
      </c>
      <c r="J20" s="18" t="s">
        <v>220</v>
      </c>
      <c r="K20" s="19">
        <v>150000</v>
      </c>
      <c r="L20" s="19"/>
      <c r="M20" s="19">
        <f t="shared" si="0"/>
        <v>0</v>
      </c>
      <c r="N20" s="19">
        <v>150000</v>
      </c>
      <c r="O20" s="46" t="s">
        <v>221</v>
      </c>
      <c r="P20" s="22">
        <v>1</v>
      </c>
      <c r="Q20" s="96">
        <f t="shared" si="1"/>
        <v>150000</v>
      </c>
      <c r="R20" s="28" t="s">
        <v>64</v>
      </c>
      <c r="S20" s="28" t="s">
        <v>38</v>
      </c>
      <c r="T20" s="24">
        <v>1</v>
      </c>
      <c r="U20" s="23">
        <f t="shared" si="2"/>
        <v>150000</v>
      </c>
      <c r="V20" s="32"/>
      <c r="W20" s="24"/>
      <c r="X20" s="23"/>
    </row>
    <row r="21" customFormat="1" ht="47" customHeight="1" spans="1:24">
      <c r="A21" s="15">
        <v>18</v>
      </c>
      <c r="B21" s="16" t="s">
        <v>181</v>
      </c>
      <c r="C21" s="16" t="s">
        <v>74</v>
      </c>
      <c r="D21" s="16" t="s">
        <v>222</v>
      </c>
      <c r="E21" s="16" t="s">
        <v>223</v>
      </c>
      <c r="F21" s="17" t="s">
        <v>224</v>
      </c>
      <c r="G21" s="18" t="s">
        <v>225</v>
      </c>
      <c r="H21" s="19">
        <v>1586000</v>
      </c>
      <c r="I21" s="20">
        <v>42802</v>
      </c>
      <c r="J21" s="18" t="s">
        <v>226</v>
      </c>
      <c r="K21" s="19">
        <v>0</v>
      </c>
      <c r="L21" s="19"/>
      <c r="M21" s="19">
        <f t="shared" si="0"/>
        <v>0</v>
      </c>
      <c r="N21" s="19">
        <v>0</v>
      </c>
      <c r="O21" s="46" t="s">
        <v>178</v>
      </c>
      <c r="P21" s="22">
        <v>1</v>
      </c>
      <c r="Q21" s="96">
        <f t="shared" si="1"/>
        <v>0</v>
      </c>
      <c r="R21" s="28" t="s">
        <v>64</v>
      </c>
      <c r="S21" s="28" t="s">
        <v>227</v>
      </c>
      <c r="T21" s="24">
        <v>0.5</v>
      </c>
      <c r="U21" s="23">
        <f t="shared" si="2"/>
        <v>0</v>
      </c>
      <c r="V21" s="32" t="s">
        <v>228</v>
      </c>
      <c r="W21" s="24">
        <v>0.5</v>
      </c>
      <c r="X21" s="23">
        <f t="shared" ref="X21:X30" si="4">Q21*W21</f>
        <v>0</v>
      </c>
    </row>
    <row r="22" customFormat="1" ht="47" customHeight="1" spans="1:24">
      <c r="A22" s="15">
        <v>19</v>
      </c>
      <c r="B22" s="16" t="s">
        <v>181</v>
      </c>
      <c r="C22" s="16" t="s">
        <v>74</v>
      </c>
      <c r="D22" s="16" t="s">
        <v>222</v>
      </c>
      <c r="E22" s="16" t="s">
        <v>223</v>
      </c>
      <c r="F22" s="17" t="s">
        <v>229</v>
      </c>
      <c r="G22" s="18" t="s">
        <v>230</v>
      </c>
      <c r="H22" s="19">
        <v>4125000</v>
      </c>
      <c r="I22" s="20">
        <v>42809</v>
      </c>
      <c r="J22" s="18" t="s">
        <v>231</v>
      </c>
      <c r="K22" s="19">
        <v>0</v>
      </c>
      <c r="L22" s="19"/>
      <c r="M22" s="19">
        <f t="shared" si="0"/>
        <v>0</v>
      </c>
      <c r="N22" s="19">
        <v>0</v>
      </c>
      <c r="O22" s="46" t="s">
        <v>187</v>
      </c>
      <c r="P22" s="22">
        <v>1</v>
      </c>
      <c r="Q22" s="96">
        <f t="shared" si="1"/>
        <v>0</v>
      </c>
      <c r="R22" s="28" t="s">
        <v>64</v>
      </c>
      <c r="S22" s="28" t="s">
        <v>227</v>
      </c>
      <c r="T22" s="24">
        <v>0.5</v>
      </c>
      <c r="U22" s="23">
        <f t="shared" si="2"/>
        <v>0</v>
      </c>
      <c r="V22" s="32" t="s">
        <v>228</v>
      </c>
      <c r="W22" s="24">
        <v>0.5</v>
      </c>
      <c r="X22" s="23">
        <f t="shared" si="4"/>
        <v>0</v>
      </c>
    </row>
    <row r="23" customFormat="1" ht="47" customHeight="1" spans="1:24">
      <c r="A23" s="15">
        <v>20</v>
      </c>
      <c r="B23" s="16" t="s">
        <v>181</v>
      </c>
      <c r="C23" s="16" t="s">
        <v>74</v>
      </c>
      <c r="D23" s="16" t="s">
        <v>222</v>
      </c>
      <c r="E23" s="16" t="s">
        <v>223</v>
      </c>
      <c r="F23" s="17" t="s">
        <v>232</v>
      </c>
      <c r="G23" s="18" t="s">
        <v>233</v>
      </c>
      <c r="H23" s="19">
        <v>1706000</v>
      </c>
      <c r="I23" s="20">
        <v>42803</v>
      </c>
      <c r="J23" s="18" t="s">
        <v>234</v>
      </c>
      <c r="K23" s="19">
        <v>0</v>
      </c>
      <c r="L23" s="19"/>
      <c r="M23" s="19">
        <f t="shared" si="0"/>
        <v>0</v>
      </c>
      <c r="N23" s="19">
        <v>0</v>
      </c>
      <c r="O23" s="46" t="s">
        <v>178</v>
      </c>
      <c r="P23" s="22">
        <v>1</v>
      </c>
      <c r="Q23" s="96">
        <f t="shared" si="1"/>
        <v>0</v>
      </c>
      <c r="R23" s="28" t="s">
        <v>64</v>
      </c>
      <c r="S23" s="28" t="s">
        <v>227</v>
      </c>
      <c r="T23" s="24">
        <v>0.5</v>
      </c>
      <c r="U23" s="23">
        <f t="shared" si="2"/>
        <v>0</v>
      </c>
      <c r="V23" s="32" t="s">
        <v>228</v>
      </c>
      <c r="W23" s="24">
        <v>0.5</v>
      </c>
      <c r="X23" s="23">
        <f t="shared" si="4"/>
        <v>0</v>
      </c>
    </row>
    <row r="24" customFormat="1" ht="47" customHeight="1" spans="1:24">
      <c r="A24" s="15">
        <v>21</v>
      </c>
      <c r="B24" s="16" t="s">
        <v>181</v>
      </c>
      <c r="C24" s="16" t="s">
        <v>74</v>
      </c>
      <c r="D24" s="16" t="s">
        <v>222</v>
      </c>
      <c r="E24" s="16" t="s">
        <v>223</v>
      </c>
      <c r="F24" s="17" t="s">
        <v>235</v>
      </c>
      <c r="G24" s="18" t="s">
        <v>236</v>
      </c>
      <c r="H24" s="19">
        <v>5136000</v>
      </c>
      <c r="I24" s="20">
        <v>42801</v>
      </c>
      <c r="J24" s="18" t="s">
        <v>237</v>
      </c>
      <c r="K24" s="19">
        <v>0</v>
      </c>
      <c r="L24" s="19"/>
      <c r="M24" s="19">
        <f t="shared" si="0"/>
        <v>0</v>
      </c>
      <c r="N24" s="19">
        <v>0</v>
      </c>
      <c r="O24" s="46" t="s">
        <v>178</v>
      </c>
      <c r="P24" s="22">
        <v>1</v>
      </c>
      <c r="Q24" s="96">
        <f t="shared" si="1"/>
        <v>0</v>
      </c>
      <c r="R24" s="28" t="s">
        <v>64</v>
      </c>
      <c r="S24" s="28" t="s">
        <v>227</v>
      </c>
      <c r="T24" s="24">
        <v>0.5</v>
      </c>
      <c r="U24" s="23">
        <f t="shared" si="2"/>
        <v>0</v>
      </c>
      <c r="V24" s="32" t="s">
        <v>228</v>
      </c>
      <c r="W24" s="24">
        <v>0.5</v>
      </c>
      <c r="X24" s="23">
        <f t="shared" si="4"/>
        <v>0</v>
      </c>
    </row>
    <row r="25" customFormat="1" ht="47" hidden="1" customHeight="1" spans="1:24">
      <c r="A25" s="15">
        <v>22</v>
      </c>
      <c r="B25" s="16" t="s">
        <v>181</v>
      </c>
      <c r="C25" s="16" t="s">
        <v>74</v>
      </c>
      <c r="D25" s="16" t="s">
        <v>222</v>
      </c>
      <c r="E25" s="16" t="s">
        <v>223</v>
      </c>
      <c r="F25" s="17" t="s">
        <v>238</v>
      </c>
      <c r="G25" s="18" t="s">
        <v>239</v>
      </c>
      <c r="H25" s="19">
        <v>5170000</v>
      </c>
      <c r="I25" s="20">
        <v>42877</v>
      </c>
      <c r="J25" s="18" t="s">
        <v>240</v>
      </c>
      <c r="K25" s="19">
        <v>4970000</v>
      </c>
      <c r="L25" s="19"/>
      <c r="M25" s="19">
        <f t="shared" si="0"/>
        <v>2795000</v>
      </c>
      <c r="N25" s="19">
        <v>2175000</v>
      </c>
      <c r="O25" s="46" t="s">
        <v>187</v>
      </c>
      <c r="P25" s="22">
        <v>1</v>
      </c>
      <c r="Q25" s="96">
        <f t="shared" si="1"/>
        <v>2175000</v>
      </c>
      <c r="R25" s="28" t="s">
        <v>64</v>
      </c>
      <c r="S25" s="28" t="s">
        <v>227</v>
      </c>
      <c r="T25" s="24">
        <v>0.5</v>
      </c>
      <c r="U25" s="23">
        <f t="shared" si="2"/>
        <v>1087500</v>
      </c>
      <c r="V25" s="32" t="s">
        <v>228</v>
      </c>
      <c r="W25" s="24">
        <v>0.5</v>
      </c>
      <c r="X25" s="23">
        <f t="shared" si="4"/>
        <v>1087500</v>
      </c>
    </row>
    <row r="26" customFormat="1" ht="47" customHeight="1" spans="1:24">
      <c r="A26" s="15">
        <v>23</v>
      </c>
      <c r="B26" s="16" t="s">
        <v>181</v>
      </c>
      <c r="C26" s="16" t="s">
        <v>74</v>
      </c>
      <c r="D26" s="16" t="s">
        <v>222</v>
      </c>
      <c r="E26" s="16" t="s">
        <v>223</v>
      </c>
      <c r="F26" s="17" t="s">
        <v>241</v>
      </c>
      <c r="G26" s="18" t="s">
        <v>242</v>
      </c>
      <c r="H26" s="19">
        <v>5040000</v>
      </c>
      <c r="I26" s="20">
        <v>42926</v>
      </c>
      <c r="J26" s="18" t="s">
        <v>243</v>
      </c>
      <c r="K26" s="19">
        <v>0</v>
      </c>
      <c r="L26" s="19"/>
      <c r="M26" s="19">
        <f t="shared" si="0"/>
        <v>0</v>
      </c>
      <c r="N26" s="19">
        <v>0</v>
      </c>
      <c r="O26" s="46" t="s">
        <v>178</v>
      </c>
      <c r="P26" s="22">
        <v>1</v>
      </c>
      <c r="Q26" s="96">
        <f t="shared" si="1"/>
        <v>0</v>
      </c>
      <c r="R26" s="28" t="s">
        <v>64</v>
      </c>
      <c r="S26" s="28" t="s">
        <v>227</v>
      </c>
      <c r="T26" s="24">
        <v>0.5</v>
      </c>
      <c r="U26" s="23">
        <f t="shared" si="2"/>
        <v>0</v>
      </c>
      <c r="V26" s="32" t="s">
        <v>228</v>
      </c>
      <c r="W26" s="24">
        <v>0.5</v>
      </c>
      <c r="X26" s="23">
        <f t="shared" si="4"/>
        <v>0</v>
      </c>
    </row>
    <row r="27" customFormat="1" ht="47" hidden="1" customHeight="1" spans="1:24">
      <c r="A27" s="15">
        <v>24</v>
      </c>
      <c r="B27" s="16" t="s">
        <v>181</v>
      </c>
      <c r="C27" s="16" t="s">
        <v>74</v>
      </c>
      <c r="D27" s="16" t="s">
        <v>222</v>
      </c>
      <c r="E27" s="16" t="s">
        <v>223</v>
      </c>
      <c r="F27" s="17" t="s">
        <v>244</v>
      </c>
      <c r="G27" s="18" t="s">
        <v>245</v>
      </c>
      <c r="H27" s="19">
        <v>14772000</v>
      </c>
      <c r="I27" s="20">
        <v>42803</v>
      </c>
      <c r="J27" s="18" t="s">
        <v>246</v>
      </c>
      <c r="K27" s="19">
        <v>6440000</v>
      </c>
      <c r="L27" s="19"/>
      <c r="M27" s="19">
        <f t="shared" si="0"/>
        <v>0</v>
      </c>
      <c r="N27" s="19">
        <v>6440000</v>
      </c>
      <c r="O27" s="46" t="s">
        <v>187</v>
      </c>
      <c r="P27" s="22">
        <v>1</v>
      </c>
      <c r="Q27" s="96">
        <f t="shared" si="1"/>
        <v>6440000</v>
      </c>
      <c r="R27" s="28" t="s">
        <v>64</v>
      </c>
      <c r="S27" s="28" t="s">
        <v>227</v>
      </c>
      <c r="T27" s="24">
        <v>0.5</v>
      </c>
      <c r="U27" s="23">
        <f t="shared" si="2"/>
        <v>3220000</v>
      </c>
      <c r="V27" s="32" t="s">
        <v>228</v>
      </c>
      <c r="W27" s="24">
        <v>0.5</v>
      </c>
      <c r="X27" s="23">
        <f t="shared" si="4"/>
        <v>3220000</v>
      </c>
    </row>
    <row r="28" customFormat="1" ht="47" customHeight="1" spans="1:24">
      <c r="A28" s="15">
        <v>25</v>
      </c>
      <c r="B28" s="16" t="s">
        <v>181</v>
      </c>
      <c r="C28" s="16" t="s">
        <v>74</v>
      </c>
      <c r="D28" s="16" t="s">
        <v>222</v>
      </c>
      <c r="E28" s="16" t="s">
        <v>223</v>
      </c>
      <c r="F28" s="17" t="s">
        <v>247</v>
      </c>
      <c r="G28" s="18" t="s">
        <v>248</v>
      </c>
      <c r="H28" s="19">
        <v>1610000</v>
      </c>
      <c r="I28" s="20">
        <v>42971</v>
      </c>
      <c r="J28" s="18" t="s">
        <v>249</v>
      </c>
      <c r="K28" s="19">
        <v>0</v>
      </c>
      <c r="L28" s="19"/>
      <c r="M28" s="19">
        <f t="shared" si="0"/>
        <v>0</v>
      </c>
      <c r="N28" s="19">
        <v>0</v>
      </c>
      <c r="O28" s="46" t="s">
        <v>193</v>
      </c>
      <c r="P28" s="22">
        <v>1</v>
      </c>
      <c r="Q28" s="96">
        <f t="shared" si="1"/>
        <v>0</v>
      </c>
      <c r="R28" s="28" t="s">
        <v>64</v>
      </c>
      <c r="S28" s="28" t="s">
        <v>227</v>
      </c>
      <c r="T28" s="24">
        <v>0.5</v>
      </c>
      <c r="U28" s="23">
        <f t="shared" si="2"/>
        <v>0</v>
      </c>
      <c r="V28" s="32" t="s">
        <v>228</v>
      </c>
      <c r="W28" s="24">
        <v>0.5</v>
      </c>
      <c r="X28" s="23">
        <f t="shared" si="4"/>
        <v>0</v>
      </c>
    </row>
    <row r="29" customFormat="1" ht="47" customHeight="1" spans="1:24">
      <c r="A29" s="15">
        <v>26</v>
      </c>
      <c r="B29" s="16" t="s">
        <v>181</v>
      </c>
      <c r="C29" s="16" t="s">
        <v>74</v>
      </c>
      <c r="D29" s="16" t="s">
        <v>222</v>
      </c>
      <c r="E29" s="16" t="s">
        <v>223</v>
      </c>
      <c r="F29" s="17" t="s">
        <v>250</v>
      </c>
      <c r="G29" s="18" t="s">
        <v>251</v>
      </c>
      <c r="H29" s="19">
        <v>4050000</v>
      </c>
      <c r="I29" s="20">
        <v>42971</v>
      </c>
      <c r="J29" s="18" t="s">
        <v>252</v>
      </c>
      <c r="K29" s="19">
        <v>0</v>
      </c>
      <c r="L29" s="19"/>
      <c r="M29" s="19">
        <f t="shared" si="0"/>
        <v>0</v>
      </c>
      <c r="N29" s="19">
        <v>0</v>
      </c>
      <c r="O29" s="46" t="s">
        <v>178</v>
      </c>
      <c r="P29" s="22">
        <v>1</v>
      </c>
      <c r="Q29" s="96">
        <f t="shared" si="1"/>
        <v>0</v>
      </c>
      <c r="R29" s="28" t="s">
        <v>64</v>
      </c>
      <c r="S29" s="28" t="s">
        <v>227</v>
      </c>
      <c r="T29" s="24">
        <v>0.5</v>
      </c>
      <c r="U29" s="23">
        <f t="shared" si="2"/>
        <v>0</v>
      </c>
      <c r="V29" s="32" t="s">
        <v>228</v>
      </c>
      <c r="W29" s="24">
        <v>0.5</v>
      </c>
      <c r="X29" s="23">
        <f t="shared" si="4"/>
        <v>0</v>
      </c>
    </row>
    <row r="30" customFormat="1" ht="47" hidden="1" customHeight="1" spans="1:24">
      <c r="A30" s="15">
        <v>27</v>
      </c>
      <c r="B30" s="16" t="s">
        <v>181</v>
      </c>
      <c r="C30" s="16" t="s">
        <v>74</v>
      </c>
      <c r="D30" s="16" t="s">
        <v>222</v>
      </c>
      <c r="E30" s="16" t="s">
        <v>223</v>
      </c>
      <c r="F30" s="17" t="s">
        <v>253</v>
      </c>
      <c r="G30" s="18" t="s">
        <v>254</v>
      </c>
      <c r="H30" s="19">
        <v>3920000</v>
      </c>
      <c r="I30" s="20">
        <v>43256</v>
      </c>
      <c r="J30" s="18" t="s">
        <v>255</v>
      </c>
      <c r="K30" s="19">
        <v>205000</v>
      </c>
      <c r="L30" s="19"/>
      <c r="M30" s="19">
        <f t="shared" si="0"/>
        <v>0</v>
      </c>
      <c r="N30" s="19">
        <v>205000</v>
      </c>
      <c r="O30" s="46" t="s">
        <v>187</v>
      </c>
      <c r="P30" s="22">
        <v>1</v>
      </c>
      <c r="Q30" s="96">
        <f t="shared" si="1"/>
        <v>205000</v>
      </c>
      <c r="R30" s="28" t="s">
        <v>64</v>
      </c>
      <c r="S30" s="28" t="s">
        <v>227</v>
      </c>
      <c r="T30" s="24">
        <v>0.5</v>
      </c>
      <c r="U30" s="23">
        <f t="shared" si="2"/>
        <v>102500</v>
      </c>
      <c r="V30" s="32" t="s">
        <v>228</v>
      </c>
      <c r="W30" s="24">
        <v>0.5</v>
      </c>
      <c r="X30" s="23">
        <f t="shared" si="4"/>
        <v>102500</v>
      </c>
    </row>
    <row r="31" customFormat="1" ht="47" hidden="1" customHeight="1" spans="1:24">
      <c r="A31" s="15">
        <v>28</v>
      </c>
      <c r="B31" s="16" t="s">
        <v>181</v>
      </c>
      <c r="C31" s="16" t="s">
        <v>74</v>
      </c>
      <c r="D31" s="16" t="s">
        <v>256</v>
      </c>
      <c r="E31" s="16" t="s">
        <v>257</v>
      </c>
      <c r="F31" s="17" t="s">
        <v>258</v>
      </c>
      <c r="G31" s="18" t="s">
        <v>259</v>
      </c>
      <c r="H31" s="19">
        <v>3108000</v>
      </c>
      <c r="I31" s="20">
        <v>42866</v>
      </c>
      <c r="J31" s="18" t="s">
        <v>260</v>
      </c>
      <c r="K31" s="19">
        <v>1625600</v>
      </c>
      <c r="L31" s="19"/>
      <c r="M31" s="19">
        <f t="shared" si="0"/>
        <v>0</v>
      </c>
      <c r="N31" s="19">
        <v>1625600</v>
      </c>
      <c r="O31" s="46" t="s">
        <v>162</v>
      </c>
      <c r="P31" s="22">
        <v>0.6</v>
      </c>
      <c r="Q31" s="96">
        <f t="shared" si="1"/>
        <v>975360</v>
      </c>
      <c r="R31" s="28" t="s">
        <v>64</v>
      </c>
      <c r="S31" s="28" t="s">
        <v>38</v>
      </c>
      <c r="T31" s="24">
        <v>1</v>
      </c>
      <c r="U31" s="23">
        <f t="shared" si="2"/>
        <v>975360</v>
      </c>
      <c r="V31" s="32"/>
      <c r="W31" s="24"/>
      <c r="X31" s="23"/>
    </row>
    <row r="32" customFormat="1" ht="47" customHeight="1" spans="1:24">
      <c r="A32" s="15">
        <v>29</v>
      </c>
      <c r="B32" s="16" t="s">
        <v>181</v>
      </c>
      <c r="C32" s="16" t="s">
        <v>74</v>
      </c>
      <c r="D32" s="16" t="s">
        <v>202</v>
      </c>
      <c r="E32" s="16" t="s">
        <v>203</v>
      </c>
      <c r="F32" s="17" t="s">
        <v>261</v>
      </c>
      <c r="G32" s="18" t="s">
        <v>262</v>
      </c>
      <c r="H32" s="19">
        <v>2540000</v>
      </c>
      <c r="I32" s="20">
        <v>42859</v>
      </c>
      <c r="J32" s="18" t="s">
        <v>263</v>
      </c>
      <c r="K32" s="19">
        <v>0</v>
      </c>
      <c r="L32" s="19"/>
      <c r="M32" s="19">
        <f t="shared" si="0"/>
        <v>0</v>
      </c>
      <c r="N32" s="19">
        <v>0</v>
      </c>
      <c r="O32" s="46" t="s">
        <v>162</v>
      </c>
      <c r="P32" s="22">
        <v>1</v>
      </c>
      <c r="Q32" s="96">
        <f t="shared" si="1"/>
        <v>0</v>
      </c>
      <c r="R32" s="28" t="s">
        <v>64</v>
      </c>
      <c r="S32" s="28" t="s">
        <v>38</v>
      </c>
      <c r="T32" s="24">
        <v>1</v>
      </c>
      <c r="U32" s="23">
        <f t="shared" si="2"/>
        <v>0</v>
      </c>
      <c r="V32" s="32"/>
      <c r="W32" s="24"/>
      <c r="X32" s="23"/>
    </row>
    <row r="33" customFormat="1" ht="47" hidden="1" customHeight="1" spans="1:24">
      <c r="A33" s="15">
        <v>30</v>
      </c>
      <c r="B33" s="16" t="s">
        <v>181</v>
      </c>
      <c r="C33" s="16" t="s">
        <v>74</v>
      </c>
      <c r="D33" s="16" t="s">
        <v>264</v>
      </c>
      <c r="E33" s="16" t="s">
        <v>265</v>
      </c>
      <c r="F33" s="17" t="s">
        <v>266</v>
      </c>
      <c r="G33" s="18" t="s">
        <v>267</v>
      </c>
      <c r="H33" s="19">
        <v>9980000</v>
      </c>
      <c r="I33" s="20">
        <v>43000</v>
      </c>
      <c r="J33" s="18" t="s">
        <v>268</v>
      </c>
      <c r="K33" s="19">
        <v>7879998</v>
      </c>
      <c r="L33" s="19"/>
      <c r="M33" s="19">
        <f t="shared" si="0"/>
        <v>3500000</v>
      </c>
      <c r="N33" s="19">
        <v>4379998</v>
      </c>
      <c r="O33" s="46" t="s">
        <v>198</v>
      </c>
      <c r="P33" s="22">
        <v>1</v>
      </c>
      <c r="Q33" s="96">
        <f t="shared" si="1"/>
        <v>4379998</v>
      </c>
      <c r="R33" s="28" t="s">
        <v>194</v>
      </c>
      <c r="S33" s="28" t="s">
        <v>35</v>
      </c>
      <c r="T33" s="24">
        <v>1</v>
      </c>
      <c r="U33" s="23">
        <f t="shared" si="2"/>
        <v>4379998</v>
      </c>
      <c r="V33" s="32"/>
      <c r="W33" s="24"/>
      <c r="X33" s="23"/>
    </row>
    <row r="34" customFormat="1" ht="47" hidden="1" customHeight="1" spans="1:24">
      <c r="A34" s="15">
        <v>31</v>
      </c>
      <c r="B34" s="16" t="s">
        <v>181</v>
      </c>
      <c r="C34" s="16" t="s">
        <v>74</v>
      </c>
      <c r="D34" s="16" t="s">
        <v>256</v>
      </c>
      <c r="E34" s="16" t="s">
        <v>257</v>
      </c>
      <c r="F34" s="17" t="s">
        <v>269</v>
      </c>
      <c r="G34" s="18" t="s">
        <v>270</v>
      </c>
      <c r="H34" s="19">
        <v>1556581.19</v>
      </c>
      <c r="I34" s="20">
        <v>43441</v>
      </c>
      <c r="J34" s="18" t="s">
        <v>271</v>
      </c>
      <c r="K34" s="19">
        <v>748581.19</v>
      </c>
      <c r="L34" s="19"/>
      <c r="M34" s="19">
        <f t="shared" si="0"/>
        <v>0</v>
      </c>
      <c r="N34" s="19">
        <v>748581.19</v>
      </c>
      <c r="O34" s="46" t="s">
        <v>162</v>
      </c>
      <c r="P34" s="22">
        <v>0.6</v>
      </c>
      <c r="Q34" s="96">
        <f t="shared" si="1"/>
        <v>449148.714</v>
      </c>
      <c r="R34" s="28" t="s">
        <v>64</v>
      </c>
      <c r="S34" s="28" t="s">
        <v>38</v>
      </c>
      <c r="T34" s="24">
        <v>1</v>
      </c>
      <c r="U34" s="23">
        <f t="shared" si="2"/>
        <v>449148.714</v>
      </c>
      <c r="V34" s="32"/>
      <c r="W34" s="24"/>
      <c r="X34" s="23"/>
    </row>
    <row r="35" customFormat="1" ht="47" customHeight="1" spans="1:24">
      <c r="A35" s="15">
        <v>32</v>
      </c>
      <c r="B35" s="16" t="s">
        <v>181</v>
      </c>
      <c r="C35" s="16" t="s">
        <v>74</v>
      </c>
      <c r="D35" s="16" t="s">
        <v>100</v>
      </c>
      <c r="E35" s="16" t="s">
        <v>199</v>
      </c>
      <c r="F35" s="17" t="s">
        <v>272</v>
      </c>
      <c r="G35" s="18" t="s">
        <v>273</v>
      </c>
      <c r="H35" s="19">
        <v>1840000</v>
      </c>
      <c r="I35" s="20">
        <v>43236</v>
      </c>
      <c r="J35" s="18" t="s">
        <v>274</v>
      </c>
      <c r="K35" s="19">
        <v>0</v>
      </c>
      <c r="L35" s="19"/>
      <c r="M35" s="19">
        <f t="shared" si="0"/>
        <v>0</v>
      </c>
      <c r="N35" s="19">
        <v>0</v>
      </c>
      <c r="O35" s="46" t="s">
        <v>165</v>
      </c>
      <c r="P35" s="22">
        <v>1</v>
      </c>
      <c r="Q35" s="96">
        <f t="shared" si="1"/>
        <v>0</v>
      </c>
      <c r="R35" s="28" t="s">
        <v>194</v>
      </c>
      <c r="S35" s="28" t="s">
        <v>35</v>
      </c>
      <c r="T35" s="24">
        <v>1</v>
      </c>
      <c r="U35" s="23">
        <f t="shared" si="2"/>
        <v>0</v>
      </c>
      <c r="V35" s="32"/>
      <c r="W35" s="24"/>
      <c r="X35" s="23"/>
    </row>
    <row r="36" customFormat="1" ht="47" hidden="1" customHeight="1" spans="1:24">
      <c r="A36" s="15">
        <v>33</v>
      </c>
      <c r="B36" s="16" t="s">
        <v>181</v>
      </c>
      <c r="C36" s="16" t="s">
        <v>74</v>
      </c>
      <c r="D36" s="16" t="s">
        <v>100</v>
      </c>
      <c r="E36" s="16" t="s">
        <v>199</v>
      </c>
      <c r="F36" s="17" t="s">
        <v>275</v>
      </c>
      <c r="G36" s="18" t="s">
        <v>276</v>
      </c>
      <c r="H36" s="19" t="s">
        <v>267</v>
      </c>
      <c r="I36" s="20">
        <v>43273</v>
      </c>
      <c r="J36" s="18" t="s">
        <v>277</v>
      </c>
      <c r="K36" s="19">
        <v>482000</v>
      </c>
      <c r="L36" s="19"/>
      <c r="M36" s="19">
        <f t="shared" si="0"/>
        <v>0</v>
      </c>
      <c r="N36" s="19">
        <v>482000</v>
      </c>
      <c r="O36" s="46" t="s">
        <v>162</v>
      </c>
      <c r="P36" s="22">
        <v>1</v>
      </c>
      <c r="Q36" s="96">
        <f t="shared" si="1"/>
        <v>482000</v>
      </c>
      <c r="R36" s="28" t="s">
        <v>194</v>
      </c>
      <c r="S36" s="28" t="s">
        <v>35</v>
      </c>
      <c r="T36" s="24">
        <v>1</v>
      </c>
      <c r="U36" s="23">
        <f t="shared" si="2"/>
        <v>482000</v>
      </c>
      <c r="V36" s="32"/>
      <c r="W36" s="24"/>
      <c r="X36" s="23"/>
    </row>
    <row r="37" customFormat="1" ht="47" customHeight="1" spans="1:24">
      <c r="A37" s="15">
        <v>34</v>
      </c>
      <c r="B37" s="16" t="s">
        <v>181</v>
      </c>
      <c r="C37" s="16" t="s">
        <v>74</v>
      </c>
      <c r="D37" s="16" t="s">
        <v>100</v>
      </c>
      <c r="E37" s="16" t="s">
        <v>199</v>
      </c>
      <c r="F37" s="17" t="s">
        <v>278</v>
      </c>
      <c r="G37" s="18" t="s">
        <v>279</v>
      </c>
      <c r="H37" s="19">
        <v>1800000</v>
      </c>
      <c r="I37" s="20">
        <v>43326</v>
      </c>
      <c r="J37" s="18" t="s">
        <v>280</v>
      </c>
      <c r="K37" s="19">
        <v>0</v>
      </c>
      <c r="L37" s="19"/>
      <c r="M37" s="19">
        <f t="shared" si="0"/>
        <v>0</v>
      </c>
      <c r="N37" s="19">
        <v>0</v>
      </c>
      <c r="O37" s="46" t="s">
        <v>162</v>
      </c>
      <c r="P37" s="22">
        <v>1</v>
      </c>
      <c r="Q37" s="96">
        <f t="shared" si="1"/>
        <v>0</v>
      </c>
      <c r="R37" s="28" t="s">
        <v>194</v>
      </c>
      <c r="S37" s="28" t="s">
        <v>35</v>
      </c>
      <c r="T37" s="24">
        <v>1</v>
      </c>
      <c r="U37" s="23">
        <f t="shared" si="2"/>
        <v>0</v>
      </c>
      <c r="V37" s="32"/>
      <c r="W37" s="24"/>
      <c r="X37" s="23"/>
    </row>
    <row r="38" customFormat="1" ht="47" hidden="1" customHeight="1" spans="1:24">
      <c r="A38" s="15">
        <v>35</v>
      </c>
      <c r="B38" s="16" t="s">
        <v>181</v>
      </c>
      <c r="C38" s="16" t="s">
        <v>74</v>
      </c>
      <c r="D38" s="16" t="s">
        <v>281</v>
      </c>
      <c r="E38" s="16" t="s">
        <v>203</v>
      </c>
      <c r="F38" s="17" t="s">
        <v>282</v>
      </c>
      <c r="G38" s="18" t="s">
        <v>283</v>
      </c>
      <c r="H38" s="19">
        <v>75000</v>
      </c>
      <c r="I38" s="20">
        <v>42534</v>
      </c>
      <c r="J38" s="18" t="s">
        <v>284</v>
      </c>
      <c r="K38" s="19">
        <v>75000</v>
      </c>
      <c r="L38" s="19"/>
      <c r="M38" s="19">
        <f t="shared" si="0"/>
        <v>75000</v>
      </c>
      <c r="N38" s="19">
        <v>0</v>
      </c>
      <c r="O38" s="46" t="s">
        <v>198</v>
      </c>
      <c r="P38" s="22">
        <v>1</v>
      </c>
      <c r="Q38" s="96">
        <f t="shared" si="1"/>
        <v>0</v>
      </c>
      <c r="R38" s="28" t="s">
        <v>64</v>
      </c>
      <c r="S38" s="28" t="s">
        <v>38</v>
      </c>
      <c r="T38" s="24">
        <v>1</v>
      </c>
      <c r="U38" s="23">
        <f t="shared" si="2"/>
        <v>0</v>
      </c>
      <c r="V38" s="32"/>
      <c r="W38" s="24"/>
      <c r="X38" s="23"/>
    </row>
    <row r="39" customFormat="1" ht="47" customHeight="1" spans="1:24">
      <c r="A39" s="15">
        <v>36</v>
      </c>
      <c r="B39" s="16" t="s">
        <v>181</v>
      </c>
      <c r="C39" s="16" t="s">
        <v>74</v>
      </c>
      <c r="D39" s="16" t="s">
        <v>207</v>
      </c>
      <c r="E39" s="16" t="s">
        <v>208</v>
      </c>
      <c r="F39" s="17" t="s">
        <v>285</v>
      </c>
      <c r="G39" s="18" t="s">
        <v>286</v>
      </c>
      <c r="H39" s="19">
        <v>52000</v>
      </c>
      <c r="I39" s="20">
        <v>43490</v>
      </c>
      <c r="J39" s="18"/>
      <c r="K39" s="19">
        <v>0</v>
      </c>
      <c r="L39" s="19"/>
      <c r="M39" s="19">
        <f t="shared" si="0"/>
        <v>0</v>
      </c>
      <c r="N39" s="19">
        <v>0</v>
      </c>
      <c r="O39" s="46" t="s">
        <v>162</v>
      </c>
      <c r="P39" s="22">
        <v>1</v>
      </c>
      <c r="Q39" s="96">
        <f t="shared" si="1"/>
        <v>0</v>
      </c>
      <c r="R39" s="28" t="s">
        <v>64</v>
      </c>
      <c r="S39" s="28" t="s">
        <v>38</v>
      </c>
      <c r="T39" s="24">
        <v>1</v>
      </c>
      <c r="U39" s="23">
        <f t="shared" si="2"/>
        <v>0</v>
      </c>
      <c r="V39" s="32"/>
      <c r="W39" s="24"/>
      <c r="X39" s="23"/>
    </row>
    <row r="40" customFormat="1" ht="47" customHeight="1" spans="1:24">
      <c r="A40" s="15">
        <v>37</v>
      </c>
      <c r="B40" s="16" t="s">
        <v>181</v>
      </c>
      <c r="C40" s="16" t="s">
        <v>74</v>
      </c>
      <c r="D40" s="16" t="s">
        <v>287</v>
      </c>
      <c r="E40" s="16" t="s">
        <v>288</v>
      </c>
      <c r="F40" s="17" t="s">
        <v>289</v>
      </c>
      <c r="G40" s="18" t="s">
        <v>290</v>
      </c>
      <c r="H40" s="19">
        <v>10450000</v>
      </c>
      <c r="I40" s="20">
        <v>43244</v>
      </c>
      <c r="J40" s="18" t="s">
        <v>291</v>
      </c>
      <c r="K40" s="19">
        <v>0</v>
      </c>
      <c r="L40" s="19"/>
      <c r="M40" s="19">
        <f t="shared" si="0"/>
        <v>0</v>
      </c>
      <c r="N40" s="19">
        <v>0</v>
      </c>
      <c r="O40" s="46" t="s">
        <v>162</v>
      </c>
      <c r="P40" s="22">
        <v>0.6</v>
      </c>
      <c r="Q40" s="96">
        <f t="shared" si="1"/>
        <v>0</v>
      </c>
      <c r="R40" s="28" t="s">
        <v>64</v>
      </c>
      <c r="S40" s="28" t="s">
        <v>38</v>
      </c>
      <c r="T40" s="24">
        <v>0.7</v>
      </c>
      <c r="U40" s="23">
        <f t="shared" si="2"/>
        <v>0</v>
      </c>
      <c r="V40" s="32" t="s">
        <v>292</v>
      </c>
      <c r="W40" s="24">
        <v>0.3</v>
      </c>
      <c r="X40" s="23">
        <f>Q40*W40</f>
        <v>0</v>
      </c>
    </row>
    <row r="41" customFormat="1" ht="47" hidden="1" customHeight="1" spans="1:24">
      <c r="A41" s="15">
        <v>38</v>
      </c>
      <c r="B41" s="16" t="s">
        <v>181</v>
      </c>
      <c r="C41" s="16" t="s">
        <v>74</v>
      </c>
      <c r="D41" s="16" t="s">
        <v>202</v>
      </c>
      <c r="E41" s="16" t="s">
        <v>203</v>
      </c>
      <c r="F41" s="17" t="s">
        <v>293</v>
      </c>
      <c r="G41" s="18" t="s">
        <v>294</v>
      </c>
      <c r="H41" s="19">
        <v>1059700</v>
      </c>
      <c r="I41" s="20">
        <v>43677</v>
      </c>
      <c r="J41" s="18" t="s">
        <v>295</v>
      </c>
      <c r="K41" s="19">
        <v>859700</v>
      </c>
      <c r="L41" s="19"/>
      <c r="M41" s="19">
        <f t="shared" si="0"/>
        <v>0</v>
      </c>
      <c r="N41" s="19">
        <v>859700</v>
      </c>
      <c r="O41" s="46" t="s">
        <v>165</v>
      </c>
      <c r="P41" s="22">
        <v>1</v>
      </c>
      <c r="Q41" s="96">
        <f t="shared" si="1"/>
        <v>859700</v>
      </c>
      <c r="R41" s="28" t="s">
        <v>64</v>
      </c>
      <c r="S41" s="28" t="s">
        <v>38</v>
      </c>
      <c r="T41" s="24">
        <v>1</v>
      </c>
      <c r="U41" s="23">
        <f t="shared" si="2"/>
        <v>859700</v>
      </c>
      <c r="V41" s="32"/>
      <c r="W41" s="24"/>
      <c r="X41" s="23"/>
    </row>
    <row r="42" customFormat="1" ht="47" hidden="1" customHeight="1" spans="1:24">
      <c r="A42" s="15">
        <v>39</v>
      </c>
      <c r="B42" s="16" t="s">
        <v>181</v>
      </c>
      <c r="C42" s="16" t="s">
        <v>74</v>
      </c>
      <c r="D42" s="16" t="s">
        <v>296</v>
      </c>
      <c r="E42" s="16" t="s">
        <v>297</v>
      </c>
      <c r="F42" s="17" t="s">
        <v>298</v>
      </c>
      <c r="G42" s="18" t="s">
        <v>299</v>
      </c>
      <c r="H42" s="19">
        <v>4980000</v>
      </c>
      <c r="I42" s="20">
        <v>43686</v>
      </c>
      <c r="J42" s="18"/>
      <c r="K42" s="19">
        <v>600000</v>
      </c>
      <c r="L42" s="19"/>
      <c r="M42" s="19">
        <f t="shared" si="0"/>
        <v>300000</v>
      </c>
      <c r="N42" s="19">
        <v>300000</v>
      </c>
      <c r="O42" s="46" t="s">
        <v>162</v>
      </c>
      <c r="P42" s="22">
        <v>1</v>
      </c>
      <c r="Q42" s="96">
        <f t="shared" si="1"/>
        <v>300000</v>
      </c>
      <c r="R42" s="28" t="s">
        <v>64</v>
      </c>
      <c r="S42" s="28" t="s">
        <v>38</v>
      </c>
      <c r="T42" s="24">
        <v>1</v>
      </c>
      <c r="U42" s="23">
        <f t="shared" si="2"/>
        <v>300000</v>
      </c>
      <c r="V42" s="32"/>
      <c r="W42" s="24"/>
      <c r="X42" s="23"/>
    </row>
    <row r="43" customFormat="1" ht="47" hidden="1" customHeight="1" spans="1:24">
      <c r="A43" s="15">
        <v>40</v>
      </c>
      <c r="B43" s="16" t="s">
        <v>181</v>
      </c>
      <c r="C43" s="16" t="s">
        <v>74</v>
      </c>
      <c r="D43" s="16" t="s">
        <v>202</v>
      </c>
      <c r="E43" s="16" t="s">
        <v>203</v>
      </c>
      <c r="F43" s="17" t="s">
        <v>300</v>
      </c>
      <c r="G43" s="18" t="s">
        <v>301</v>
      </c>
      <c r="H43" s="19">
        <v>1051900</v>
      </c>
      <c r="I43" s="20">
        <v>43723</v>
      </c>
      <c r="J43" s="18" t="s">
        <v>302</v>
      </c>
      <c r="K43" s="19">
        <v>325950</v>
      </c>
      <c r="L43" s="19"/>
      <c r="M43" s="19">
        <f t="shared" si="0"/>
        <v>184128</v>
      </c>
      <c r="N43" s="19">
        <v>141822</v>
      </c>
      <c r="O43" s="46" t="s">
        <v>165</v>
      </c>
      <c r="P43" s="22">
        <v>1</v>
      </c>
      <c r="Q43" s="96">
        <f t="shared" si="1"/>
        <v>141822</v>
      </c>
      <c r="R43" s="28" t="s">
        <v>64</v>
      </c>
      <c r="S43" s="28" t="s">
        <v>38</v>
      </c>
      <c r="T43" s="24">
        <v>1</v>
      </c>
      <c r="U43" s="23">
        <f t="shared" si="2"/>
        <v>141822</v>
      </c>
      <c r="V43" s="32"/>
      <c r="W43" s="24"/>
      <c r="X43" s="23"/>
    </row>
    <row r="44" customFormat="1" ht="47" customHeight="1" spans="1:24">
      <c r="A44" s="15">
        <v>41</v>
      </c>
      <c r="B44" s="16" t="s">
        <v>181</v>
      </c>
      <c r="C44" s="16" t="s">
        <v>74</v>
      </c>
      <c r="D44" s="16" t="s">
        <v>303</v>
      </c>
      <c r="E44" s="16" t="s">
        <v>304</v>
      </c>
      <c r="F44" s="17" t="s">
        <v>305</v>
      </c>
      <c r="G44" s="18" t="s">
        <v>306</v>
      </c>
      <c r="H44" s="19">
        <v>1720000</v>
      </c>
      <c r="I44" s="20">
        <v>43626</v>
      </c>
      <c r="J44" s="18" t="s">
        <v>307</v>
      </c>
      <c r="K44" s="19">
        <v>0</v>
      </c>
      <c r="L44" s="19"/>
      <c r="M44" s="19">
        <f t="shared" si="0"/>
        <v>0</v>
      </c>
      <c r="N44" s="19">
        <v>0</v>
      </c>
      <c r="O44" s="46" t="s">
        <v>193</v>
      </c>
      <c r="P44" s="22">
        <v>1</v>
      </c>
      <c r="Q44" s="96">
        <f t="shared" si="1"/>
        <v>0</v>
      </c>
      <c r="R44" s="28" t="s">
        <v>83</v>
      </c>
      <c r="S44" s="28" t="s">
        <v>24</v>
      </c>
      <c r="T44" s="24">
        <v>1</v>
      </c>
      <c r="U44" s="23">
        <f t="shared" si="2"/>
        <v>0</v>
      </c>
      <c r="V44" s="32"/>
      <c r="W44" s="24"/>
      <c r="X44" s="23"/>
    </row>
    <row r="45" customFormat="1" ht="47" hidden="1" customHeight="1" spans="1:24">
      <c r="A45" s="15">
        <v>42</v>
      </c>
      <c r="B45" s="16" t="s">
        <v>181</v>
      </c>
      <c r="C45" s="16" t="s">
        <v>74</v>
      </c>
      <c r="D45" s="16" t="s">
        <v>308</v>
      </c>
      <c r="E45" s="16" t="s">
        <v>203</v>
      </c>
      <c r="F45" s="17" t="s">
        <v>309</v>
      </c>
      <c r="G45" s="18" t="s">
        <v>310</v>
      </c>
      <c r="H45" s="19">
        <v>2077400</v>
      </c>
      <c r="I45" s="20">
        <v>43689</v>
      </c>
      <c r="J45" s="18" t="s">
        <v>311</v>
      </c>
      <c r="K45" s="19">
        <v>338700</v>
      </c>
      <c r="L45" s="19"/>
      <c r="M45" s="19">
        <f t="shared" si="0"/>
        <v>0</v>
      </c>
      <c r="N45" s="19">
        <v>338700</v>
      </c>
      <c r="O45" s="46" t="s">
        <v>162</v>
      </c>
      <c r="P45" s="22">
        <v>1</v>
      </c>
      <c r="Q45" s="96">
        <f t="shared" si="1"/>
        <v>338700</v>
      </c>
      <c r="R45" s="28" t="s">
        <v>64</v>
      </c>
      <c r="S45" s="28" t="s">
        <v>38</v>
      </c>
      <c r="T45" s="24">
        <v>1</v>
      </c>
      <c r="U45" s="23">
        <f t="shared" si="2"/>
        <v>338700</v>
      </c>
      <c r="V45" s="32"/>
      <c r="W45" s="24"/>
      <c r="X45" s="23"/>
    </row>
    <row r="46" customFormat="1" ht="47" customHeight="1" spans="1:24">
      <c r="A46" s="15">
        <v>43</v>
      </c>
      <c r="B46" s="16" t="s">
        <v>181</v>
      </c>
      <c r="C46" s="16" t="s">
        <v>74</v>
      </c>
      <c r="D46" s="16" t="s">
        <v>312</v>
      </c>
      <c r="E46" s="16" t="s">
        <v>313</v>
      </c>
      <c r="F46" s="17" t="s">
        <v>314</v>
      </c>
      <c r="G46" s="18" t="s">
        <v>315</v>
      </c>
      <c r="H46" s="19">
        <v>4878000</v>
      </c>
      <c r="I46" s="20">
        <v>43775</v>
      </c>
      <c r="J46" s="18" t="s">
        <v>316</v>
      </c>
      <c r="K46" s="19">
        <v>0</v>
      </c>
      <c r="L46" s="19"/>
      <c r="M46" s="19">
        <f t="shared" si="0"/>
        <v>0</v>
      </c>
      <c r="N46" s="19">
        <v>0</v>
      </c>
      <c r="O46" s="46" t="s">
        <v>165</v>
      </c>
      <c r="P46" s="22">
        <v>1</v>
      </c>
      <c r="Q46" s="96">
        <f t="shared" si="1"/>
        <v>0</v>
      </c>
      <c r="R46" s="28" t="s">
        <v>194</v>
      </c>
      <c r="S46" s="28" t="s">
        <v>35</v>
      </c>
      <c r="T46" s="24">
        <v>1</v>
      </c>
      <c r="U46" s="23">
        <f t="shared" si="2"/>
        <v>0</v>
      </c>
      <c r="V46" s="32"/>
      <c r="W46" s="24"/>
      <c r="X46" s="23"/>
    </row>
    <row r="47" customFormat="1" ht="47" hidden="1" customHeight="1" spans="1:24">
      <c r="A47" s="15">
        <v>44</v>
      </c>
      <c r="B47" s="16" t="s">
        <v>181</v>
      </c>
      <c r="C47" s="16" t="s">
        <v>74</v>
      </c>
      <c r="D47" s="16" t="s">
        <v>317</v>
      </c>
      <c r="E47" s="16" t="s">
        <v>318</v>
      </c>
      <c r="F47" s="17" t="s">
        <v>319</v>
      </c>
      <c r="G47" s="18" t="s">
        <v>320</v>
      </c>
      <c r="H47" s="19">
        <v>2950000</v>
      </c>
      <c r="I47" s="20">
        <v>43780</v>
      </c>
      <c r="J47" s="18" t="s">
        <v>321</v>
      </c>
      <c r="K47" s="19">
        <v>85000</v>
      </c>
      <c r="L47" s="19"/>
      <c r="M47" s="19">
        <f t="shared" si="0"/>
        <v>0</v>
      </c>
      <c r="N47" s="19">
        <v>85000</v>
      </c>
      <c r="O47" s="46" t="s">
        <v>165</v>
      </c>
      <c r="P47" s="22">
        <v>1</v>
      </c>
      <c r="Q47" s="96">
        <f t="shared" si="1"/>
        <v>85000</v>
      </c>
      <c r="R47" s="28" t="s">
        <v>194</v>
      </c>
      <c r="S47" s="28" t="s">
        <v>35</v>
      </c>
      <c r="T47" s="24">
        <v>1</v>
      </c>
      <c r="U47" s="23">
        <f t="shared" si="2"/>
        <v>85000</v>
      </c>
      <c r="V47" s="32"/>
      <c r="W47" s="24"/>
      <c r="X47" s="23"/>
    </row>
    <row r="48" customFormat="1" ht="47" customHeight="1" spans="1:24">
      <c r="A48" s="15">
        <v>45</v>
      </c>
      <c r="B48" s="16" t="s">
        <v>181</v>
      </c>
      <c r="C48" s="16" t="s">
        <v>74</v>
      </c>
      <c r="D48" s="16" t="s">
        <v>202</v>
      </c>
      <c r="E48" s="16" t="s">
        <v>203</v>
      </c>
      <c r="F48" s="17" t="s">
        <v>322</v>
      </c>
      <c r="G48" s="18" t="s">
        <v>323</v>
      </c>
      <c r="H48" s="19">
        <v>2095400</v>
      </c>
      <c r="I48" s="20">
        <v>43789</v>
      </c>
      <c r="J48" s="18" t="s">
        <v>324</v>
      </c>
      <c r="K48" s="19">
        <v>0</v>
      </c>
      <c r="L48" s="19"/>
      <c r="M48" s="19">
        <f t="shared" si="0"/>
        <v>0</v>
      </c>
      <c r="N48" s="19">
        <v>0</v>
      </c>
      <c r="O48" s="46" t="s">
        <v>162</v>
      </c>
      <c r="P48" s="22">
        <v>1</v>
      </c>
      <c r="Q48" s="96">
        <f t="shared" si="1"/>
        <v>0</v>
      </c>
      <c r="R48" s="28" t="s">
        <v>64</v>
      </c>
      <c r="S48" s="28" t="s">
        <v>38</v>
      </c>
      <c r="T48" s="24">
        <v>1</v>
      </c>
      <c r="U48" s="23">
        <f t="shared" si="2"/>
        <v>0</v>
      </c>
      <c r="V48" s="32"/>
      <c r="W48" s="24"/>
      <c r="X48" s="23"/>
    </row>
    <row r="49" customFormat="1" ht="47" hidden="1" customHeight="1" spans="1:24">
      <c r="A49" s="15">
        <v>46</v>
      </c>
      <c r="B49" s="16" t="s">
        <v>181</v>
      </c>
      <c r="C49" s="16" t="s">
        <v>74</v>
      </c>
      <c r="D49" s="16" t="s">
        <v>325</v>
      </c>
      <c r="E49" s="16" t="s">
        <v>326</v>
      </c>
      <c r="F49" s="17" t="s">
        <v>327</v>
      </c>
      <c r="G49" s="18" t="s">
        <v>328</v>
      </c>
      <c r="H49" s="19">
        <v>3780000</v>
      </c>
      <c r="I49" s="20">
        <v>43960</v>
      </c>
      <c r="J49" s="18" t="s">
        <v>329</v>
      </c>
      <c r="K49" s="19">
        <v>18000</v>
      </c>
      <c r="L49" s="19"/>
      <c r="M49" s="19">
        <f t="shared" si="0"/>
        <v>0</v>
      </c>
      <c r="N49" s="19">
        <v>18000</v>
      </c>
      <c r="O49" s="46" t="s">
        <v>187</v>
      </c>
      <c r="P49" s="22">
        <v>1</v>
      </c>
      <c r="Q49" s="96">
        <f t="shared" si="1"/>
        <v>18000</v>
      </c>
      <c r="R49" s="28" t="s">
        <v>194</v>
      </c>
      <c r="S49" s="28" t="s">
        <v>35</v>
      </c>
      <c r="T49" s="24">
        <v>1</v>
      </c>
      <c r="U49" s="23">
        <f t="shared" si="2"/>
        <v>18000</v>
      </c>
      <c r="V49" s="32"/>
      <c r="W49" s="24"/>
      <c r="X49" s="23"/>
    </row>
    <row r="50" customFormat="1" ht="47" customHeight="1" spans="1:24">
      <c r="A50" s="15">
        <v>47</v>
      </c>
      <c r="B50" s="16" t="s">
        <v>181</v>
      </c>
      <c r="C50" s="16" t="s">
        <v>74</v>
      </c>
      <c r="D50" s="16" t="s">
        <v>330</v>
      </c>
      <c r="E50" s="16" t="s">
        <v>288</v>
      </c>
      <c r="F50" s="17" t="s">
        <v>331</v>
      </c>
      <c r="G50" s="18" t="s">
        <v>332</v>
      </c>
      <c r="H50" s="19">
        <v>3590000</v>
      </c>
      <c r="I50" s="20">
        <v>44013</v>
      </c>
      <c r="J50" s="18" t="s">
        <v>333</v>
      </c>
      <c r="K50" s="19">
        <v>0</v>
      </c>
      <c r="L50" s="19"/>
      <c r="M50" s="19">
        <f t="shared" si="0"/>
        <v>0</v>
      </c>
      <c r="N50" s="19">
        <v>0</v>
      </c>
      <c r="O50" s="46" t="s">
        <v>165</v>
      </c>
      <c r="P50" s="22">
        <v>1</v>
      </c>
      <c r="Q50" s="96">
        <f t="shared" si="1"/>
        <v>0</v>
      </c>
      <c r="R50" s="28" t="s">
        <v>64</v>
      </c>
      <c r="S50" s="28" t="s">
        <v>38</v>
      </c>
      <c r="T50" s="24">
        <v>0.7</v>
      </c>
      <c r="U50" s="23">
        <f t="shared" si="2"/>
        <v>0</v>
      </c>
      <c r="V50" s="32" t="s">
        <v>292</v>
      </c>
      <c r="W50" s="24">
        <v>0.3</v>
      </c>
      <c r="X50" s="23">
        <f>Q50*W50</f>
        <v>0</v>
      </c>
    </row>
    <row r="51" customFormat="1" ht="47" customHeight="1" spans="1:24">
      <c r="A51" s="15">
        <v>48</v>
      </c>
      <c r="B51" s="16" t="s">
        <v>181</v>
      </c>
      <c r="C51" s="16" t="s">
        <v>74</v>
      </c>
      <c r="D51" s="16" t="s">
        <v>207</v>
      </c>
      <c r="E51" s="16" t="s">
        <v>208</v>
      </c>
      <c r="F51" s="17" t="s">
        <v>334</v>
      </c>
      <c r="G51" s="18" t="s">
        <v>335</v>
      </c>
      <c r="H51" s="19">
        <v>19700000</v>
      </c>
      <c r="I51" s="20">
        <v>44041</v>
      </c>
      <c r="J51" s="18" t="s">
        <v>336</v>
      </c>
      <c r="K51" s="19">
        <v>0</v>
      </c>
      <c r="L51" s="19"/>
      <c r="M51" s="19">
        <f t="shared" si="0"/>
        <v>0</v>
      </c>
      <c r="N51" s="19">
        <v>0</v>
      </c>
      <c r="O51" s="46" t="s">
        <v>172</v>
      </c>
      <c r="P51" s="22">
        <v>1</v>
      </c>
      <c r="Q51" s="96">
        <f t="shared" si="1"/>
        <v>0</v>
      </c>
      <c r="R51" s="28" t="s">
        <v>64</v>
      </c>
      <c r="S51" s="28" t="s">
        <v>38</v>
      </c>
      <c r="T51" s="24">
        <v>1</v>
      </c>
      <c r="U51" s="23">
        <f t="shared" si="2"/>
        <v>0</v>
      </c>
      <c r="V51" s="32"/>
      <c r="W51" s="24"/>
      <c r="X51" s="23"/>
    </row>
    <row r="52" customFormat="1" ht="47" customHeight="1" spans="1:24">
      <c r="A52" s="15">
        <v>49</v>
      </c>
      <c r="B52" s="16" t="s">
        <v>181</v>
      </c>
      <c r="C52" s="16" t="s">
        <v>60</v>
      </c>
      <c r="D52" s="16" t="s">
        <v>337</v>
      </c>
      <c r="E52" s="16" t="s">
        <v>338</v>
      </c>
      <c r="F52" s="17" t="s">
        <v>339</v>
      </c>
      <c r="G52" s="18" t="s">
        <v>340</v>
      </c>
      <c r="H52" s="19">
        <v>1400000</v>
      </c>
      <c r="I52" s="20">
        <v>44049</v>
      </c>
      <c r="J52" s="18" t="s">
        <v>341</v>
      </c>
      <c r="K52" s="19">
        <v>0</v>
      </c>
      <c r="L52" s="19"/>
      <c r="M52" s="19">
        <f t="shared" si="0"/>
        <v>0</v>
      </c>
      <c r="N52" s="19">
        <v>0</v>
      </c>
      <c r="O52" s="46" t="s">
        <v>178</v>
      </c>
      <c r="P52" s="22">
        <v>0.7</v>
      </c>
      <c r="Q52" s="96">
        <f t="shared" si="1"/>
        <v>0</v>
      </c>
      <c r="R52" s="28" t="s">
        <v>83</v>
      </c>
      <c r="S52" s="28" t="s">
        <v>157</v>
      </c>
      <c r="T52" s="24">
        <v>1</v>
      </c>
      <c r="U52" s="23">
        <f t="shared" si="2"/>
        <v>0</v>
      </c>
      <c r="V52" s="32"/>
      <c r="W52" s="24"/>
      <c r="X52" s="23"/>
    </row>
    <row r="53" customFormat="1" ht="47" customHeight="1" spans="1:24">
      <c r="A53" s="15">
        <v>50</v>
      </c>
      <c r="B53" s="16" t="s">
        <v>181</v>
      </c>
      <c r="C53" s="16" t="s">
        <v>60</v>
      </c>
      <c r="D53" s="16" t="s">
        <v>106</v>
      </c>
      <c r="E53" s="16" t="s">
        <v>183</v>
      </c>
      <c r="F53" s="17"/>
      <c r="G53" s="18" t="s">
        <v>342</v>
      </c>
      <c r="H53" s="19">
        <v>4980000</v>
      </c>
      <c r="I53" s="20">
        <v>43768</v>
      </c>
      <c r="J53" s="18" t="s">
        <v>343</v>
      </c>
      <c r="K53" s="19">
        <v>0</v>
      </c>
      <c r="L53" s="19"/>
      <c r="M53" s="19">
        <f t="shared" si="0"/>
        <v>0</v>
      </c>
      <c r="N53" s="19">
        <v>0</v>
      </c>
      <c r="O53" s="46" t="s">
        <v>172</v>
      </c>
      <c r="P53" s="22">
        <v>0.7</v>
      </c>
      <c r="Q53" s="96">
        <f t="shared" si="1"/>
        <v>0</v>
      </c>
      <c r="R53" s="28" t="s">
        <v>83</v>
      </c>
      <c r="S53" s="28" t="s">
        <v>157</v>
      </c>
      <c r="T53" s="24">
        <v>1</v>
      </c>
      <c r="U53" s="23">
        <f t="shared" si="2"/>
        <v>0</v>
      </c>
      <c r="V53" s="32"/>
      <c r="W53" s="24"/>
      <c r="X53" s="23"/>
    </row>
    <row r="54" customFormat="1" ht="47" customHeight="1" spans="1:24">
      <c r="A54" s="15">
        <v>51</v>
      </c>
      <c r="B54" s="16" t="s">
        <v>181</v>
      </c>
      <c r="C54" s="16" t="s">
        <v>74</v>
      </c>
      <c r="D54" s="16" t="s">
        <v>296</v>
      </c>
      <c r="E54" s="16" t="s">
        <v>297</v>
      </c>
      <c r="F54" s="17" t="s">
        <v>344</v>
      </c>
      <c r="G54" s="18" t="s">
        <v>345</v>
      </c>
      <c r="H54" s="19">
        <v>3716000</v>
      </c>
      <c r="I54" s="20">
        <v>44099</v>
      </c>
      <c r="J54" s="18" t="s">
        <v>346</v>
      </c>
      <c r="K54" s="19">
        <v>0</v>
      </c>
      <c r="L54" s="19"/>
      <c r="M54" s="19">
        <f t="shared" si="0"/>
        <v>0</v>
      </c>
      <c r="N54" s="19">
        <v>0</v>
      </c>
      <c r="O54" s="46" t="s">
        <v>172</v>
      </c>
      <c r="P54" s="22">
        <v>1</v>
      </c>
      <c r="Q54" s="96">
        <f t="shared" si="1"/>
        <v>0</v>
      </c>
      <c r="R54" s="28" t="s">
        <v>64</v>
      </c>
      <c r="S54" s="28" t="s">
        <v>38</v>
      </c>
      <c r="T54" s="24">
        <v>0.7</v>
      </c>
      <c r="U54" s="23">
        <f t="shared" si="2"/>
        <v>0</v>
      </c>
      <c r="V54" s="32" t="s">
        <v>292</v>
      </c>
      <c r="W54" s="24">
        <v>0.3</v>
      </c>
      <c r="X54" s="23">
        <f>Q54*W54</f>
        <v>0</v>
      </c>
    </row>
    <row r="55" customFormat="1" ht="47" customHeight="1" spans="1:24">
      <c r="A55" s="15">
        <v>52</v>
      </c>
      <c r="B55" s="16" t="s">
        <v>181</v>
      </c>
      <c r="C55" s="16" t="s">
        <v>74</v>
      </c>
      <c r="D55" s="16" t="s">
        <v>100</v>
      </c>
      <c r="E55" s="16" t="s">
        <v>199</v>
      </c>
      <c r="F55" s="17" t="s">
        <v>347</v>
      </c>
      <c r="G55" s="18" t="s">
        <v>348</v>
      </c>
      <c r="H55" s="19">
        <v>4020000</v>
      </c>
      <c r="I55" s="20">
        <v>44116</v>
      </c>
      <c r="J55" s="18" t="s">
        <v>349</v>
      </c>
      <c r="K55" s="19">
        <v>0</v>
      </c>
      <c r="L55" s="19"/>
      <c r="M55" s="19">
        <f t="shared" si="0"/>
        <v>0</v>
      </c>
      <c r="N55" s="19">
        <v>0</v>
      </c>
      <c r="O55" s="46" t="s">
        <v>172</v>
      </c>
      <c r="P55" s="22">
        <v>1</v>
      </c>
      <c r="Q55" s="96">
        <f t="shared" si="1"/>
        <v>0</v>
      </c>
      <c r="R55" s="28" t="s">
        <v>194</v>
      </c>
      <c r="S55" s="28" t="s">
        <v>35</v>
      </c>
      <c r="T55" s="24">
        <v>1</v>
      </c>
      <c r="U55" s="23">
        <f t="shared" si="2"/>
        <v>0</v>
      </c>
      <c r="V55" s="32"/>
      <c r="W55" s="24"/>
      <c r="X55" s="23"/>
    </row>
    <row r="56" customFormat="1" ht="47" hidden="1" customHeight="1" spans="1:24">
      <c r="A56" s="15">
        <v>53</v>
      </c>
      <c r="B56" s="16" t="s">
        <v>181</v>
      </c>
      <c r="C56" s="16" t="s">
        <v>74</v>
      </c>
      <c r="D56" s="16" t="s">
        <v>256</v>
      </c>
      <c r="E56" s="16" t="s">
        <v>257</v>
      </c>
      <c r="F56" s="17" t="s">
        <v>350</v>
      </c>
      <c r="G56" s="18" t="s">
        <v>351</v>
      </c>
      <c r="H56" s="19">
        <v>2010000</v>
      </c>
      <c r="I56" s="20">
        <v>44127</v>
      </c>
      <c r="J56" s="18" t="s">
        <v>352</v>
      </c>
      <c r="K56" s="19">
        <v>9000</v>
      </c>
      <c r="L56" s="19"/>
      <c r="M56" s="19">
        <f t="shared" si="0"/>
        <v>9000</v>
      </c>
      <c r="N56" s="19">
        <v>0</v>
      </c>
      <c r="O56" s="46" t="s">
        <v>156</v>
      </c>
      <c r="P56" s="22">
        <v>0.6</v>
      </c>
      <c r="Q56" s="96">
        <f t="shared" si="1"/>
        <v>0</v>
      </c>
      <c r="R56" s="28" t="s">
        <v>64</v>
      </c>
      <c r="S56" s="28" t="s">
        <v>38</v>
      </c>
      <c r="T56" s="24">
        <v>1</v>
      </c>
      <c r="U56" s="23">
        <f t="shared" si="2"/>
        <v>0</v>
      </c>
      <c r="V56" s="32"/>
      <c r="W56" s="24"/>
      <c r="X56" s="23"/>
    </row>
    <row r="57" customFormat="1" ht="47" customHeight="1" spans="1:24">
      <c r="A57" s="15">
        <v>54</v>
      </c>
      <c r="B57" s="16" t="s">
        <v>181</v>
      </c>
      <c r="C57" s="16" t="s">
        <v>74</v>
      </c>
      <c r="D57" s="16" t="s">
        <v>353</v>
      </c>
      <c r="E57" s="16" t="s">
        <v>297</v>
      </c>
      <c r="F57" s="17" t="s">
        <v>354</v>
      </c>
      <c r="G57" s="18" t="s">
        <v>355</v>
      </c>
      <c r="H57" s="19">
        <v>1260000</v>
      </c>
      <c r="I57" s="20">
        <v>44102</v>
      </c>
      <c r="J57" s="18" t="s">
        <v>356</v>
      </c>
      <c r="K57" s="19">
        <v>0</v>
      </c>
      <c r="L57" s="19"/>
      <c r="M57" s="19">
        <f t="shared" si="0"/>
        <v>0</v>
      </c>
      <c r="N57" s="19">
        <v>0</v>
      </c>
      <c r="O57" s="46" t="s">
        <v>172</v>
      </c>
      <c r="P57" s="22">
        <v>1</v>
      </c>
      <c r="Q57" s="96">
        <f t="shared" si="1"/>
        <v>0</v>
      </c>
      <c r="R57" s="28" t="s">
        <v>64</v>
      </c>
      <c r="S57" s="28" t="s">
        <v>38</v>
      </c>
      <c r="T57" s="24">
        <v>1</v>
      </c>
      <c r="U57" s="23">
        <f t="shared" si="2"/>
        <v>0</v>
      </c>
      <c r="V57" s="32"/>
      <c r="W57" s="24"/>
      <c r="X57" s="23"/>
    </row>
    <row r="58" customFormat="1" ht="47" hidden="1" customHeight="1" spans="1:24">
      <c r="A58" s="15">
        <v>55</v>
      </c>
      <c r="B58" s="16" t="s">
        <v>181</v>
      </c>
      <c r="C58" s="16" t="s">
        <v>74</v>
      </c>
      <c r="D58" s="16" t="s">
        <v>357</v>
      </c>
      <c r="E58" s="16" t="s">
        <v>326</v>
      </c>
      <c r="F58" s="17" t="s">
        <v>358</v>
      </c>
      <c r="G58" s="18" t="s">
        <v>359</v>
      </c>
      <c r="H58" s="19">
        <v>3720000</v>
      </c>
      <c r="I58" s="20">
        <v>43990</v>
      </c>
      <c r="J58" s="18" t="s">
        <v>360</v>
      </c>
      <c r="K58" s="19">
        <v>348000</v>
      </c>
      <c r="L58" s="19"/>
      <c r="M58" s="19">
        <f t="shared" si="0"/>
        <v>0</v>
      </c>
      <c r="N58" s="19">
        <v>348000</v>
      </c>
      <c r="O58" s="46" t="s">
        <v>172</v>
      </c>
      <c r="P58" s="22">
        <v>1</v>
      </c>
      <c r="Q58" s="96">
        <f t="shared" si="1"/>
        <v>348000</v>
      </c>
      <c r="R58" s="28" t="s">
        <v>194</v>
      </c>
      <c r="S58" s="28" t="s">
        <v>35</v>
      </c>
      <c r="T58" s="24">
        <v>1</v>
      </c>
      <c r="U58" s="23">
        <f t="shared" si="2"/>
        <v>348000</v>
      </c>
      <c r="V58" s="32"/>
      <c r="W58" s="24"/>
      <c r="X58" s="23"/>
    </row>
    <row r="59" customFormat="1" ht="47" hidden="1" customHeight="1" spans="1:24">
      <c r="A59" s="15">
        <v>56</v>
      </c>
      <c r="B59" s="16" t="s">
        <v>181</v>
      </c>
      <c r="C59" s="16" t="s">
        <v>74</v>
      </c>
      <c r="D59" s="16" t="s">
        <v>195</v>
      </c>
      <c r="E59" s="16" t="s">
        <v>189</v>
      </c>
      <c r="F59" s="17" t="s">
        <v>190</v>
      </c>
      <c r="G59" s="18" t="s">
        <v>361</v>
      </c>
      <c r="H59" s="19">
        <v>1590000</v>
      </c>
      <c r="I59" s="20">
        <v>42011</v>
      </c>
      <c r="J59" s="18" t="s">
        <v>362</v>
      </c>
      <c r="K59" s="19">
        <v>290000</v>
      </c>
      <c r="L59" s="19"/>
      <c r="M59" s="19">
        <f t="shared" si="0"/>
        <v>0</v>
      </c>
      <c r="N59" s="19">
        <v>290000</v>
      </c>
      <c r="O59" s="46" t="s">
        <v>198</v>
      </c>
      <c r="P59" s="22">
        <v>1</v>
      </c>
      <c r="Q59" s="96">
        <f t="shared" si="1"/>
        <v>290000</v>
      </c>
      <c r="R59" s="28" t="s">
        <v>194</v>
      </c>
      <c r="S59" s="28" t="s">
        <v>35</v>
      </c>
      <c r="T59" s="24">
        <v>1</v>
      </c>
      <c r="U59" s="23">
        <f t="shared" si="2"/>
        <v>290000</v>
      </c>
      <c r="V59" s="32"/>
      <c r="W59" s="24"/>
      <c r="X59" s="23"/>
    </row>
    <row r="60" customFormat="1" ht="47" customHeight="1" spans="1:24">
      <c r="A60" s="15">
        <v>57</v>
      </c>
      <c r="B60" s="16" t="s">
        <v>181</v>
      </c>
      <c r="C60" s="16" t="s">
        <v>60</v>
      </c>
      <c r="D60" s="16" t="s">
        <v>68</v>
      </c>
      <c r="E60" s="16" t="s">
        <v>363</v>
      </c>
      <c r="F60" s="17" t="s">
        <v>364</v>
      </c>
      <c r="G60" s="18" t="s">
        <v>365</v>
      </c>
      <c r="H60" s="19">
        <v>22864000</v>
      </c>
      <c r="I60" s="20">
        <v>43062</v>
      </c>
      <c r="J60" s="18" t="s">
        <v>366</v>
      </c>
      <c r="K60" s="19">
        <v>0</v>
      </c>
      <c r="L60" s="19"/>
      <c r="M60" s="19">
        <f t="shared" si="0"/>
        <v>0</v>
      </c>
      <c r="N60" s="19">
        <v>0</v>
      </c>
      <c r="O60" s="46" t="s">
        <v>193</v>
      </c>
      <c r="P60" s="22">
        <v>1</v>
      </c>
      <c r="Q60" s="96">
        <f t="shared" si="1"/>
        <v>0</v>
      </c>
      <c r="R60" s="28" t="s">
        <v>83</v>
      </c>
      <c r="S60" s="28" t="s">
        <v>30</v>
      </c>
      <c r="T60" s="24">
        <v>0.7</v>
      </c>
      <c r="U60" s="23">
        <f t="shared" si="2"/>
        <v>0</v>
      </c>
      <c r="V60" s="32" t="s">
        <v>36</v>
      </c>
      <c r="W60" s="24">
        <v>0.3</v>
      </c>
      <c r="X60" s="23">
        <f t="shared" ref="X60:X67" si="5">Q60*W60</f>
        <v>0</v>
      </c>
    </row>
    <row r="61" customFormat="1" ht="47" customHeight="1" spans="1:24">
      <c r="A61" s="15">
        <v>58</v>
      </c>
      <c r="B61" s="16" t="s">
        <v>181</v>
      </c>
      <c r="C61" s="16" t="s">
        <v>60</v>
      </c>
      <c r="D61" s="16" t="s">
        <v>68</v>
      </c>
      <c r="E61" s="16" t="s">
        <v>363</v>
      </c>
      <c r="F61" s="17" t="s">
        <v>364</v>
      </c>
      <c r="G61" s="18" t="s">
        <v>365</v>
      </c>
      <c r="H61" s="19">
        <v>22864000</v>
      </c>
      <c r="I61" s="20">
        <v>42300</v>
      </c>
      <c r="J61" s="18" t="s">
        <v>367</v>
      </c>
      <c r="K61" s="19">
        <v>0</v>
      </c>
      <c r="L61" s="19"/>
      <c r="M61" s="19">
        <f t="shared" si="0"/>
        <v>0</v>
      </c>
      <c r="N61" s="19">
        <v>0</v>
      </c>
      <c r="O61" s="46" t="s">
        <v>193</v>
      </c>
      <c r="P61" s="22">
        <v>1</v>
      </c>
      <c r="Q61" s="96">
        <f t="shared" si="1"/>
        <v>0</v>
      </c>
      <c r="R61" s="28" t="s">
        <v>83</v>
      </c>
      <c r="S61" s="28" t="s">
        <v>30</v>
      </c>
      <c r="T61" s="24">
        <v>0.7</v>
      </c>
      <c r="U61" s="23">
        <f t="shared" si="2"/>
        <v>0</v>
      </c>
      <c r="V61" s="32" t="s">
        <v>36</v>
      </c>
      <c r="W61" s="24">
        <v>0.3</v>
      </c>
      <c r="X61" s="23">
        <f t="shared" si="5"/>
        <v>0</v>
      </c>
    </row>
    <row r="62" customFormat="1" ht="47" customHeight="1" spans="1:24">
      <c r="A62" s="15">
        <v>59</v>
      </c>
      <c r="B62" s="16" t="s">
        <v>181</v>
      </c>
      <c r="C62" s="16" t="s">
        <v>60</v>
      </c>
      <c r="D62" s="16" t="s">
        <v>68</v>
      </c>
      <c r="E62" s="16" t="s">
        <v>363</v>
      </c>
      <c r="F62" s="17" t="s">
        <v>364</v>
      </c>
      <c r="G62" s="18" t="s">
        <v>368</v>
      </c>
      <c r="H62" s="19">
        <v>2897090.91</v>
      </c>
      <c r="I62" s="20"/>
      <c r="J62" s="18" t="s">
        <v>369</v>
      </c>
      <c r="K62" s="19">
        <v>0</v>
      </c>
      <c r="L62" s="19"/>
      <c r="M62" s="19">
        <f t="shared" si="0"/>
        <v>0</v>
      </c>
      <c r="N62" s="19">
        <v>0</v>
      </c>
      <c r="O62" s="46" t="s">
        <v>156</v>
      </c>
      <c r="P62" s="22">
        <v>1</v>
      </c>
      <c r="Q62" s="96">
        <f t="shared" si="1"/>
        <v>0</v>
      </c>
      <c r="R62" s="28" t="s">
        <v>83</v>
      </c>
      <c r="S62" s="28" t="s">
        <v>30</v>
      </c>
      <c r="T62" s="24">
        <v>0.7</v>
      </c>
      <c r="U62" s="23">
        <f t="shared" si="2"/>
        <v>0</v>
      </c>
      <c r="V62" s="32" t="s">
        <v>36</v>
      </c>
      <c r="W62" s="24">
        <v>0.3</v>
      </c>
      <c r="X62" s="23">
        <f t="shared" si="5"/>
        <v>0</v>
      </c>
    </row>
    <row r="63" customFormat="1" ht="47" customHeight="1" spans="1:24">
      <c r="A63" s="15">
        <v>60</v>
      </c>
      <c r="B63" s="16" t="s">
        <v>181</v>
      </c>
      <c r="C63" s="16" t="s">
        <v>60</v>
      </c>
      <c r="D63" s="16" t="s">
        <v>174</v>
      </c>
      <c r="E63" s="16" t="s">
        <v>175</v>
      </c>
      <c r="F63" s="17" t="s">
        <v>370</v>
      </c>
      <c r="G63" s="18" t="s">
        <v>371</v>
      </c>
      <c r="H63" s="19">
        <v>28752136.75</v>
      </c>
      <c r="I63" s="20">
        <v>42964</v>
      </c>
      <c r="J63" s="18" t="s">
        <v>372</v>
      </c>
      <c r="K63" s="19">
        <v>0</v>
      </c>
      <c r="L63" s="19"/>
      <c r="M63" s="19">
        <f t="shared" si="0"/>
        <v>0</v>
      </c>
      <c r="N63" s="19">
        <v>0</v>
      </c>
      <c r="O63" s="46" t="s">
        <v>193</v>
      </c>
      <c r="P63" s="22">
        <v>1</v>
      </c>
      <c r="Q63" s="96">
        <f t="shared" si="1"/>
        <v>0</v>
      </c>
      <c r="R63" s="28" t="s">
        <v>83</v>
      </c>
      <c r="S63" s="28" t="s">
        <v>157</v>
      </c>
      <c r="T63" s="24">
        <v>0.7</v>
      </c>
      <c r="U63" s="23">
        <f t="shared" si="2"/>
        <v>0</v>
      </c>
      <c r="V63" s="32" t="s">
        <v>23</v>
      </c>
      <c r="W63" s="24">
        <v>0.3</v>
      </c>
      <c r="X63" s="23">
        <f t="shared" si="5"/>
        <v>0</v>
      </c>
    </row>
    <row r="64" customFormat="1" ht="47" customHeight="1" spans="1:24">
      <c r="A64" s="15">
        <v>61</v>
      </c>
      <c r="B64" s="16" t="s">
        <v>181</v>
      </c>
      <c r="C64" s="16" t="s">
        <v>60</v>
      </c>
      <c r="D64" s="16" t="s">
        <v>174</v>
      </c>
      <c r="E64" s="16" t="s">
        <v>175</v>
      </c>
      <c r="F64" s="17" t="s">
        <v>370</v>
      </c>
      <c r="G64" s="18" t="s">
        <v>371</v>
      </c>
      <c r="H64" s="19">
        <v>28752136.75</v>
      </c>
      <c r="I64" s="20">
        <v>42964</v>
      </c>
      <c r="J64" s="18" t="s">
        <v>373</v>
      </c>
      <c r="K64" s="19">
        <v>0</v>
      </c>
      <c r="L64" s="19"/>
      <c r="M64" s="19">
        <f t="shared" si="0"/>
        <v>0</v>
      </c>
      <c r="N64" s="19">
        <v>0</v>
      </c>
      <c r="O64" s="46" t="s">
        <v>221</v>
      </c>
      <c r="P64" s="22">
        <v>1</v>
      </c>
      <c r="Q64" s="96">
        <f t="shared" si="1"/>
        <v>0</v>
      </c>
      <c r="R64" s="28" t="s">
        <v>83</v>
      </c>
      <c r="S64" s="28" t="s">
        <v>157</v>
      </c>
      <c r="T64" s="24">
        <v>0.7</v>
      </c>
      <c r="U64" s="23">
        <f t="shared" si="2"/>
        <v>0</v>
      </c>
      <c r="V64" s="32" t="s">
        <v>23</v>
      </c>
      <c r="W64" s="24">
        <v>0.3</v>
      </c>
      <c r="X64" s="23">
        <f t="shared" si="5"/>
        <v>0</v>
      </c>
    </row>
    <row r="65" customFormat="1" ht="47" hidden="1" customHeight="1" spans="1:24">
      <c r="A65" s="15">
        <v>62</v>
      </c>
      <c r="B65" s="16" t="s">
        <v>181</v>
      </c>
      <c r="C65" s="16" t="s">
        <v>60</v>
      </c>
      <c r="D65" s="16" t="s">
        <v>174</v>
      </c>
      <c r="E65" s="16" t="s">
        <v>175</v>
      </c>
      <c r="F65" s="17" t="s">
        <v>374</v>
      </c>
      <c r="G65" s="18" t="s">
        <v>375</v>
      </c>
      <c r="H65" s="19">
        <v>36683760.68</v>
      </c>
      <c r="I65" s="20">
        <v>43020</v>
      </c>
      <c r="J65" s="18" t="s">
        <v>376</v>
      </c>
      <c r="K65" s="19">
        <v>1320874</v>
      </c>
      <c r="L65" s="19"/>
      <c r="M65" s="19">
        <f t="shared" si="0"/>
        <v>0</v>
      </c>
      <c r="N65" s="19">
        <v>1320874</v>
      </c>
      <c r="O65" s="46" t="s">
        <v>221</v>
      </c>
      <c r="P65" s="22">
        <v>1</v>
      </c>
      <c r="Q65" s="96">
        <f t="shared" si="1"/>
        <v>1320874</v>
      </c>
      <c r="R65" s="28" t="s">
        <v>83</v>
      </c>
      <c r="S65" s="28" t="s">
        <v>157</v>
      </c>
      <c r="T65" s="24">
        <v>0.7</v>
      </c>
      <c r="U65" s="23">
        <f t="shared" si="2"/>
        <v>924611.8</v>
      </c>
      <c r="V65" s="32" t="s">
        <v>23</v>
      </c>
      <c r="W65" s="24">
        <v>0.3</v>
      </c>
      <c r="X65" s="23">
        <f t="shared" si="5"/>
        <v>396262.2</v>
      </c>
    </row>
    <row r="66" customFormat="1" ht="47" customHeight="1" spans="1:24">
      <c r="A66" s="15">
        <v>63</v>
      </c>
      <c r="B66" s="16" t="s">
        <v>181</v>
      </c>
      <c r="C66" s="16" t="s">
        <v>60</v>
      </c>
      <c r="D66" s="16" t="s">
        <v>174</v>
      </c>
      <c r="E66" s="16" t="s">
        <v>175</v>
      </c>
      <c r="F66" s="17" t="s">
        <v>377</v>
      </c>
      <c r="G66" s="18" t="s">
        <v>378</v>
      </c>
      <c r="H66" s="19">
        <v>36296000</v>
      </c>
      <c r="I66" s="20">
        <v>43336</v>
      </c>
      <c r="J66" s="18" t="s">
        <v>379</v>
      </c>
      <c r="K66" s="19">
        <v>0</v>
      </c>
      <c r="L66" s="19"/>
      <c r="M66" s="19">
        <f t="shared" si="0"/>
        <v>0</v>
      </c>
      <c r="N66" s="19">
        <v>0</v>
      </c>
      <c r="O66" s="46" t="s">
        <v>187</v>
      </c>
      <c r="P66" s="22">
        <v>1</v>
      </c>
      <c r="Q66" s="96">
        <f t="shared" si="1"/>
        <v>0</v>
      </c>
      <c r="R66" s="28" t="s">
        <v>83</v>
      </c>
      <c r="S66" s="28" t="s">
        <v>157</v>
      </c>
      <c r="T66" s="24">
        <v>0.7</v>
      </c>
      <c r="U66" s="23">
        <f t="shared" si="2"/>
        <v>0</v>
      </c>
      <c r="V66" s="32" t="s">
        <v>23</v>
      </c>
      <c r="W66" s="24">
        <v>0.3</v>
      </c>
      <c r="X66" s="23">
        <f t="shared" si="5"/>
        <v>0</v>
      </c>
    </row>
    <row r="67" customFormat="1" ht="47" customHeight="1" spans="1:24">
      <c r="A67" s="15">
        <v>64</v>
      </c>
      <c r="B67" s="16" t="s">
        <v>181</v>
      </c>
      <c r="C67" s="16" t="s">
        <v>60</v>
      </c>
      <c r="D67" s="16" t="s">
        <v>174</v>
      </c>
      <c r="E67" s="16" t="s">
        <v>175</v>
      </c>
      <c r="F67" s="17" t="s">
        <v>377</v>
      </c>
      <c r="G67" s="18" t="s">
        <v>378</v>
      </c>
      <c r="H67" s="19">
        <v>36296000</v>
      </c>
      <c r="I67" s="20">
        <v>43336</v>
      </c>
      <c r="J67" s="18" t="s">
        <v>380</v>
      </c>
      <c r="K67" s="19">
        <v>0</v>
      </c>
      <c r="L67" s="19"/>
      <c r="M67" s="19">
        <f t="shared" si="0"/>
        <v>0</v>
      </c>
      <c r="N67" s="19">
        <v>0</v>
      </c>
      <c r="O67" s="46" t="s">
        <v>221</v>
      </c>
      <c r="P67" s="22">
        <v>1</v>
      </c>
      <c r="Q67" s="96">
        <f t="shared" si="1"/>
        <v>0</v>
      </c>
      <c r="R67" s="28" t="s">
        <v>83</v>
      </c>
      <c r="S67" s="28" t="s">
        <v>157</v>
      </c>
      <c r="T67" s="24">
        <v>0.7</v>
      </c>
      <c r="U67" s="23">
        <f t="shared" si="2"/>
        <v>0</v>
      </c>
      <c r="V67" s="32" t="s">
        <v>23</v>
      </c>
      <c r="W67" s="24">
        <v>0.3</v>
      </c>
      <c r="X67" s="23">
        <f t="shared" si="5"/>
        <v>0</v>
      </c>
    </row>
    <row r="68" customFormat="1" ht="47" customHeight="1" spans="1:24">
      <c r="A68" s="15">
        <v>65</v>
      </c>
      <c r="B68" s="16" t="s">
        <v>181</v>
      </c>
      <c r="C68" s="16" t="s">
        <v>60</v>
      </c>
      <c r="D68" s="16" t="s">
        <v>381</v>
      </c>
      <c r="E68" s="16" t="s">
        <v>382</v>
      </c>
      <c r="F68" s="17" t="s">
        <v>383</v>
      </c>
      <c r="G68" s="18" t="s">
        <v>384</v>
      </c>
      <c r="H68" s="19">
        <v>33100000</v>
      </c>
      <c r="I68" s="20">
        <v>43369</v>
      </c>
      <c r="J68" s="18" t="s">
        <v>385</v>
      </c>
      <c r="K68" s="19">
        <v>0</v>
      </c>
      <c r="L68" s="19"/>
      <c r="M68" s="19">
        <f t="shared" ref="M68:M75" si="6">K68-N68</f>
        <v>0</v>
      </c>
      <c r="N68" s="19">
        <v>0</v>
      </c>
      <c r="O68" s="46" t="s">
        <v>156</v>
      </c>
      <c r="P68" s="22">
        <v>0.7</v>
      </c>
      <c r="Q68" s="96">
        <f t="shared" ref="Q68:Q120" si="7">N68*P68</f>
        <v>0</v>
      </c>
      <c r="R68" s="28" t="s">
        <v>83</v>
      </c>
      <c r="S68" s="28" t="s">
        <v>157</v>
      </c>
      <c r="T68" s="24">
        <v>1</v>
      </c>
      <c r="U68" s="23">
        <f t="shared" ref="U68:U120" si="8">Q68*T68</f>
        <v>0</v>
      </c>
      <c r="V68" s="32"/>
      <c r="W68" s="24"/>
      <c r="X68" s="23"/>
    </row>
    <row r="69" customFormat="1" ht="47" customHeight="1" spans="1:24">
      <c r="A69" s="15">
        <v>66</v>
      </c>
      <c r="B69" s="16" t="s">
        <v>181</v>
      </c>
      <c r="C69" s="16" t="s">
        <v>60</v>
      </c>
      <c r="D69" s="16" t="s">
        <v>106</v>
      </c>
      <c r="E69" s="16" t="s">
        <v>183</v>
      </c>
      <c r="F69" s="17" t="s">
        <v>383</v>
      </c>
      <c r="G69" s="18" t="s">
        <v>386</v>
      </c>
      <c r="H69" s="19">
        <v>34000000</v>
      </c>
      <c r="I69" s="20">
        <v>43780</v>
      </c>
      <c r="J69" s="18" t="s">
        <v>387</v>
      </c>
      <c r="K69" s="19">
        <v>0</v>
      </c>
      <c r="L69" s="19"/>
      <c r="M69" s="19">
        <f t="shared" si="6"/>
        <v>0</v>
      </c>
      <c r="N69" s="19">
        <v>0</v>
      </c>
      <c r="O69" s="46" t="s">
        <v>193</v>
      </c>
      <c r="P69" s="22">
        <v>0.7</v>
      </c>
      <c r="Q69" s="96">
        <f t="shared" si="7"/>
        <v>0</v>
      </c>
      <c r="R69" s="28" t="s">
        <v>83</v>
      </c>
      <c r="S69" s="28" t="s">
        <v>157</v>
      </c>
      <c r="T69" s="24">
        <v>0.7</v>
      </c>
      <c r="U69" s="23">
        <f t="shared" si="8"/>
        <v>0</v>
      </c>
      <c r="V69" s="32" t="s">
        <v>19</v>
      </c>
      <c r="W69" s="24">
        <v>0.3</v>
      </c>
      <c r="X69" s="23">
        <f>Q69*W69</f>
        <v>0</v>
      </c>
    </row>
    <row r="70" customFormat="1" ht="47" customHeight="1" spans="1:24">
      <c r="A70" s="15">
        <v>67</v>
      </c>
      <c r="B70" s="16" t="s">
        <v>388</v>
      </c>
      <c r="C70" s="16" t="s">
        <v>60</v>
      </c>
      <c r="D70" s="16" t="s">
        <v>389</v>
      </c>
      <c r="E70" s="16" t="s">
        <v>390</v>
      </c>
      <c r="F70" s="17" t="s">
        <v>391</v>
      </c>
      <c r="G70" s="18"/>
      <c r="H70" s="19"/>
      <c r="I70" s="20"/>
      <c r="J70" s="18"/>
      <c r="K70" s="19">
        <v>0</v>
      </c>
      <c r="L70" s="19"/>
      <c r="M70" s="19">
        <f t="shared" si="6"/>
        <v>0</v>
      </c>
      <c r="N70" s="19">
        <v>0</v>
      </c>
      <c r="O70" s="46" t="s">
        <v>193</v>
      </c>
      <c r="P70" s="22">
        <v>1</v>
      </c>
      <c r="Q70" s="96">
        <f t="shared" si="7"/>
        <v>0</v>
      </c>
      <c r="R70" s="28" t="s">
        <v>83</v>
      </c>
      <c r="S70" s="28" t="s">
        <v>157</v>
      </c>
      <c r="T70" s="24">
        <v>1</v>
      </c>
      <c r="U70" s="23">
        <f t="shared" si="8"/>
        <v>0</v>
      </c>
      <c r="V70" s="32"/>
      <c r="W70" s="24"/>
      <c r="X70" s="23"/>
    </row>
    <row r="71" customFormat="1" ht="47" customHeight="1" spans="1:24">
      <c r="A71" s="15">
        <v>68</v>
      </c>
      <c r="B71" s="16" t="s">
        <v>388</v>
      </c>
      <c r="C71" s="16" t="s">
        <v>60</v>
      </c>
      <c r="D71" s="16" t="s">
        <v>389</v>
      </c>
      <c r="E71" s="16" t="s">
        <v>390</v>
      </c>
      <c r="F71" s="17" t="s">
        <v>391</v>
      </c>
      <c r="G71" s="18"/>
      <c r="H71" s="19"/>
      <c r="I71" s="20"/>
      <c r="J71" s="18"/>
      <c r="K71" s="19">
        <v>0</v>
      </c>
      <c r="L71" s="19"/>
      <c r="M71" s="19">
        <f t="shared" si="6"/>
        <v>0</v>
      </c>
      <c r="N71" s="19">
        <v>0</v>
      </c>
      <c r="O71" s="46" t="s">
        <v>193</v>
      </c>
      <c r="P71" s="22">
        <v>1</v>
      </c>
      <c r="Q71" s="96">
        <f t="shared" si="7"/>
        <v>0</v>
      </c>
      <c r="R71" s="28" t="s">
        <v>83</v>
      </c>
      <c r="S71" s="28" t="s">
        <v>157</v>
      </c>
      <c r="T71" s="24">
        <v>1</v>
      </c>
      <c r="U71" s="23">
        <f t="shared" si="8"/>
        <v>0</v>
      </c>
      <c r="V71" s="32"/>
      <c r="W71" s="24"/>
      <c r="X71" s="23"/>
    </row>
    <row r="72" customFormat="1" ht="47" hidden="1" customHeight="1" spans="1:24">
      <c r="A72" s="15">
        <v>69</v>
      </c>
      <c r="B72" s="16" t="s">
        <v>181</v>
      </c>
      <c r="C72" s="16" t="s">
        <v>74</v>
      </c>
      <c r="D72" s="16" t="s">
        <v>130</v>
      </c>
      <c r="E72" s="16" t="s">
        <v>392</v>
      </c>
      <c r="F72" s="17" t="s">
        <v>393</v>
      </c>
      <c r="G72" s="18" t="s">
        <v>394</v>
      </c>
      <c r="H72" s="19">
        <v>4335200</v>
      </c>
      <c r="I72" s="20">
        <v>42978</v>
      </c>
      <c r="J72" s="18" t="s">
        <v>395</v>
      </c>
      <c r="K72" s="19">
        <v>1885200</v>
      </c>
      <c r="L72" s="19"/>
      <c r="M72" s="19">
        <f t="shared" si="6"/>
        <v>0</v>
      </c>
      <c r="N72" s="19">
        <v>1885200</v>
      </c>
      <c r="O72" s="46" t="s">
        <v>187</v>
      </c>
      <c r="P72" s="22">
        <v>0.7</v>
      </c>
      <c r="Q72" s="96">
        <f t="shared" si="7"/>
        <v>1319640</v>
      </c>
      <c r="R72" s="28" t="s">
        <v>194</v>
      </c>
      <c r="S72" s="28" t="s">
        <v>35</v>
      </c>
      <c r="T72" s="24">
        <v>1</v>
      </c>
      <c r="U72" s="23">
        <f t="shared" si="8"/>
        <v>1319640</v>
      </c>
      <c r="V72" s="32"/>
      <c r="W72" s="24"/>
      <c r="X72" s="23"/>
    </row>
    <row r="73" customFormat="1" ht="47" customHeight="1" spans="1:24">
      <c r="A73" s="15">
        <v>70</v>
      </c>
      <c r="B73" s="16" t="s">
        <v>181</v>
      </c>
      <c r="C73" s="16" t="s">
        <v>74</v>
      </c>
      <c r="D73" s="16" t="s">
        <v>396</v>
      </c>
      <c r="E73" s="16" t="s">
        <v>397</v>
      </c>
      <c r="F73" s="17" t="s">
        <v>398</v>
      </c>
      <c r="G73" s="18" t="s">
        <v>399</v>
      </c>
      <c r="H73" s="19">
        <v>2760000</v>
      </c>
      <c r="I73" s="20">
        <v>44059</v>
      </c>
      <c r="J73" s="18" t="s">
        <v>400</v>
      </c>
      <c r="K73" s="19">
        <v>0</v>
      </c>
      <c r="L73" s="19"/>
      <c r="M73" s="19">
        <f t="shared" si="6"/>
        <v>0</v>
      </c>
      <c r="N73" s="19">
        <v>0</v>
      </c>
      <c r="O73" s="46" t="s">
        <v>156</v>
      </c>
      <c r="P73" s="22">
        <v>0.7</v>
      </c>
      <c r="Q73" s="96">
        <f t="shared" si="7"/>
        <v>0</v>
      </c>
      <c r="R73" s="28" t="s">
        <v>194</v>
      </c>
      <c r="S73" s="28" t="s">
        <v>35</v>
      </c>
      <c r="T73" s="24">
        <v>1</v>
      </c>
      <c r="U73" s="23">
        <f t="shared" si="8"/>
        <v>0</v>
      </c>
      <c r="V73" s="32"/>
      <c r="W73" s="24"/>
      <c r="X73" s="23"/>
    </row>
    <row r="74" customFormat="1" ht="47" hidden="1" customHeight="1" spans="1:24">
      <c r="A74" s="15">
        <v>71</v>
      </c>
      <c r="B74" s="16" t="s">
        <v>181</v>
      </c>
      <c r="C74" s="16" t="s">
        <v>60</v>
      </c>
      <c r="D74" s="16" t="s">
        <v>401</v>
      </c>
      <c r="E74" s="16" t="s">
        <v>401</v>
      </c>
      <c r="F74" s="17" t="s">
        <v>402</v>
      </c>
      <c r="G74" s="18" t="s">
        <v>403</v>
      </c>
      <c r="H74" s="19">
        <v>10620000</v>
      </c>
      <c r="I74" s="20">
        <v>42905</v>
      </c>
      <c r="J74" s="18" t="s">
        <v>404</v>
      </c>
      <c r="K74" s="19">
        <v>320000</v>
      </c>
      <c r="L74" s="19"/>
      <c r="M74" s="19">
        <f t="shared" si="6"/>
        <v>0</v>
      </c>
      <c r="N74" s="19">
        <v>320000</v>
      </c>
      <c r="O74" s="46" t="s">
        <v>187</v>
      </c>
      <c r="P74" s="22">
        <v>0.8</v>
      </c>
      <c r="Q74" s="96">
        <f t="shared" si="7"/>
        <v>256000</v>
      </c>
      <c r="R74" s="28" t="s">
        <v>64</v>
      </c>
      <c r="S74" s="28" t="s">
        <v>38</v>
      </c>
      <c r="T74" s="24">
        <v>1</v>
      </c>
      <c r="U74" s="23">
        <f t="shared" si="8"/>
        <v>256000</v>
      </c>
      <c r="V74" s="32"/>
      <c r="W74" s="24"/>
      <c r="X74" s="23"/>
    </row>
    <row r="75" customFormat="1" ht="47" hidden="1" customHeight="1" spans="1:24">
      <c r="A75" s="15">
        <v>72</v>
      </c>
      <c r="B75" s="16" t="s">
        <v>151</v>
      </c>
      <c r="C75" s="16" t="s">
        <v>74</v>
      </c>
      <c r="D75" s="16" t="s">
        <v>152</v>
      </c>
      <c r="E75" s="16" t="s">
        <v>153</v>
      </c>
      <c r="F75" s="17"/>
      <c r="G75" s="18" t="s">
        <v>154</v>
      </c>
      <c r="H75" s="19">
        <v>25086005.8534</v>
      </c>
      <c r="I75" s="20">
        <v>43511</v>
      </c>
      <c r="J75" s="18" t="s">
        <v>155</v>
      </c>
      <c r="K75" s="19">
        <v>3521728.7</v>
      </c>
      <c r="L75" s="19"/>
      <c r="M75" s="19">
        <f t="shared" si="6"/>
        <v>0</v>
      </c>
      <c r="N75" s="19">
        <v>3521728.7</v>
      </c>
      <c r="O75" s="46" t="s">
        <v>156</v>
      </c>
      <c r="P75" s="22">
        <v>0.7</v>
      </c>
      <c r="Q75" s="96">
        <f t="shared" si="7"/>
        <v>2465210.09</v>
      </c>
      <c r="R75" s="28" t="s">
        <v>157</v>
      </c>
      <c r="S75" s="28" t="s">
        <v>23</v>
      </c>
      <c r="T75" s="24">
        <v>1</v>
      </c>
      <c r="U75" s="23">
        <f t="shared" si="8"/>
        <v>2465210.09</v>
      </c>
      <c r="V75" s="32"/>
      <c r="W75" s="24"/>
      <c r="X75" s="23"/>
    </row>
    <row r="76" customFormat="1" ht="47" hidden="1" customHeight="1" spans="1:24">
      <c r="A76" s="15">
        <v>73</v>
      </c>
      <c r="B76" s="16" t="s">
        <v>151</v>
      </c>
      <c r="C76" s="16" t="s">
        <v>74</v>
      </c>
      <c r="D76" s="16" t="s">
        <v>405</v>
      </c>
      <c r="E76" s="16" t="s">
        <v>159</v>
      </c>
      <c r="F76" s="17"/>
      <c r="G76" s="18" t="s">
        <v>170</v>
      </c>
      <c r="H76" s="19">
        <v>12768762</v>
      </c>
      <c r="I76" s="20">
        <v>43830</v>
      </c>
      <c r="J76" s="18" t="s">
        <v>171</v>
      </c>
      <c r="K76" s="19">
        <v>7194522.77</v>
      </c>
      <c r="L76" s="19"/>
      <c r="M76" s="19"/>
      <c r="N76" s="19">
        <v>7194522.77</v>
      </c>
      <c r="O76" s="46" t="s">
        <v>172</v>
      </c>
      <c r="P76" s="22">
        <v>0.7</v>
      </c>
      <c r="Q76" s="96">
        <f t="shared" si="7"/>
        <v>5036165.939</v>
      </c>
      <c r="R76" s="28" t="s">
        <v>157</v>
      </c>
      <c r="S76" s="28" t="s">
        <v>157</v>
      </c>
      <c r="T76" s="24">
        <v>0.7</v>
      </c>
      <c r="U76" s="23">
        <f t="shared" si="8"/>
        <v>3525316.1573</v>
      </c>
      <c r="V76" s="32" t="s">
        <v>19</v>
      </c>
      <c r="W76" s="24">
        <v>0.3</v>
      </c>
      <c r="X76" s="23">
        <f>Q76*W76</f>
        <v>1510849.7817</v>
      </c>
    </row>
    <row r="77" customFormat="1" ht="47" hidden="1" customHeight="1" spans="1:24">
      <c r="A77" s="15">
        <v>74</v>
      </c>
      <c r="B77" s="16" t="s">
        <v>151</v>
      </c>
      <c r="C77" s="16" t="s">
        <v>74</v>
      </c>
      <c r="D77" s="16" t="s">
        <v>405</v>
      </c>
      <c r="E77" s="16" t="s">
        <v>159</v>
      </c>
      <c r="F77" s="17"/>
      <c r="G77" s="18" t="s">
        <v>170</v>
      </c>
      <c r="H77" s="19">
        <v>13517100</v>
      </c>
      <c r="I77" s="20">
        <v>43830</v>
      </c>
      <c r="J77" s="18" t="s">
        <v>173</v>
      </c>
      <c r="K77" s="19">
        <v>7620484.2</v>
      </c>
      <c r="L77" s="19"/>
      <c r="M77" s="19"/>
      <c r="N77" s="19">
        <v>7620484.2</v>
      </c>
      <c r="O77" s="46" t="s">
        <v>156</v>
      </c>
      <c r="P77" s="22">
        <v>0.7</v>
      </c>
      <c r="Q77" s="96">
        <f t="shared" si="7"/>
        <v>5334338.94</v>
      </c>
      <c r="R77" s="28" t="s">
        <v>157</v>
      </c>
      <c r="S77" s="28" t="s">
        <v>157</v>
      </c>
      <c r="T77" s="24">
        <v>0.7</v>
      </c>
      <c r="U77" s="23">
        <f t="shared" si="8"/>
        <v>3734037.258</v>
      </c>
      <c r="V77" s="32" t="s">
        <v>19</v>
      </c>
      <c r="W77" s="24">
        <v>0.3</v>
      </c>
      <c r="X77" s="23">
        <f>Q77*W77</f>
        <v>1600301.682</v>
      </c>
    </row>
    <row r="78" customFormat="1" ht="47" customHeight="1" spans="1:24">
      <c r="A78" s="15">
        <v>75</v>
      </c>
      <c r="B78" s="16" t="s">
        <v>406</v>
      </c>
      <c r="C78" s="16" t="s">
        <v>74</v>
      </c>
      <c r="D78" s="16" t="s">
        <v>407</v>
      </c>
      <c r="E78" s="16" t="s">
        <v>408</v>
      </c>
      <c r="F78" s="17"/>
      <c r="G78" s="18" t="s">
        <v>409</v>
      </c>
      <c r="H78" s="19"/>
      <c r="I78" s="20"/>
      <c r="J78" s="18" t="s">
        <v>410</v>
      </c>
      <c r="K78" s="19">
        <v>0</v>
      </c>
      <c r="L78" s="19"/>
      <c r="M78" s="19">
        <v>1816182.75</v>
      </c>
      <c r="N78" s="19">
        <v>0</v>
      </c>
      <c r="O78" s="46" t="s">
        <v>411</v>
      </c>
      <c r="P78" s="22">
        <v>0.7</v>
      </c>
      <c r="Q78" s="96">
        <f t="shared" si="7"/>
        <v>0</v>
      </c>
      <c r="R78" s="28" t="s">
        <v>83</v>
      </c>
      <c r="S78" s="28" t="s">
        <v>30</v>
      </c>
      <c r="T78" s="24">
        <v>0.7</v>
      </c>
      <c r="U78" s="23">
        <f t="shared" si="8"/>
        <v>0</v>
      </c>
      <c r="V78" s="32" t="s">
        <v>31</v>
      </c>
      <c r="W78" s="24">
        <v>0.3</v>
      </c>
      <c r="X78" s="23">
        <f>Q78*W78</f>
        <v>0</v>
      </c>
    </row>
    <row r="79" customFormat="1" ht="47" customHeight="1" spans="1:24">
      <c r="A79" s="15">
        <v>76</v>
      </c>
      <c r="B79" s="16" t="s">
        <v>412</v>
      </c>
      <c r="C79" s="16" t="s">
        <v>60</v>
      </c>
      <c r="D79" s="16" t="s">
        <v>413</v>
      </c>
      <c r="E79" s="16" t="s">
        <v>414</v>
      </c>
      <c r="F79" s="17" t="s">
        <v>415</v>
      </c>
      <c r="G79" s="18" t="s">
        <v>416</v>
      </c>
      <c r="H79" s="19"/>
      <c r="I79" s="20"/>
      <c r="J79" s="18" t="s">
        <v>417</v>
      </c>
      <c r="K79" s="19">
        <v>0</v>
      </c>
      <c r="L79" s="19"/>
      <c r="M79" s="19">
        <v>8500000</v>
      </c>
      <c r="N79" s="19">
        <v>0</v>
      </c>
      <c r="O79" s="46" t="s">
        <v>187</v>
      </c>
      <c r="P79" s="22">
        <v>0.7</v>
      </c>
      <c r="Q79" s="96">
        <f t="shared" si="7"/>
        <v>0</v>
      </c>
      <c r="R79" s="28" t="s">
        <v>83</v>
      </c>
      <c r="S79" s="28" t="s">
        <v>30</v>
      </c>
      <c r="T79" s="24">
        <v>1</v>
      </c>
      <c r="U79" s="23">
        <f t="shared" si="8"/>
        <v>0</v>
      </c>
      <c r="V79" s="32"/>
      <c r="W79" s="24"/>
      <c r="X79" s="23"/>
    </row>
    <row r="80" customFormat="1" ht="47" hidden="1" customHeight="1" spans="1:24">
      <c r="A80" s="15">
        <v>77</v>
      </c>
      <c r="B80" s="16" t="s">
        <v>406</v>
      </c>
      <c r="C80" s="16" t="s">
        <v>74</v>
      </c>
      <c r="D80" s="16" t="s">
        <v>115</v>
      </c>
      <c r="E80" s="16" t="s">
        <v>418</v>
      </c>
      <c r="F80" s="17" t="s">
        <v>419</v>
      </c>
      <c r="G80" s="18" t="s">
        <v>420</v>
      </c>
      <c r="H80" s="19">
        <v>2520000</v>
      </c>
      <c r="I80" s="20">
        <v>44063</v>
      </c>
      <c r="J80" s="18" t="s">
        <v>421</v>
      </c>
      <c r="K80" s="19">
        <v>518000</v>
      </c>
      <c r="L80" s="19"/>
      <c r="M80" s="19">
        <v>1268000</v>
      </c>
      <c r="N80" s="19">
        <v>0</v>
      </c>
      <c r="O80" s="46" t="s">
        <v>411</v>
      </c>
      <c r="P80" s="22">
        <v>0.7</v>
      </c>
      <c r="Q80" s="96">
        <f t="shared" si="7"/>
        <v>0</v>
      </c>
      <c r="R80" s="28" t="s">
        <v>194</v>
      </c>
      <c r="S80" s="28" t="s">
        <v>35</v>
      </c>
      <c r="T80" s="24">
        <v>1</v>
      </c>
      <c r="U80" s="23">
        <f t="shared" si="8"/>
        <v>0</v>
      </c>
      <c r="V80" s="32"/>
      <c r="W80" s="24"/>
      <c r="X80" s="23"/>
    </row>
    <row r="81" customFormat="1" ht="47" customHeight="1" spans="1:24">
      <c r="A81" s="15">
        <v>78</v>
      </c>
      <c r="B81" s="16" t="s">
        <v>406</v>
      </c>
      <c r="C81" s="16" t="s">
        <v>74</v>
      </c>
      <c r="D81" s="16" t="s">
        <v>202</v>
      </c>
      <c r="E81" s="16" t="s">
        <v>203</v>
      </c>
      <c r="F81" s="17" t="s">
        <v>422</v>
      </c>
      <c r="G81" s="18" t="s">
        <v>423</v>
      </c>
      <c r="H81" s="19">
        <v>4222800</v>
      </c>
      <c r="I81" s="20">
        <v>43759</v>
      </c>
      <c r="J81" s="18" t="s">
        <v>424</v>
      </c>
      <c r="K81" s="19">
        <v>0</v>
      </c>
      <c r="L81" s="19"/>
      <c r="M81" s="19">
        <v>1511660</v>
      </c>
      <c r="N81" s="19">
        <v>0</v>
      </c>
      <c r="O81" s="46" t="s">
        <v>411</v>
      </c>
      <c r="P81" s="22">
        <v>1</v>
      </c>
      <c r="Q81" s="96">
        <f t="shared" si="7"/>
        <v>0</v>
      </c>
      <c r="R81" s="28" t="s">
        <v>64</v>
      </c>
      <c r="S81" s="28" t="s">
        <v>38</v>
      </c>
      <c r="T81" s="24">
        <v>1</v>
      </c>
      <c r="U81" s="23">
        <f t="shared" si="8"/>
        <v>0</v>
      </c>
      <c r="V81" s="32"/>
      <c r="W81" s="24"/>
      <c r="X81" s="23"/>
    </row>
    <row r="82" customFormat="1" ht="47" hidden="1" customHeight="1" spans="1:24">
      <c r="A82" s="15">
        <v>79</v>
      </c>
      <c r="B82" s="16" t="s">
        <v>406</v>
      </c>
      <c r="C82" s="16" t="s">
        <v>74</v>
      </c>
      <c r="D82" s="16" t="s">
        <v>317</v>
      </c>
      <c r="E82" s="16" t="s">
        <v>425</v>
      </c>
      <c r="F82" s="17" t="s">
        <v>426</v>
      </c>
      <c r="G82" s="18" t="s">
        <v>427</v>
      </c>
      <c r="H82" s="19">
        <v>2480000</v>
      </c>
      <c r="I82" s="20">
        <v>44010</v>
      </c>
      <c r="J82" s="18" t="s">
        <v>428</v>
      </c>
      <c r="K82" s="19">
        <v>1432000</v>
      </c>
      <c r="L82" s="19"/>
      <c r="M82" s="19"/>
      <c r="N82" s="19">
        <v>1432000</v>
      </c>
      <c r="O82" s="46" t="s">
        <v>411</v>
      </c>
      <c r="P82" s="22">
        <v>0.7</v>
      </c>
      <c r="Q82" s="96">
        <f t="shared" si="7"/>
        <v>1002400</v>
      </c>
      <c r="R82" s="28" t="s">
        <v>194</v>
      </c>
      <c r="S82" s="28" t="s">
        <v>35</v>
      </c>
      <c r="T82" s="24">
        <v>1</v>
      </c>
      <c r="U82" s="23">
        <f t="shared" si="8"/>
        <v>1002400</v>
      </c>
      <c r="V82" s="32"/>
      <c r="W82" s="24"/>
      <c r="X82" s="23"/>
    </row>
    <row r="83" customFormat="1" ht="47" hidden="1" customHeight="1" spans="1:24">
      <c r="A83" s="15">
        <v>80</v>
      </c>
      <c r="B83" s="16" t="s">
        <v>406</v>
      </c>
      <c r="C83" s="16" t="s">
        <v>74</v>
      </c>
      <c r="D83" s="16" t="s">
        <v>202</v>
      </c>
      <c r="E83" s="16" t="s">
        <v>203</v>
      </c>
      <c r="F83" s="17" t="s">
        <v>300</v>
      </c>
      <c r="G83" s="18" t="s">
        <v>301</v>
      </c>
      <c r="H83" s="19">
        <v>1051900</v>
      </c>
      <c r="I83" s="20">
        <v>43723</v>
      </c>
      <c r="J83" s="18" t="s">
        <v>302</v>
      </c>
      <c r="K83" s="19">
        <v>525950</v>
      </c>
      <c r="L83" s="19"/>
      <c r="M83" s="19"/>
      <c r="N83" s="19">
        <v>525950</v>
      </c>
      <c r="O83" s="46" t="s">
        <v>411</v>
      </c>
      <c r="P83" s="22">
        <v>1</v>
      </c>
      <c r="Q83" s="96">
        <f t="shared" si="7"/>
        <v>525950</v>
      </c>
      <c r="R83" s="28" t="s">
        <v>64</v>
      </c>
      <c r="S83" s="28" t="s">
        <v>38</v>
      </c>
      <c r="T83" s="24">
        <v>1</v>
      </c>
      <c r="U83" s="23">
        <f t="shared" si="8"/>
        <v>525950</v>
      </c>
      <c r="V83" s="32"/>
      <c r="W83" s="24"/>
      <c r="X83" s="23"/>
    </row>
    <row r="84" customFormat="1" ht="47" hidden="1" customHeight="1" spans="1:24">
      <c r="A84" s="15">
        <v>81</v>
      </c>
      <c r="B84" s="16" t="s">
        <v>429</v>
      </c>
      <c r="C84" s="16" t="s">
        <v>74</v>
      </c>
      <c r="D84" s="16" t="s">
        <v>430</v>
      </c>
      <c r="E84" s="16" t="s">
        <v>265</v>
      </c>
      <c r="F84" s="17" t="s">
        <v>431</v>
      </c>
      <c r="G84" s="18" t="s">
        <v>432</v>
      </c>
      <c r="H84" s="19">
        <v>72373364.07</v>
      </c>
      <c r="I84" s="20">
        <v>43191</v>
      </c>
      <c r="J84" s="18" t="s">
        <v>433</v>
      </c>
      <c r="K84" s="19">
        <v>21373372.17</v>
      </c>
      <c r="L84" s="19"/>
      <c r="M84" s="19"/>
      <c r="N84" s="19">
        <v>21373372.17</v>
      </c>
      <c r="O84" s="46" t="s">
        <v>411</v>
      </c>
      <c r="P84" s="22">
        <v>0.7</v>
      </c>
      <c r="Q84" s="96">
        <f t="shared" si="7"/>
        <v>14961360.519</v>
      </c>
      <c r="R84" s="28" t="s">
        <v>83</v>
      </c>
      <c r="S84" s="28" t="s">
        <v>30</v>
      </c>
      <c r="T84" s="24">
        <v>0.7</v>
      </c>
      <c r="U84" s="23">
        <f t="shared" si="8"/>
        <v>10472952.3633</v>
      </c>
      <c r="V84" s="32" t="s">
        <v>31</v>
      </c>
      <c r="W84" s="24">
        <v>0.3</v>
      </c>
      <c r="X84" s="23">
        <f>Q84*W84</f>
        <v>4488408.1557</v>
      </c>
    </row>
    <row r="85" customFormat="1" ht="47" customHeight="1" spans="1:24">
      <c r="A85" s="15">
        <v>82</v>
      </c>
      <c r="B85" s="16" t="s">
        <v>429</v>
      </c>
      <c r="C85" s="16" t="s">
        <v>74</v>
      </c>
      <c r="D85" s="16" t="s">
        <v>296</v>
      </c>
      <c r="E85" s="16" t="s">
        <v>297</v>
      </c>
      <c r="F85" s="17" t="s">
        <v>434</v>
      </c>
      <c r="G85" s="18" t="s">
        <v>435</v>
      </c>
      <c r="H85" s="19"/>
      <c r="I85" s="20"/>
      <c r="J85" s="18" t="s">
        <v>436</v>
      </c>
      <c r="K85" s="19">
        <v>0</v>
      </c>
      <c r="L85" s="19"/>
      <c r="M85" s="19">
        <v>3404000</v>
      </c>
      <c r="N85" s="19">
        <v>0</v>
      </c>
      <c r="O85" s="46" t="s">
        <v>411</v>
      </c>
      <c r="P85" s="22">
        <v>0.7</v>
      </c>
      <c r="Q85" s="96">
        <f t="shared" si="7"/>
        <v>0</v>
      </c>
      <c r="R85" s="28" t="s">
        <v>64</v>
      </c>
      <c r="S85" s="28" t="s">
        <v>38</v>
      </c>
      <c r="T85" s="24">
        <v>1</v>
      </c>
      <c r="U85" s="23">
        <f t="shared" si="8"/>
        <v>0</v>
      </c>
      <c r="V85" s="32"/>
      <c r="W85" s="24"/>
      <c r="X85" s="23"/>
    </row>
    <row r="86" customFormat="1" ht="47" customHeight="1" spans="1:24">
      <c r="A86" s="15">
        <v>83</v>
      </c>
      <c r="B86" s="16" t="s">
        <v>429</v>
      </c>
      <c r="C86" s="16" t="s">
        <v>74</v>
      </c>
      <c r="D86" s="16" t="s">
        <v>437</v>
      </c>
      <c r="E86" s="16" t="s">
        <v>208</v>
      </c>
      <c r="F86" s="17" t="s">
        <v>438</v>
      </c>
      <c r="G86" s="18" t="s">
        <v>439</v>
      </c>
      <c r="H86" s="19"/>
      <c r="I86" s="20"/>
      <c r="J86" s="18" t="s">
        <v>440</v>
      </c>
      <c r="K86" s="19">
        <v>0</v>
      </c>
      <c r="L86" s="19"/>
      <c r="M86" s="19">
        <v>1819400</v>
      </c>
      <c r="N86" s="19">
        <v>0</v>
      </c>
      <c r="O86" s="46" t="s">
        <v>411</v>
      </c>
      <c r="P86" s="22">
        <v>1</v>
      </c>
      <c r="Q86" s="96">
        <f t="shared" si="7"/>
        <v>0</v>
      </c>
      <c r="R86" s="28" t="s">
        <v>64</v>
      </c>
      <c r="S86" s="28" t="s">
        <v>38</v>
      </c>
      <c r="T86" s="24">
        <v>1</v>
      </c>
      <c r="U86" s="23">
        <f t="shared" si="8"/>
        <v>0</v>
      </c>
      <c r="V86" s="32"/>
      <c r="W86" s="24"/>
      <c r="X86" s="23"/>
    </row>
    <row r="87" customFormat="1" ht="47" hidden="1" customHeight="1" spans="1:24">
      <c r="A87" s="15">
        <v>84</v>
      </c>
      <c r="B87" s="16" t="s">
        <v>429</v>
      </c>
      <c r="C87" s="16" t="s">
        <v>74</v>
      </c>
      <c r="D87" s="16" t="s">
        <v>115</v>
      </c>
      <c r="E87" s="16" t="s">
        <v>418</v>
      </c>
      <c r="F87" s="17" t="s">
        <v>441</v>
      </c>
      <c r="G87" s="18" t="s">
        <v>442</v>
      </c>
      <c r="H87" s="19"/>
      <c r="I87" s="20"/>
      <c r="J87" s="18" t="s">
        <v>443</v>
      </c>
      <c r="K87" s="19">
        <v>636000</v>
      </c>
      <c r="L87" s="19"/>
      <c r="M87" s="19">
        <v>300000</v>
      </c>
      <c r="N87" s="19">
        <v>336000</v>
      </c>
      <c r="O87" s="46" t="s">
        <v>411</v>
      </c>
      <c r="P87" s="22">
        <v>0.7</v>
      </c>
      <c r="Q87" s="96">
        <f t="shared" si="7"/>
        <v>235200</v>
      </c>
      <c r="R87" s="28" t="s">
        <v>194</v>
      </c>
      <c r="S87" s="28" t="s">
        <v>35</v>
      </c>
      <c r="T87" s="24">
        <v>1</v>
      </c>
      <c r="U87" s="23">
        <f t="shared" si="8"/>
        <v>235200</v>
      </c>
      <c r="V87" s="32"/>
      <c r="W87" s="24"/>
      <c r="X87" s="23"/>
    </row>
    <row r="88" customFormat="1" ht="47" customHeight="1" spans="1:24">
      <c r="A88" s="15">
        <v>85</v>
      </c>
      <c r="B88" s="16" t="s">
        <v>429</v>
      </c>
      <c r="C88" s="16" t="s">
        <v>60</v>
      </c>
      <c r="D88" s="16" t="s">
        <v>68</v>
      </c>
      <c r="E88" s="16" t="s">
        <v>363</v>
      </c>
      <c r="F88" s="17" t="s">
        <v>444</v>
      </c>
      <c r="G88" s="18" t="s">
        <v>445</v>
      </c>
      <c r="H88" s="19"/>
      <c r="I88" s="20"/>
      <c r="J88" s="18"/>
      <c r="K88" s="19">
        <v>0</v>
      </c>
      <c r="L88" s="19"/>
      <c r="M88" s="19">
        <v>1335418.18</v>
      </c>
      <c r="N88" s="19">
        <v>0</v>
      </c>
      <c r="O88" s="46" t="s">
        <v>411</v>
      </c>
      <c r="P88" s="22">
        <v>1</v>
      </c>
      <c r="Q88" s="96">
        <f t="shared" si="7"/>
        <v>0</v>
      </c>
      <c r="R88" s="28" t="s">
        <v>83</v>
      </c>
      <c r="S88" s="28" t="s">
        <v>30</v>
      </c>
      <c r="T88" s="24">
        <v>1</v>
      </c>
      <c r="U88" s="23">
        <f t="shared" si="8"/>
        <v>0</v>
      </c>
      <c r="V88" s="32"/>
      <c r="W88" s="24"/>
      <c r="X88" s="23"/>
    </row>
    <row r="89" customFormat="1" ht="47" hidden="1" customHeight="1" spans="1:24">
      <c r="A89" s="15">
        <v>86</v>
      </c>
      <c r="B89" s="16" t="s">
        <v>429</v>
      </c>
      <c r="C89" s="16" t="s">
        <v>60</v>
      </c>
      <c r="D89" s="16" t="s">
        <v>174</v>
      </c>
      <c r="E89" s="16" t="s">
        <v>175</v>
      </c>
      <c r="F89" s="17" t="s">
        <v>446</v>
      </c>
      <c r="G89" s="18" t="s">
        <v>447</v>
      </c>
      <c r="H89" s="19">
        <v>6890000</v>
      </c>
      <c r="I89" s="20">
        <v>44012</v>
      </c>
      <c r="J89" s="18" t="s">
        <v>448</v>
      </c>
      <c r="K89" s="19">
        <v>179599.68</v>
      </c>
      <c r="L89" s="19"/>
      <c r="M89" s="19">
        <v>3450000</v>
      </c>
      <c r="N89" s="19">
        <v>0</v>
      </c>
      <c r="O89" s="46" t="s">
        <v>411</v>
      </c>
      <c r="P89" s="22">
        <v>1</v>
      </c>
      <c r="Q89" s="96">
        <f t="shared" si="7"/>
        <v>0</v>
      </c>
      <c r="R89" s="28" t="s">
        <v>83</v>
      </c>
      <c r="S89" s="28" t="s">
        <v>23</v>
      </c>
      <c r="T89" s="24">
        <v>1</v>
      </c>
      <c r="U89" s="23">
        <f t="shared" si="8"/>
        <v>0</v>
      </c>
      <c r="V89" s="32"/>
      <c r="W89" s="24"/>
      <c r="X89" s="23"/>
    </row>
    <row r="90" customFormat="1" ht="47" hidden="1" customHeight="1" spans="1:24">
      <c r="A90" s="15">
        <v>87</v>
      </c>
      <c r="B90" s="16" t="s">
        <v>429</v>
      </c>
      <c r="C90" s="16" t="s">
        <v>60</v>
      </c>
      <c r="D90" s="16" t="s">
        <v>174</v>
      </c>
      <c r="E90" s="16" t="s">
        <v>175</v>
      </c>
      <c r="F90" s="17" t="s">
        <v>446</v>
      </c>
      <c r="G90" s="18" t="s">
        <v>447</v>
      </c>
      <c r="H90" s="19">
        <v>6890000</v>
      </c>
      <c r="I90" s="20">
        <v>44012</v>
      </c>
      <c r="J90" s="18" t="s">
        <v>449</v>
      </c>
      <c r="K90" s="19">
        <v>3450000</v>
      </c>
      <c r="L90" s="19"/>
      <c r="M90" s="19">
        <v>1210400.32</v>
      </c>
      <c r="N90" s="19">
        <v>2239599.68</v>
      </c>
      <c r="O90" s="46" t="s">
        <v>411</v>
      </c>
      <c r="P90" s="22">
        <v>1</v>
      </c>
      <c r="Q90" s="96">
        <f t="shared" si="7"/>
        <v>2239599.68</v>
      </c>
      <c r="R90" s="28" t="s">
        <v>83</v>
      </c>
      <c r="S90" s="28" t="s">
        <v>23</v>
      </c>
      <c r="T90" s="24">
        <v>1</v>
      </c>
      <c r="U90" s="23">
        <f t="shared" si="8"/>
        <v>2239599.68</v>
      </c>
      <c r="V90" s="32"/>
      <c r="W90" s="24"/>
      <c r="X90" s="23"/>
    </row>
    <row r="91" customFormat="1" ht="47" hidden="1" customHeight="1" spans="1:24">
      <c r="A91" s="15">
        <v>88</v>
      </c>
      <c r="B91" s="16" t="s">
        <v>429</v>
      </c>
      <c r="C91" s="16" t="s">
        <v>74</v>
      </c>
      <c r="D91" s="16" t="s">
        <v>312</v>
      </c>
      <c r="E91" s="16" t="s">
        <v>450</v>
      </c>
      <c r="F91" s="17" t="s">
        <v>314</v>
      </c>
      <c r="G91" s="18" t="s">
        <v>315</v>
      </c>
      <c r="H91" s="19">
        <v>4878000</v>
      </c>
      <c r="I91" s="20">
        <v>43775</v>
      </c>
      <c r="J91" s="18" t="s">
        <v>451</v>
      </c>
      <c r="K91" s="19">
        <v>640200</v>
      </c>
      <c r="L91" s="19"/>
      <c r="M91" s="19">
        <v>151800</v>
      </c>
      <c r="N91" s="19">
        <v>640200</v>
      </c>
      <c r="O91" s="46" t="s">
        <v>165</v>
      </c>
      <c r="P91" s="22">
        <v>1</v>
      </c>
      <c r="Q91" s="96">
        <f t="shared" si="7"/>
        <v>640200</v>
      </c>
      <c r="R91" s="28" t="s">
        <v>194</v>
      </c>
      <c r="S91" s="28" t="s">
        <v>35</v>
      </c>
      <c r="T91" s="24">
        <v>1</v>
      </c>
      <c r="U91" s="23">
        <f t="shared" si="8"/>
        <v>640200</v>
      </c>
      <c r="V91" s="32"/>
      <c r="W91" s="24"/>
      <c r="X91" s="23"/>
    </row>
    <row r="92" customFormat="1" ht="47" customHeight="1" spans="1:24">
      <c r="A92" s="15">
        <v>89</v>
      </c>
      <c r="B92" s="16" t="s">
        <v>429</v>
      </c>
      <c r="C92" s="16" t="s">
        <v>74</v>
      </c>
      <c r="D92" s="16" t="s">
        <v>207</v>
      </c>
      <c r="E92" s="16" t="s">
        <v>208</v>
      </c>
      <c r="F92" s="17" t="s">
        <v>452</v>
      </c>
      <c r="G92" s="18" t="s">
        <v>335</v>
      </c>
      <c r="H92" s="19">
        <v>19700000</v>
      </c>
      <c r="I92" s="20">
        <v>44041</v>
      </c>
      <c r="J92" s="18" t="s">
        <v>453</v>
      </c>
      <c r="K92" s="19">
        <v>0</v>
      </c>
      <c r="L92" s="19"/>
      <c r="M92" s="19">
        <v>3275000</v>
      </c>
      <c r="N92" s="19">
        <v>0</v>
      </c>
      <c r="O92" s="46" t="s">
        <v>172</v>
      </c>
      <c r="P92" s="22">
        <v>1</v>
      </c>
      <c r="Q92" s="96">
        <f t="shared" si="7"/>
        <v>0</v>
      </c>
      <c r="R92" s="28" t="s">
        <v>64</v>
      </c>
      <c r="S92" s="28" t="s">
        <v>38</v>
      </c>
      <c r="T92" s="24">
        <v>1</v>
      </c>
      <c r="U92" s="23">
        <f t="shared" si="8"/>
        <v>0</v>
      </c>
      <c r="V92" s="32"/>
      <c r="W92" s="24"/>
      <c r="X92" s="23"/>
    </row>
    <row r="93" customFormat="1" ht="47" customHeight="1" spans="1:24">
      <c r="A93" s="15">
        <v>90</v>
      </c>
      <c r="B93" s="16" t="s">
        <v>429</v>
      </c>
      <c r="C93" s="16" t="s">
        <v>74</v>
      </c>
      <c r="D93" s="16" t="s">
        <v>454</v>
      </c>
      <c r="E93" s="16" t="s">
        <v>455</v>
      </c>
      <c r="F93" s="17" t="s">
        <v>456</v>
      </c>
      <c r="G93" s="18" t="s">
        <v>457</v>
      </c>
      <c r="H93" s="19">
        <v>2280000</v>
      </c>
      <c r="I93" s="20">
        <v>44356</v>
      </c>
      <c r="J93" s="18" t="s">
        <v>458</v>
      </c>
      <c r="K93" s="19">
        <v>0</v>
      </c>
      <c r="L93" s="19"/>
      <c r="M93" s="19">
        <v>342000</v>
      </c>
      <c r="N93" s="19">
        <v>0</v>
      </c>
      <c r="O93" s="46" t="s">
        <v>411</v>
      </c>
      <c r="P93" s="22">
        <v>1</v>
      </c>
      <c r="Q93" s="96">
        <f t="shared" si="7"/>
        <v>0</v>
      </c>
      <c r="R93" s="28" t="s">
        <v>194</v>
      </c>
      <c r="S93" s="28" t="s">
        <v>35</v>
      </c>
      <c r="T93" s="24">
        <v>1</v>
      </c>
      <c r="U93" s="23">
        <f t="shared" si="8"/>
        <v>0</v>
      </c>
      <c r="V93" s="32"/>
      <c r="W93" s="24"/>
      <c r="X93" s="23"/>
    </row>
    <row r="94" customFormat="1" ht="47" customHeight="1" spans="1:24">
      <c r="A94" s="15">
        <v>91</v>
      </c>
      <c r="B94" s="16" t="s">
        <v>429</v>
      </c>
      <c r="C94" s="16" t="s">
        <v>74</v>
      </c>
      <c r="D94" s="16" t="s">
        <v>459</v>
      </c>
      <c r="E94" s="16" t="s">
        <v>203</v>
      </c>
      <c r="F94" s="17" t="s">
        <v>460</v>
      </c>
      <c r="G94" s="18" t="s">
        <v>461</v>
      </c>
      <c r="H94" s="19">
        <v>4217600</v>
      </c>
      <c r="I94" s="20">
        <v>43920</v>
      </c>
      <c r="J94" s="18" t="s">
        <v>462</v>
      </c>
      <c r="K94" s="19">
        <v>0</v>
      </c>
      <c r="L94" s="19"/>
      <c r="M94" s="19">
        <v>1090000</v>
      </c>
      <c r="N94" s="19">
        <v>0</v>
      </c>
      <c r="O94" s="46" t="s">
        <v>411</v>
      </c>
      <c r="P94" s="22">
        <v>0.7</v>
      </c>
      <c r="Q94" s="96">
        <f t="shared" si="7"/>
        <v>0</v>
      </c>
      <c r="R94" s="28" t="s">
        <v>64</v>
      </c>
      <c r="S94" s="28" t="s">
        <v>38</v>
      </c>
      <c r="T94" s="24">
        <v>1</v>
      </c>
      <c r="U94" s="23">
        <f t="shared" si="8"/>
        <v>0</v>
      </c>
      <c r="V94" s="32"/>
      <c r="W94" s="24"/>
      <c r="X94" s="23"/>
    </row>
    <row r="95" customFormat="1" ht="47" hidden="1" customHeight="1" spans="1:24">
      <c r="A95" s="15">
        <v>92</v>
      </c>
      <c r="B95" s="16" t="s">
        <v>429</v>
      </c>
      <c r="C95" s="16" t="s">
        <v>74</v>
      </c>
      <c r="D95" s="16" t="s">
        <v>463</v>
      </c>
      <c r="E95" s="16" t="s">
        <v>223</v>
      </c>
      <c r="F95" s="17" t="s">
        <v>464</v>
      </c>
      <c r="G95" s="18" t="s">
        <v>465</v>
      </c>
      <c r="H95" s="19">
        <v>124600000</v>
      </c>
      <c r="I95" s="20">
        <v>43945</v>
      </c>
      <c r="J95" s="18" t="s">
        <v>466</v>
      </c>
      <c r="K95" s="19">
        <v>18690000</v>
      </c>
      <c r="L95" s="19"/>
      <c r="M95" s="19"/>
      <c r="N95" s="19">
        <v>18690000</v>
      </c>
      <c r="O95" s="46" t="s">
        <v>411</v>
      </c>
      <c r="P95" s="22">
        <v>0.7</v>
      </c>
      <c r="Q95" s="96">
        <f t="shared" si="7"/>
        <v>13083000</v>
      </c>
      <c r="R95" s="28" t="s">
        <v>64</v>
      </c>
      <c r="S95" s="28" t="s">
        <v>38</v>
      </c>
      <c r="T95" s="24">
        <v>0.25</v>
      </c>
      <c r="U95" s="23">
        <f t="shared" si="8"/>
        <v>3270750</v>
      </c>
      <c r="V95" s="32" t="s">
        <v>36</v>
      </c>
      <c r="W95" s="24">
        <v>0.25</v>
      </c>
      <c r="X95" s="23">
        <f>Q95*W95</f>
        <v>3270750</v>
      </c>
    </row>
    <row r="96" customFormat="1" ht="47" hidden="1" customHeight="1" spans="1:24">
      <c r="A96" s="15">
        <v>93</v>
      </c>
      <c r="B96" s="16" t="s">
        <v>429</v>
      </c>
      <c r="C96" s="16" t="s">
        <v>74</v>
      </c>
      <c r="D96" s="16" t="s">
        <v>467</v>
      </c>
      <c r="E96" s="16" t="s">
        <v>304</v>
      </c>
      <c r="F96" s="17" t="s">
        <v>468</v>
      </c>
      <c r="G96" s="18" t="s">
        <v>469</v>
      </c>
      <c r="H96" s="19">
        <v>7200000</v>
      </c>
      <c r="I96" s="20">
        <v>43614</v>
      </c>
      <c r="J96" s="18" t="s">
        <v>470</v>
      </c>
      <c r="K96" s="19">
        <v>1800000</v>
      </c>
      <c r="L96" s="19"/>
      <c r="M96" s="19"/>
      <c r="N96" s="19">
        <v>1800000</v>
      </c>
      <c r="O96" s="46" t="s">
        <v>411</v>
      </c>
      <c r="P96" s="22">
        <v>0.7</v>
      </c>
      <c r="Q96" s="96">
        <f t="shared" si="7"/>
        <v>1260000</v>
      </c>
      <c r="R96" s="28" t="s">
        <v>83</v>
      </c>
      <c r="S96" s="28" t="s">
        <v>24</v>
      </c>
      <c r="T96" s="24">
        <v>1</v>
      </c>
      <c r="U96" s="23">
        <f t="shared" si="8"/>
        <v>1260000</v>
      </c>
      <c r="V96" s="32"/>
      <c r="W96" s="24"/>
      <c r="X96" s="23"/>
    </row>
    <row r="97" customFormat="1" ht="47" hidden="1" customHeight="1" spans="1:24">
      <c r="A97" s="15">
        <v>94</v>
      </c>
      <c r="B97" s="16" t="s">
        <v>429</v>
      </c>
      <c r="C97" s="16" t="s">
        <v>74</v>
      </c>
      <c r="D97" s="16" t="s">
        <v>471</v>
      </c>
      <c r="E97" s="16" t="s">
        <v>472</v>
      </c>
      <c r="F97" s="17" t="s">
        <v>473</v>
      </c>
      <c r="G97" s="18" t="s">
        <v>474</v>
      </c>
      <c r="H97" s="19">
        <v>3882300</v>
      </c>
      <c r="I97" s="20">
        <v>43920</v>
      </c>
      <c r="J97" s="18" t="s">
        <v>475</v>
      </c>
      <c r="K97" s="19">
        <v>582377</v>
      </c>
      <c r="L97" s="19"/>
      <c r="M97" s="19"/>
      <c r="N97" s="19">
        <v>582377</v>
      </c>
      <c r="O97" s="46" t="s">
        <v>411</v>
      </c>
      <c r="P97" s="22">
        <v>0.7</v>
      </c>
      <c r="Q97" s="96">
        <f t="shared" si="7"/>
        <v>407663.9</v>
      </c>
      <c r="R97" s="28" t="s">
        <v>157</v>
      </c>
      <c r="S97" s="28" t="s">
        <v>157</v>
      </c>
      <c r="T97" s="24">
        <v>0.7</v>
      </c>
      <c r="U97" s="23">
        <f t="shared" si="8"/>
        <v>285364.73</v>
      </c>
      <c r="V97" s="32" t="s">
        <v>19</v>
      </c>
      <c r="W97" s="24">
        <v>0.3</v>
      </c>
      <c r="X97" s="23">
        <f>Q97*W97</f>
        <v>122299.17</v>
      </c>
    </row>
    <row r="98" customFormat="1" ht="47" hidden="1" customHeight="1" spans="1:24">
      <c r="A98" s="15">
        <v>95</v>
      </c>
      <c r="B98" s="16" t="s">
        <v>429</v>
      </c>
      <c r="C98" s="16" t="s">
        <v>74</v>
      </c>
      <c r="D98" s="16" t="s">
        <v>476</v>
      </c>
      <c r="E98" s="16" t="s">
        <v>477</v>
      </c>
      <c r="F98" s="17" t="s">
        <v>478</v>
      </c>
      <c r="G98" s="18" t="s">
        <v>479</v>
      </c>
      <c r="H98" s="19">
        <v>12820000</v>
      </c>
      <c r="I98" s="20">
        <v>42339</v>
      </c>
      <c r="J98" s="18" t="s">
        <v>480</v>
      </c>
      <c r="K98" s="19">
        <v>2542038</v>
      </c>
      <c r="L98" s="19"/>
      <c r="M98" s="19">
        <v>1109600</v>
      </c>
      <c r="N98" s="19">
        <v>1542038</v>
      </c>
      <c r="O98" s="46" t="s">
        <v>411</v>
      </c>
      <c r="P98" s="22">
        <v>0.7</v>
      </c>
      <c r="Q98" s="96">
        <f t="shared" si="7"/>
        <v>1079426.6</v>
      </c>
      <c r="R98" s="28" t="s">
        <v>83</v>
      </c>
      <c r="S98" s="28" t="s">
        <v>30</v>
      </c>
      <c r="T98" s="24">
        <v>0.7</v>
      </c>
      <c r="U98" s="23">
        <f t="shared" si="8"/>
        <v>755598.62</v>
      </c>
      <c r="V98" s="32" t="s">
        <v>31</v>
      </c>
      <c r="W98" s="24">
        <v>0.3</v>
      </c>
      <c r="X98" s="23">
        <f>Q98*W98</f>
        <v>323827.98</v>
      </c>
    </row>
    <row r="99" customFormat="1" ht="47" customHeight="1" spans="1:24">
      <c r="A99" s="15">
        <v>96</v>
      </c>
      <c r="B99" s="16" t="s">
        <v>429</v>
      </c>
      <c r="C99" s="16" t="s">
        <v>74</v>
      </c>
      <c r="D99" s="16" t="s">
        <v>481</v>
      </c>
      <c r="E99" s="16" t="s">
        <v>482</v>
      </c>
      <c r="F99" s="17" t="s">
        <v>483</v>
      </c>
      <c r="G99" s="18" t="s">
        <v>484</v>
      </c>
      <c r="H99" s="19">
        <v>2034000</v>
      </c>
      <c r="I99" s="20">
        <v>43818</v>
      </c>
      <c r="J99" s="18" t="s">
        <v>485</v>
      </c>
      <c r="K99" s="19">
        <v>0</v>
      </c>
      <c r="L99" s="19"/>
      <c r="M99" s="19">
        <v>203400</v>
      </c>
      <c r="N99" s="19">
        <v>0</v>
      </c>
      <c r="O99" s="46" t="s">
        <v>411</v>
      </c>
      <c r="P99" s="22">
        <v>0.7</v>
      </c>
      <c r="Q99" s="96">
        <f t="shared" si="7"/>
        <v>0</v>
      </c>
      <c r="R99" s="28" t="s">
        <v>83</v>
      </c>
      <c r="S99" s="28" t="s">
        <v>30</v>
      </c>
      <c r="T99" s="24">
        <v>0.7</v>
      </c>
      <c r="U99" s="23">
        <f t="shared" si="8"/>
        <v>0</v>
      </c>
      <c r="V99" s="32" t="s">
        <v>31</v>
      </c>
      <c r="W99" s="24">
        <v>0.3</v>
      </c>
      <c r="X99" s="23">
        <f>Q99*W99</f>
        <v>0</v>
      </c>
    </row>
    <row r="100" customFormat="1" ht="47" hidden="1" customHeight="1" spans="1:24">
      <c r="A100" s="15">
        <v>97</v>
      </c>
      <c r="B100" s="16" t="s">
        <v>429</v>
      </c>
      <c r="C100" s="16" t="s">
        <v>74</v>
      </c>
      <c r="D100" s="16" t="s">
        <v>486</v>
      </c>
      <c r="E100" s="16" t="s">
        <v>487</v>
      </c>
      <c r="F100" s="17" t="s">
        <v>488</v>
      </c>
      <c r="G100" s="18" t="s">
        <v>489</v>
      </c>
      <c r="H100" s="19">
        <v>2600000</v>
      </c>
      <c r="I100" s="20">
        <v>43922</v>
      </c>
      <c r="J100" s="18" t="s">
        <v>490</v>
      </c>
      <c r="K100" s="19">
        <v>420000</v>
      </c>
      <c r="L100" s="19"/>
      <c r="M100" s="19">
        <v>440000</v>
      </c>
      <c r="N100" s="19">
        <v>80000</v>
      </c>
      <c r="O100" s="46" t="s">
        <v>411</v>
      </c>
      <c r="P100" s="22">
        <v>0.7</v>
      </c>
      <c r="Q100" s="96">
        <f t="shared" si="7"/>
        <v>56000</v>
      </c>
      <c r="R100" s="28" t="s">
        <v>83</v>
      </c>
      <c r="S100" s="28" t="s">
        <v>30</v>
      </c>
      <c r="T100" s="24">
        <v>1</v>
      </c>
      <c r="U100" s="23">
        <f t="shared" si="8"/>
        <v>56000</v>
      </c>
      <c r="V100" s="32"/>
      <c r="W100" s="24"/>
      <c r="X100" s="23"/>
    </row>
    <row r="101" customFormat="1" ht="47" customHeight="1" spans="1:24">
      <c r="A101" s="15">
        <v>98</v>
      </c>
      <c r="B101" s="16" t="s">
        <v>429</v>
      </c>
      <c r="C101" s="16" t="s">
        <v>74</v>
      </c>
      <c r="D101" s="16" t="s">
        <v>491</v>
      </c>
      <c r="E101" s="16" t="s">
        <v>492</v>
      </c>
      <c r="F101" s="17" t="s">
        <v>493</v>
      </c>
      <c r="G101" s="18" t="s">
        <v>494</v>
      </c>
      <c r="H101" s="19">
        <v>11965000</v>
      </c>
      <c r="I101" s="20">
        <v>44055</v>
      </c>
      <c r="J101" s="18" t="s">
        <v>495</v>
      </c>
      <c r="K101" s="19">
        <v>0</v>
      </c>
      <c r="L101" s="19"/>
      <c r="M101" s="19">
        <v>2393000</v>
      </c>
      <c r="N101" s="19">
        <v>0</v>
      </c>
      <c r="O101" s="46" t="s">
        <v>411</v>
      </c>
      <c r="P101" s="22">
        <v>1</v>
      </c>
      <c r="Q101" s="96">
        <f t="shared" si="7"/>
        <v>0</v>
      </c>
      <c r="R101" s="28" t="s">
        <v>83</v>
      </c>
      <c r="S101" s="28" t="s">
        <v>30</v>
      </c>
      <c r="T101" s="24">
        <v>1</v>
      </c>
      <c r="U101" s="23">
        <f t="shared" si="8"/>
        <v>0</v>
      </c>
      <c r="V101" s="32"/>
      <c r="W101" s="24"/>
      <c r="X101" s="23"/>
    </row>
    <row r="102" customFormat="1" ht="47" customHeight="1" spans="1:24">
      <c r="A102" s="15">
        <v>99</v>
      </c>
      <c r="B102" s="16" t="s">
        <v>429</v>
      </c>
      <c r="C102" s="16" t="s">
        <v>74</v>
      </c>
      <c r="D102" s="16" t="s">
        <v>496</v>
      </c>
      <c r="E102" s="16" t="s">
        <v>497</v>
      </c>
      <c r="F102" s="17" t="s">
        <v>496</v>
      </c>
      <c r="G102" s="18" t="s">
        <v>498</v>
      </c>
      <c r="H102" s="19">
        <v>1480000</v>
      </c>
      <c r="I102" s="20">
        <v>44256</v>
      </c>
      <c r="J102" s="18" t="s">
        <v>499</v>
      </c>
      <c r="K102" s="19">
        <v>0</v>
      </c>
      <c r="L102" s="19"/>
      <c r="M102" s="19">
        <v>888000</v>
      </c>
      <c r="N102" s="19">
        <v>0</v>
      </c>
      <c r="O102" s="46" t="s">
        <v>411</v>
      </c>
      <c r="P102" s="22">
        <v>0.7</v>
      </c>
      <c r="Q102" s="96">
        <f t="shared" si="7"/>
        <v>0</v>
      </c>
      <c r="R102" s="28" t="s">
        <v>64</v>
      </c>
      <c r="S102" s="28" t="s">
        <v>500</v>
      </c>
      <c r="T102" s="24">
        <v>1</v>
      </c>
      <c r="U102" s="23">
        <f t="shared" si="8"/>
        <v>0</v>
      </c>
      <c r="V102" s="32"/>
      <c r="W102" s="24"/>
      <c r="X102" s="23"/>
    </row>
    <row r="103" customFormat="1" ht="47" hidden="1" customHeight="1" spans="1:24">
      <c r="A103" s="15">
        <v>100</v>
      </c>
      <c r="B103" s="16" t="s">
        <v>501</v>
      </c>
      <c r="C103" s="16" t="s">
        <v>74</v>
      </c>
      <c r="D103" s="16" t="s">
        <v>502</v>
      </c>
      <c r="E103" s="16" t="s">
        <v>503</v>
      </c>
      <c r="F103" s="17" t="s">
        <v>504</v>
      </c>
      <c r="G103" s="18" t="s">
        <v>505</v>
      </c>
      <c r="H103" s="19">
        <v>20318400</v>
      </c>
      <c r="I103" s="20">
        <v>44260</v>
      </c>
      <c r="J103" s="18" t="s">
        <v>506</v>
      </c>
      <c r="K103" s="19">
        <v>3058888</v>
      </c>
      <c r="L103" s="19"/>
      <c r="M103" s="19">
        <v>11058888</v>
      </c>
      <c r="N103" s="19">
        <v>0</v>
      </c>
      <c r="O103" s="46" t="s">
        <v>411</v>
      </c>
      <c r="P103" s="22">
        <v>0.7</v>
      </c>
      <c r="Q103" s="96">
        <f t="shared" si="7"/>
        <v>0</v>
      </c>
      <c r="R103" s="28" t="s">
        <v>64</v>
      </c>
      <c r="S103" s="28" t="s">
        <v>36</v>
      </c>
      <c r="T103" s="24">
        <v>0.6</v>
      </c>
      <c r="U103" s="23">
        <f t="shared" si="8"/>
        <v>0</v>
      </c>
      <c r="V103" s="32" t="s">
        <v>25</v>
      </c>
      <c r="W103" s="24">
        <v>0.4</v>
      </c>
      <c r="X103" s="23">
        <f>Q103*W103</f>
        <v>0</v>
      </c>
    </row>
    <row r="104" customFormat="1" ht="47" hidden="1" customHeight="1" spans="1:24">
      <c r="A104" s="15">
        <v>101</v>
      </c>
      <c r="B104" s="16" t="s">
        <v>406</v>
      </c>
      <c r="C104" s="16" t="s">
        <v>74</v>
      </c>
      <c r="D104" s="16" t="s">
        <v>112</v>
      </c>
      <c r="E104" s="16" t="s">
        <v>507</v>
      </c>
      <c r="F104" s="17" t="s">
        <v>508</v>
      </c>
      <c r="G104" s="18" t="s">
        <v>509</v>
      </c>
      <c r="H104" s="19">
        <v>79721910</v>
      </c>
      <c r="I104" s="20">
        <v>44010</v>
      </c>
      <c r="J104" s="18" t="s">
        <v>510</v>
      </c>
      <c r="K104" s="19">
        <v>4474235.2</v>
      </c>
      <c r="L104" s="19"/>
      <c r="M104" s="19">
        <v>29464601.8</v>
      </c>
      <c r="N104" s="19">
        <v>2497695</v>
      </c>
      <c r="O104" s="46" t="s">
        <v>411</v>
      </c>
      <c r="P104" s="22">
        <v>0.7</v>
      </c>
      <c r="Q104" s="96">
        <f t="shared" si="7"/>
        <v>1748386.5</v>
      </c>
      <c r="R104" s="28" t="s">
        <v>157</v>
      </c>
      <c r="S104" s="28" t="s">
        <v>157</v>
      </c>
      <c r="T104" s="24">
        <v>0.7</v>
      </c>
      <c r="U104" s="23">
        <f t="shared" si="8"/>
        <v>1223870.55</v>
      </c>
      <c r="V104" s="32" t="s">
        <v>19</v>
      </c>
      <c r="W104" s="24">
        <v>0.3</v>
      </c>
      <c r="X104" s="23">
        <f>Q104*W104</f>
        <v>524515.95</v>
      </c>
    </row>
    <row r="105" customFormat="1" ht="47" hidden="1" customHeight="1" spans="1:24">
      <c r="A105" s="15">
        <v>102</v>
      </c>
      <c r="B105" s="16" t="s">
        <v>406</v>
      </c>
      <c r="C105" s="16" t="s">
        <v>74</v>
      </c>
      <c r="D105" s="16" t="s">
        <v>325</v>
      </c>
      <c r="E105" s="16" t="s">
        <v>326</v>
      </c>
      <c r="F105" s="17" t="s">
        <v>327</v>
      </c>
      <c r="G105" s="18" t="s">
        <v>328</v>
      </c>
      <c r="H105" s="19">
        <v>3780000</v>
      </c>
      <c r="I105" s="20">
        <v>43960</v>
      </c>
      <c r="J105" s="18" t="s">
        <v>511</v>
      </c>
      <c r="K105" s="19">
        <v>1134000</v>
      </c>
      <c r="L105" s="19"/>
      <c r="M105" s="19"/>
      <c r="N105" s="19">
        <v>1134000</v>
      </c>
      <c r="O105" s="46" t="s">
        <v>187</v>
      </c>
      <c r="P105" s="22">
        <v>1</v>
      </c>
      <c r="Q105" s="96">
        <f t="shared" si="7"/>
        <v>1134000</v>
      </c>
      <c r="R105" s="28" t="s">
        <v>194</v>
      </c>
      <c r="S105" s="28" t="s">
        <v>35</v>
      </c>
      <c r="T105" s="24">
        <v>1</v>
      </c>
      <c r="U105" s="23">
        <f t="shared" si="8"/>
        <v>1134000</v>
      </c>
      <c r="V105" s="32"/>
      <c r="W105" s="24"/>
      <c r="X105" s="23"/>
    </row>
    <row r="106" customFormat="1" ht="47" hidden="1" customHeight="1" spans="1:24">
      <c r="A106" s="15">
        <v>103</v>
      </c>
      <c r="B106" s="16" t="s">
        <v>406</v>
      </c>
      <c r="C106" s="16" t="s">
        <v>74</v>
      </c>
      <c r="D106" s="16" t="s">
        <v>512</v>
      </c>
      <c r="E106" s="16" t="s">
        <v>513</v>
      </c>
      <c r="F106" s="17" t="s">
        <v>514</v>
      </c>
      <c r="G106" s="18" t="s">
        <v>515</v>
      </c>
      <c r="H106" s="19">
        <v>159800000</v>
      </c>
      <c r="I106" s="20">
        <v>44142</v>
      </c>
      <c r="J106" s="18" t="s">
        <v>516</v>
      </c>
      <c r="K106" s="19">
        <v>51002359.92</v>
      </c>
      <c r="L106" s="19"/>
      <c r="M106" s="19">
        <v>25000000</v>
      </c>
      <c r="N106" s="19">
        <v>51002359.92</v>
      </c>
      <c r="O106" s="46" t="s">
        <v>411</v>
      </c>
      <c r="P106" s="22">
        <v>0.7</v>
      </c>
      <c r="Q106" s="96">
        <f t="shared" si="7"/>
        <v>35701651.944</v>
      </c>
      <c r="R106" s="28" t="s">
        <v>157</v>
      </c>
      <c r="S106" s="28" t="s">
        <v>157</v>
      </c>
      <c r="T106" s="24">
        <v>0.7</v>
      </c>
      <c r="U106" s="23">
        <f t="shared" si="8"/>
        <v>24991156.3608</v>
      </c>
      <c r="V106" s="32" t="s">
        <v>19</v>
      </c>
      <c r="W106" s="24">
        <v>0.3</v>
      </c>
      <c r="X106" s="23">
        <f t="shared" ref="X106:X120" si="9">Q106*W106</f>
        <v>10710495.5832</v>
      </c>
    </row>
    <row r="107" customFormat="1" ht="47" hidden="1" customHeight="1" spans="1:24">
      <c r="A107" s="15">
        <v>104</v>
      </c>
      <c r="B107" s="16" t="s">
        <v>406</v>
      </c>
      <c r="C107" s="16" t="s">
        <v>74</v>
      </c>
      <c r="D107" s="16" t="s">
        <v>517</v>
      </c>
      <c r="E107" s="16" t="s">
        <v>513</v>
      </c>
      <c r="F107" s="17" t="s">
        <v>518</v>
      </c>
      <c r="G107" s="18" t="s">
        <v>519</v>
      </c>
      <c r="H107" s="19">
        <v>129700000</v>
      </c>
      <c r="I107" s="20">
        <v>44158</v>
      </c>
      <c r="J107" s="18" t="s">
        <v>520</v>
      </c>
      <c r="K107" s="19">
        <v>6916526.49507999</v>
      </c>
      <c r="L107" s="19"/>
      <c r="M107" s="19">
        <v>86480000</v>
      </c>
      <c r="N107" s="19">
        <v>6916526.49507999</v>
      </c>
      <c r="O107" s="46" t="s">
        <v>411</v>
      </c>
      <c r="P107" s="22">
        <v>0.7</v>
      </c>
      <c r="Q107" s="96">
        <f t="shared" si="7"/>
        <v>4841568.54655599</v>
      </c>
      <c r="R107" s="28" t="s">
        <v>157</v>
      </c>
      <c r="S107" s="28" t="s">
        <v>157</v>
      </c>
      <c r="T107" s="24">
        <v>0.7</v>
      </c>
      <c r="U107" s="23">
        <f t="shared" si="8"/>
        <v>3389097.98258919</v>
      </c>
      <c r="V107" s="32" t="s">
        <v>19</v>
      </c>
      <c r="W107" s="24">
        <v>0.3</v>
      </c>
      <c r="X107" s="23">
        <f t="shared" si="9"/>
        <v>1452470.5639668</v>
      </c>
    </row>
    <row r="108" customFormat="1" ht="47" customHeight="1" spans="1:24">
      <c r="A108" s="15">
        <v>105</v>
      </c>
      <c r="B108" s="16" t="s">
        <v>406</v>
      </c>
      <c r="C108" s="16" t="s">
        <v>74</v>
      </c>
      <c r="D108" s="16" t="s">
        <v>521</v>
      </c>
      <c r="E108" s="16" t="s">
        <v>159</v>
      </c>
      <c r="F108" s="17" t="s">
        <v>522</v>
      </c>
      <c r="G108" s="18" t="s">
        <v>523</v>
      </c>
      <c r="H108" s="19">
        <v>10953405</v>
      </c>
      <c r="I108" s="20">
        <v>43994</v>
      </c>
      <c r="J108" s="18" t="s">
        <v>524</v>
      </c>
      <c r="K108" s="19">
        <v>0</v>
      </c>
      <c r="L108" s="19"/>
      <c r="M108" s="19">
        <v>3079400</v>
      </c>
      <c r="N108" s="19">
        <v>0</v>
      </c>
      <c r="O108" s="46" t="s">
        <v>411</v>
      </c>
      <c r="P108" s="22">
        <v>0.7</v>
      </c>
      <c r="Q108" s="96">
        <f t="shared" si="7"/>
        <v>0</v>
      </c>
      <c r="R108" s="28" t="s">
        <v>157</v>
      </c>
      <c r="S108" s="28" t="s">
        <v>157</v>
      </c>
      <c r="T108" s="24">
        <v>0.7</v>
      </c>
      <c r="U108" s="23">
        <f t="shared" si="8"/>
        <v>0</v>
      </c>
      <c r="V108" s="32" t="s">
        <v>19</v>
      </c>
      <c r="W108" s="24">
        <v>0.3</v>
      </c>
      <c r="X108" s="23">
        <f t="shared" si="9"/>
        <v>0</v>
      </c>
    </row>
    <row r="109" customFormat="1" ht="47" customHeight="1" spans="1:24">
      <c r="A109" s="15">
        <v>106</v>
      </c>
      <c r="B109" s="16" t="s">
        <v>406</v>
      </c>
      <c r="C109" s="16" t="s">
        <v>74</v>
      </c>
      <c r="D109" s="16" t="s">
        <v>521</v>
      </c>
      <c r="E109" s="16" t="s">
        <v>159</v>
      </c>
      <c r="F109" s="17" t="s">
        <v>522</v>
      </c>
      <c r="G109" s="18" t="s">
        <v>523</v>
      </c>
      <c r="H109" s="19">
        <v>11799000</v>
      </c>
      <c r="I109" s="20">
        <v>43994</v>
      </c>
      <c r="J109" s="18" t="s">
        <v>525</v>
      </c>
      <c r="K109" s="19">
        <v>0</v>
      </c>
      <c r="L109" s="19"/>
      <c r="M109" s="19">
        <v>6799000</v>
      </c>
      <c r="N109" s="19">
        <v>0</v>
      </c>
      <c r="O109" s="46" t="s">
        <v>411</v>
      </c>
      <c r="P109" s="22">
        <v>0.7</v>
      </c>
      <c r="Q109" s="96">
        <f t="shared" si="7"/>
        <v>0</v>
      </c>
      <c r="R109" s="28" t="s">
        <v>157</v>
      </c>
      <c r="S109" s="28" t="s">
        <v>157</v>
      </c>
      <c r="T109" s="24">
        <v>0.7</v>
      </c>
      <c r="U109" s="23">
        <f t="shared" si="8"/>
        <v>0</v>
      </c>
      <c r="V109" s="32" t="s">
        <v>19</v>
      </c>
      <c r="W109" s="24">
        <v>0.3</v>
      </c>
      <c r="X109" s="23">
        <f t="shared" si="9"/>
        <v>0</v>
      </c>
    </row>
    <row r="110" customFormat="1" ht="47" customHeight="1" spans="1:24">
      <c r="A110" s="15">
        <v>107</v>
      </c>
      <c r="B110" s="16" t="s">
        <v>406</v>
      </c>
      <c r="C110" s="16" t="s">
        <v>74</v>
      </c>
      <c r="D110" s="16" t="s">
        <v>521</v>
      </c>
      <c r="E110" s="16" t="s">
        <v>159</v>
      </c>
      <c r="F110" s="17" t="s">
        <v>522</v>
      </c>
      <c r="G110" s="18" t="s">
        <v>523</v>
      </c>
      <c r="H110" s="19">
        <v>10953405</v>
      </c>
      <c r="I110" s="20">
        <v>43994</v>
      </c>
      <c r="J110" s="18" t="s">
        <v>526</v>
      </c>
      <c r="K110" s="19">
        <v>0</v>
      </c>
      <c r="L110" s="19"/>
      <c r="M110" s="19">
        <v>5640200</v>
      </c>
      <c r="N110" s="19">
        <v>0</v>
      </c>
      <c r="O110" s="46" t="s">
        <v>411</v>
      </c>
      <c r="P110" s="22">
        <v>0.7</v>
      </c>
      <c r="Q110" s="96">
        <f t="shared" si="7"/>
        <v>0</v>
      </c>
      <c r="R110" s="28" t="s">
        <v>157</v>
      </c>
      <c r="S110" s="28" t="s">
        <v>157</v>
      </c>
      <c r="T110" s="24">
        <v>0.7</v>
      </c>
      <c r="U110" s="23">
        <f t="shared" si="8"/>
        <v>0</v>
      </c>
      <c r="V110" s="32" t="s">
        <v>19</v>
      </c>
      <c r="W110" s="24">
        <v>0.3</v>
      </c>
      <c r="X110" s="23">
        <f t="shared" si="9"/>
        <v>0</v>
      </c>
    </row>
    <row r="111" customFormat="1" ht="47" customHeight="1" spans="1:24">
      <c r="A111" s="15">
        <v>108</v>
      </c>
      <c r="B111" s="16" t="s">
        <v>406</v>
      </c>
      <c r="C111" s="16" t="s">
        <v>74</v>
      </c>
      <c r="D111" s="16" t="s">
        <v>521</v>
      </c>
      <c r="E111" s="16" t="s">
        <v>159</v>
      </c>
      <c r="F111" s="17" t="s">
        <v>522</v>
      </c>
      <c r="G111" s="18" t="s">
        <v>523</v>
      </c>
      <c r="H111" s="19">
        <v>10953405</v>
      </c>
      <c r="I111" s="20">
        <v>43994</v>
      </c>
      <c r="J111" s="18" t="s">
        <v>527</v>
      </c>
      <c r="K111" s="19">
        <v>0</v>
      </c>
      <c r="L111" s="19"/>
      <c r="M111" s="19"/>
      <c r="N111" s="19">
        <v>0</v>
      </c>
      <c r="O111" s="46" t="s">
        <v>411</v>
      </c>
      <c r="P111" s="22">
        <v>0.7</v>
      </c>
      <c r="Q111" s="96">
        <f t="shared" si="7"/>
        <v>0</v>
      </c>
      <c r="R111" s="28" t="s">
        <v>157</v>
      </c>
      <c r="S111" s="28" t="s">
        <v>157</v>
      </c>
      <c r="T111" s="24">
        <v>0.7</v>
      </c>
      <c r="U111" s="23">
        <f t="shared" si="8"/>
        <v>0</v>
      </c>
      <c r="V111" s="32" t="s">
        <v>19</v>
      </c>
      <c r="W111" s="24">
        <v>0.3</v>
      </c>
      <c r="X111" s="23">
        <f t="shared" si="9"/>
        <v>0</v>
      </c>
    </row>
    <row r="112" customFormat="1" ht="47" customHeight="1" spans="1:24">
      <c r="A112" s="15">
        <v>109</v>
      </c>
      <c r="B112" s="16" t="s">
        <v>406</v>
      </c>
      <c r="C112" s="16" t="s">
        <v>74</v>
      </c>
      <c r="D112" s="16" t="s">
        <v>109</v>
      </c>
      <c r="E112" s="16" t="s">
        <v>528</v>
      </c>
      <c r="F112" s="17" t="s">
        <v>127</v>
      </c>
      <c r="G112" s="18" t="s">
        <v>529</v>
      </c>
      <c r="H112" s="19">
        <v>20198400</v>
      </c>
      <c r="I112" s="20">
        <v>43862</v>
      </c>
      <c r="J112" s="18" t="s">
        <v>530</v>
      </c>
      <c r="K112" s="19">
        <v>0</v>
      </c>
      <c r="L112" s="19"/>
      <c r="M112" s="19">
        <v>4559520</v>
      </c>
      <c r="N112" s="19">
        <v>0</v>
      </c>
      <c r="O112" s="46" t="s">
        <v>411</v>
      </c>
      <c r="P112" s="22">
        <v>0.7</v>
      </c>
      <c r="Q112" s="96">
        <f t="shared" si="7"/>
        <v>0</v>
      </c>
      <c r="R112" s="28" t="s">
        <v>157</v>
      </c>
      <c r="S112" s="28" t="s">
        <v>157</v>
      </c>
      <c r="T112" s="24">
        <v>0.7</v>
      </c>
      <c r="U112" s="23">
        <f t="shared" si="8"/>
        <v>0</v>
      </c>
      <c r="V112" s="32" t="s">
        <v>19</v>
      </c>
      <c r="W112" s="24">
        <v>0.3</v>
      </c>
      <c r="X112" s="23">
        <f t="shared" si="9"/>
        <v>0</v>
      </c>
    </row>
    <row r="113" customFormat="1" ht="47" customHeight="1" spans="1:24">
      <c r="A113" s="15">
        <v>110</v>
      </c>
      <c r="B113" s="16" t="s">
        <v>406</v>
      </c>
      <c r="C113" s="16" t="s">
        <v>74</v>
      </c>
      <c r="D113" s="16" t="s">
        <v>109</v>
      </c>
      <c r="E113" s="16" t="s">
        <v>528</v>
      </c>
      <c r="F113" s="17" t="s">
        <v>127</v>
      </c>
      <c r="G113" s="18" t="s">
        <v>529</v>
      </c>
      <c r="H113" s="19">
        <v>20198400</v>
      </c>
      <c r="I113" s="20">
        <v>43862</v>
      </c>
      <c r="J113" s="18" t="s">
        <v>531</v>
      </c>
      <c r="K113" s="19">
        <v>0</v>
      </c>
      <c r="L113" s="19"/>
      <c r="M113" s="19">
        <v>9104160</v>
      </c>
      <c r="N113" s="19">
        <v>0</v>
      </c>
      <c r="O113" s="46" t="s">
        <v>411</v>
      </c>
      <c r="P113" s="22">
        <v>0.7</v>
      </c>
      <c r="Q113" s="96">
        <f t="shared" si="7"/>
        <v>0</v>
      </c>
      <c r="R113" s="28" t="s">
        <v>157</v>
      </c>
      <c r="S113" s="28" t="s">
        <v>157</v>
      </c>
      <c r="T113" s="24">
        <v>0.7</v>
      </c>
      <c r="U113" s="23">
        <f t="shared" si="8"/>
        <v>0</v>
      </c>
      <c r="V113" s="32" t="s">
        <v>19</v>
      </c>
      <c r="W113" s="24">
        <v>0.3</v>
      </c>
      <c r="X113" s="23">
        <f t="shared" si="9"/>
        <v>0</v>
      </c>
    </row>
    <row r="114" customFormat="1" ht="47" hidden="1" customHeight="1" spans="1:24">
      <c r="A114" s="15">
        <v>111</v>
      </c>
      <c r="B114" s="16" t="s">
        <v>406</v>
      </c>
      <c r="C114" s="16" t="s">
        <v>74</v>
      </c>
      <c r="D114" s="16" t="s">
        <v>532</v>
      </c>
      <c r="E114" s="16" t="s">
        <v>533</v>
      </c>
      <c r="F114" s="17" t="s">
        <v>534</v>
      </c>
      <c r="G114" s="18" t="s">
        <v>535</v>
      </c>
      <c r="H114" s="19">
        <v>3541140</v>
      </c>
      <c r="I114" s="20">
        <v>43983</v>
      </c>
      <c r="J114" s="18" t="s">
        <v>536</v>
      </c>
      <c r="K114" s="19">
        <v>51684</v>
      </c>
      <c r="L114" s="19"/>
      <c r="M114" s="19"/>
      <c r="N114" s="19">
        <v>51684</v>
      </c>
      <c r="O114" s="46" t="s">
        <v>411</v>
      </c>
      <c r="P114" s="22">
        <v>0.7</v>
      </c>
      <c r="Q114" s="96">
        <f t="shared" si="7"/>
        <v>36178.8</v>
      </c>
      <c r="R114" s="28" t="s">
        <v>157</v>
      </c>
      <c r="S114" s="28" t="s">
        <v>157</v>
      </c>
      <c r="T114" s="24">
        <v>0.7</v>
      </c>
      <c r="U114" s="23">
        <f t="shared" si="8"/>
        <v>25325.16</v>
      </c>
      <c r="V114" s="32" t="s">
        <v>19</v>
      </c>
      <c r="W114" s="24">
        <v>0.3</v>
      </c>
      <c r="X114" s="23">
        <f t="shared" si="9"/>
        <v>10853.64</v>
      </c>
    </row>
    <row r="115" customFormat="1" ht="47" hidden="1" customHeight="1" spans="1:24">
      <c r="A115" s="15">
        <v>112</v>
      </c>
      <c r="B115" s="16" t="s">
        <v>406</v>
      </c>
      <c r="C115" s="16" t="s">
        <v>74</v>
      </c>
      <c r="D115" s="16" t="s">
        <v>532</v>
      </c>
      <c r="E115" s="16" t="s">
        <v>533</v>
      </c>
      <c r="F115" s="17" t="s">
        <v>534</v>
      </c>
      <c r="G115" s="18" t="s">
        <v>535</v>
      </c>
      <c r="H115" s="19">
        <v>3541140</v>
      </c>
      <c r="I115" s="20">
        <v>43983</v>
      </c>
      <c r="J115" s="18" t="s">
        <v>537</v>
      </c>
      <c r="K115" s="19">
        <v>466980</v>
      </c>
      <c r="L115" s="19"/>
      <c r="M115" s="19"/>
      <c r="N115" s="19">
        <v>466980</v>
      </c>
      <c r="O115" s="46" t="s">
        <v>411</v>
      </c>
      <c r="P115" s="22">
        <v>0.7</v>
      </c>
      <c r="Q115" s="96">
        <f t="shared" si="7"/>
        <v>326886</v>
      </c>
      <c r="R115" s="28" t="s">
        <v>157</v>
      </c>
      <c r="S115" s="28" t="s">
        <v>157</v>
      </c>
      <c r="T115" s="24">
        <v>0.7</v>
      </c>
      <c r="U115" s="23">
        <f t="shared" si="8"/>
        <v>228820.2</v>
      </c>
      <c r="V115" s="32" t="s">
        <v>19</v>
      </c>
      <c r="W115" s="24">
        <v>0.3</v>
      </c>
      <c r="X115" s="23">
        <f t="shared" si="9"/>
        <v>98065.8</v>
      </c>
    </row>
    <row r="116" customFormat="1" ht="47" customHeight="1" spans="1:24">
      <c r="A116" s="15">
        <v>113</v>
      </c>
      <c r="B116" s="16" t="s">
        <v>406</v>
      </c>
      <c r="C116" s="16" t="s">
        <v>74</v>
      </c>
      <c r="D116" s="16" t="s">
        <v>538</v>
      </c>
      <c r="E116" s="16" t="s">
        <v>533</v>
      </c>
      <c r="F116" s="17" t="s">
        <v>539</v>
      </c>
      <c r="G116" s="18" t="s">
        <v>540</v>
      </c>
      <c r="H116" s="19">
        <v>13922820</v>
      </c>
      <c r="I116" s="20">
        <v>43991</v>
      </c>
      <c r="J116" s="18" t="s">
        <v>541</v>
      </c>
      <c r="K116" s="19">
        <v>0</v>
      </c>
      <c r="L116" s="19"/>
      <c r="M116" s="19">
        <v>5582870.2</v>
      </c>
      <c r="N116" s="19">
        <v>0</v>
      </c>
      <c r="O116" s="46" t="s">
        <v>411</v>
      </c>
      <c r="P116" s="22">
        <v>0.7</v>
      </c>
      <c r="Q116" s="96">
        <f t="shared" si="7"/>
        <v>0</v>
      </c>
      <c r="R116" s="28" t="s">
        <v>157</v>
      </c>
      <c r="S116" s="28" t="s">
        <v>157</v>
      </c>
      <c r="T116" s="24">
        <v>0.7</v>
      </c>
      <c r="U116" s="23">
        <f t="shared" si="8"/>
        <v>0</v>
      </c>
      <c r="V116" s="32" t="s">
        <v>19</v>
      </c>
      <c r="W116" s="24">
        <v>0.3</v>
      </c>
      <c r="X116" s="23">
        <f t="shared" si="9"/>
        <v>0</v>
      </c>
    </row>
    <row r="117" customFormat="1" ht="47" customHeight="1" spans="1:24">
      <c r="A117" s="15">
        <v>114</v>
      </c>
      <c r="B117" s="16" t="s">
        <v>406</v>
      </c>
      <c r="C117" s="16" t="s">
        <v>74</v>
      </c>
      <c r="D117" s="16" t="s">
        <v>538</v>
      </c>
      <c r="E117" s="16" t="s">
        <v>533</v>
      </c>
      <c r="F117" s="17" t="s">
        <v>539</v>
      </c>
      <c r="G117" s="18" t="s">
        <v>540</v>
      </c>
      <c r="H117" s="19">
        <v>13922820</v>
      </c>
      <c r="I117" s="20">
        <v>43991</v>
      </c>
      <c r="J117" s="18" t="s">
        <v>542</v>
      </c>
      <c r="K117" s="19">
        <v>0</v>
      </c>
      <c r="L117" s="19"/>
      <c r="M117" s="19">
        <v>4379400</v>
      </c>
      <c r="N117" s="19">
        <v>0</v>
      </c>
      <c r="O117" s="46" t="s">
        <v>411</v>
      </c>
      <c r="P117" s="22">
        <v>0.7</v>
      </c>
      <c r="Q117" s="96">
        <f t="shared" si="7"/>
        <v>0</v>
      </c>
      <c r="R117" s="28" t="s">
        <v>157</v>
      </c>
      <c r="S117" s="28" t="s">
        <v>157</v>
      </c>
      <c r="T117" s="24">
        <v>0.7</v>
      </c>
      <c r="U117" s="23">
        <f t="shared" si="8"/>
        <v>0</v>
      </c>
      <c r="V117" s="32" t="s">
        <v>19</v>
      </c>
      <c r="W117" s="24">
        <v>0.3</v>
      </c>
      <c r="X117" s="23">
        <f t="shared" si="9"/>
        <v>0</v>
      </c>
    </row>
    <row r="118" customFormat="1" ht="47" hidden="1" customHeight="1" spans="1:24">
      <c r="A118" s="15">
        <v>115</v>
      </c>
      <c r="B118" s="16" t="s">
        <v>406</v>
      </c>
      <c r="C118" s="16" t="s">
        <v>74</v>
      </c>
      <c r="D118" s="16" t="s">
        <v>538</v>
      </c>
      <c r="E118" s="16" t="s">
        <v>533</v>
      </c>
      <c r="F118" s="17" t="s">
        <v>539</v>
      </c>
      <c r="G118" s="18" t="s">
        <v>540</v>
      </c>
      <c r="H118" s="19">
        <v>13922820</v>
      </c>
      <c r="I118" s="20">
        <v>43991</v>
      </c>
      <c r="J118" s="18" t="s">
        <v>543</v>
      </c>
      <c r="K118" s="19">
        <v>974250.3</v>
      </c>
      <c r="L118" s="19"/>
      <c r="M118" s="19">
        <v>974250.3</v>
      </c>
      <c r="N118" s="19">
        <v>0</v>
      </c>
      <c r="O118" s="46" t="s">
        <v>411</v>
      </c>
      <c r="P118" s="22">
        <v>0.7</v>
      </c>
      <c r="Q118" s="96">
        <f t="shared" si="7"/>
        <v>0</v>
      </c>
      <c r="R118" s="28" t="s">
        <v>157</v>
      </c>
      <c r="S118" s="28" t="s">
        <v>157</v>
      </c>
      <c r="T118" s="24">
        <v>0.7</v>
      </c>
      <c r="U118" s="23">
        <f t="shared" si="8"/>
        <v>0</v>
      </c>
      <c r="V118" s="32" t="s">
        <v>19</v>
      </c>
      <c r="W118" s="24">
        <v>0.3</v>
      </c>
      <c r="X118" s="23">
        <f t="shared" si="9"/>
        <v>0</v>
      </c>
    </row>
    <row r="119" customFormat="1" ht="47" hidden="1" customHeight="1" spans="1:24">
      <c r="A119" s="15">
        <v>116</v>
      </c>
      <c r="B119" s="16" t="s">
        <v>406</v>
      </c>
      <c r="C119" s="16" t="s">
        <v>74</v>
      </c>
      <c r="D119" s="16" t="s">
        <v>538</v>
      </c>
      <c r="E119" s="16" t="s">
        <v>533</v>
      </c>
      <c r="F119" s="17" t="s">
        <v>539</v>
      </c>
      <c r="G119" s="18" t="s">
        <v>540</v>
      </c>
      <c r="H119" s="19">
        <v>13922820</v>
      </c>
      <c r="I119" s="20">
        <v>43991</v>
      </c>
      <c r="J119" s="18" t="s">
        <v>544</v>
      </c>
      <c r="K119" s="19">
        <v>1080163.3</v>
      </c>
      <c r="L119" s="19"/>
      <c r="M119" s="19">
        <v>4080163.3</v>
      </c>
      <c r="N119" s="19">
        <v>0</v>
      </c>
      <c r="O119" s="46" t="s">
        <v>411</v>
      </c>
      <c r="P119" s="22">
        <v>0.7</v>
      </c>
      <c r="Q119" s="96">
        <f t="shared" si="7"/>
        <v>0</v>
      </c>
      <c r="R119" s="28" t="s">
        <v>157</v>
      </c>
      <c r="S119" s="28" t="s">
        <v>157</v>
      </c>
      <c r="T119" s="24">
        <v>0.7</v>
      </c>
      <c r="U119" s="23">
        <f t="shared" si="8"/>
        <v>0</v>
      </c>
      <c r="V119" s="32" t="s">
        <v>19</v>
      </c>
      <c r="W119" s="24">
        <v>0.3</v>
      </c>
      <c r="X119" s="23">
        <f t="shared" si="9"/>
        <v>0</v>
      </c>
    </row>
    <row r="120" customFormat="1" ht="47" hidden="1" customHeight="1" spans="1:24">
      <c r="A120" s="15">
        <v>117</v>
      </c>
      <c r="B120" s="16" t="s">
        <v>406</v>
      </c>
      <c r="C120" s="16" t="s">
        <v>60</v>
      </c>
      <c r="D120" s="16" t="s">
        <v>71</v>
      </c>
      <c r="E120" s="16" t="s">
        <v>71</v>
      </c>
      <c r="F120" s="17" t="s">
        <v>545</v>
      </c>
      <c r="G120" s="18" t="s">
        <v>546</v>
      </c>
      <c r="H120" s="19">
        <v>2100000</v>
      </c>
      <c r="I120" s="20"/>
      <c r="J120" s="18" t="s">
        <v>547</v>
      </c>
      <c r="K120" s="19">
        <v>400000</v>
      </c>
      <c r="L120" s="19"/>
      <c r="M120" s="19">
        <v>0</v>
      </c>
      <c r="N120" s="19">
        <v>400000</v>
      </c>
      <c r="O120" s="46" t="s">
        <v>411</v>
      </c>
      <c r="P120" s="22">
        <v>1</v>
      </c>
      <c r="Q120" s="96">
        <f t="shared" si="7"/>
        <v>400000</v>
      </c>
      <c r="R120" s="28" t="s">
        <v>83</v>
      </c>
      <c r="S120" s="28" t="s">
        <v>30</v>
      </c>
      <c r="T120" s="24">
        <v>0.7</v>
      </c>
      <c r="U120" s="23">
        <f t="shared" si="8"/>
        <v>280000</v>
      </c>
      <c r="V120" s="32" t="s">
        <v>31</v>
      </c>
      <c r="W120" s="24">
        <v>0.3</v>
      </c>
      <c r="X120" s="23">
        <f t="shared" si="9"/>
        <v>120000</v>
      </c>
    </row>
    <row r="148" spans="9:9">
      <c r="I148" s="91">
        <f>7.75*0.2</f>
        <v>1.55</v>
      </c>
    </row>
  </sheetData>
  <protectedRanges>
    <protectedRange sqref="F74:G74" name="区域1"/>
    <protectedRange sqref="J74" name="区域1_2"/>
  </protectedRanges>
  <autoFilter xmlns:etc="http://www.wps.cn/officeDocument/2017/etCustomData" ref="A3:X120" etc:filterBottomFollowUsedRange="0">
    <filterColumn colId="10">
      <customFilters>
        <customFilter operator="equal" val="0"/>
      </customFilters>
    </filterColumn>
    <extLst/>
  </autoFilter>
  <mergeCells count="20">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2"/>
    <mergeCell ref="S1:U2"/>
    <mergeCell ref="V1:X2"/>
  </mergeCells>
  <dataValidations count="1">
    <dataValidation type="list" allowBlank="1" showInputMessage="1" showErrorMessage="1" sqref="B104:B120">
      <formula1>"集团本部,工程公司,运营中心,投标业务,南通本部,新疆本部,包头本部,分子公司"</formula1>
    </dataValidation>
  </dataValidation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5"/>
  <sheetViews>
    <sheetView zoomScale="55" zoomScaleNormal="55" workbookViewId="0">
      <pane xSplit="1" ySplit="2" topLeftCell="B3" activePane="bottomRight" state="frozen"/>
      <selection/>
      <selection pane="topRight"/>
      <selection pane="bottomLeft"/>
      <selection pane="bottomRight" activeCell="J1" sqref="J$1:J$1048576"/>
    </sheetView>
  </sheetViews>
  <sheetFormatPr defaultColWidth="8.72727272727273" defaultRowHeight="14"/>
  <cols>
    <col min="1" max="1" width="6.74545454545455" customWidth="1"/>
    <col min="2" max="2" width="13.5727272727273" customWidth="1"/>
    <col min="3" max="3" width="16.3545454545455" customWidth="1"/>
    <col min="4" max="4" width="17.8545454545455" customWidth="1"/>
    <col min="5" max="5" width="12.8181818181818"/>
    <col min="7" max="7" width="17.7909090909091" customWidth="1"/>
    <col min="8" max="8" width="15.0727272727273" customWidth="1"/>
    <col min="9" max="9" width="11.1181818181818" customWidth="1"/>
    <col min="10" max="10" width="17.5272727272727" customWidth="1"/>
    <col min="11" max="16" width="16.6727272727273" customWidth="1"/>
    <col min="17" max="17" width="8.72727272727273" customWidth="1"/>
    <col min="18" max="18" width="12.8181818181818" customWidth="1"/>
    <col min="19" max="19" width="8.72727272727273" customWidth="1"/>
    <col min="20" max="21" width="10.4818181818182" customWidth="1"/>
    <col min="22" max="22" width="17.8545454545455" customWidth="1"/>
    <col min="23" max="24" width="10.4818181818182" customWidth="1"/>
    <col min="25" max="25" width="18.3454545454545" customWidth="1"/>
    <col min="27" max="27" width="12.8181818181818"/>
  </cols>
  <sheetData>
    <row r="1" s="61" customFormat="1" ht="55" customHeight="1" spans="1:25">
      <c r="A1" s="63" t="s">
        <v>2</v>
      </c>
      <c r="B1" s="63" t="s">
        <v>41</v>
      </c>
      <c r="C1" s="63" t="s">
        <v>42</v>
      </c>
      <c r="D1" s="63" t="s">
        <v>43</v>
      </c>
      <c r="E1" s="63" t="s">
        <v>44</v>
      </c>
      <c r="F1" s="63" t="s">
        <v>45</v>
      </c>
      <c r="G1" s="64" t="s">
        <v>6</v>
      </c>
      <c r="H1" s="64" t="s">
        <v>548</v>
      </c>
      <c r="I1" s="64" t="s">
        <v>8</v>
      </c>
      <c r="J1" s="64" t="s">
        <v>47</v>
      </c>
      <c r="K1" s="65" t="s">
        <v>48</v>
      </c>
      <c r="L1" s="66" t="s">
        <v>10</v>
      </c>
      <c r="M1" s="66"/>
      <c r="N1" s="66"/>
      <c r="O1" s="66"/>
      <c r="P1" s="66"/>
      <c r="Q1" s="67" t="s">
        <v>49</v>
      </c>
      <c r="R1" s="68"/>
      <c r="S1" s="69" t="s">
        <v>50</v>
      </c>
      <c r="T1" s="69" t="s">
        <v>51</v>
      </c>
      <c r="U1" s="69"/>
      <c r="V1" s="69"/>
      <c r="W1" s="69" t="s">
        <v>52</v>
      </c>
      <c r="X1" s="69"/>
      <c r="Y1" s="69"/>
    </row>
    <row r="2" s="61" customFormat="1" ht="55" customHeight="1" spans="1:25">
      <c r="A2" s="63"/>
      <c r="B2" s="63"/>
      <c r="C2" s="63"/>
      <c r="D2" s="63"/>
      <c r="E2" s="63"/>
      <c r="F2" s="63"/>
      <c r="G2" s="64"/>
      <c r="H2" s="64"/>
      <c r="I2" s="64"/>
      <c r="J2" s="64"/>
      <c r="K2" s="70"/>
      <c r="L2" s="71" t="s">
        <v>12</v>
      </c>
      <c r="M2" s="72" t="s">
        <v>13</v>
      </c>
      <c r="N2" s="72" t="s">
        <v>14</v>
      </c>
      <c r="O2" s="72" t="s">
        <v>15</v>
      </c>
      <c r="P2" s="72" t="s">
        <v>16</v>
      </c>
      <c r="Q2" s="73" t="s">
        <v>549</v>
      </c>
      <c r="R2" s="74" t="s">
        <v>56</v>
      </c>
      <c r="S2" s="75" t="s">
        <v>57</v>
      </c>
      <c r="T2" s="75" t="s">
        <v>57</v>
      </c>
      <c r="U2" s="73" t="s">
        <v>58</v>
      </c>
      <c r="V2" s="76" t="s">
        <v>59</v>
      </c>
      <c r="W2" s="75" t="s">
        <v>57</v>
      </c>
      <c r="X2" s="73" t="s">
        <v>58</v>
      </c>
      <c r="Y2" s="76" t="s">
        <v>59</v>
      </c>
    </row>
    <row r="3" s="62" customFormat="1" ht="89" customHeight="1" spans="1:25">
      <c r="A3" s="77">
        <v>1</v>
      </c>
      <c r="B3" s="77" t="s">
        <v>60</v>
      </c>
      <c r="C3" s="77" t="s">
        <v>106</v>
      </c>
      <c r="D3" s="78" t="s">
        <v>550</v>
      </c>
      <c r="E3" s="78" t="s">
        <v>551</v>
      </c>
      <c r="F3" s="77"/>
      <c r="G3" s="79">
        <v>2688100</v>
      </c>
      <c r="H3" s="77"/>
      <c r="I3" s="77"/>
      <c r="J3" s="77">
        <f>G3-I3</f>
        <v>2688100</v>
      </c>
      <c r="K3" s="77">
        <f>J3-SUM(L3:P3)</f>
        <v>0</v>
      </c>
      <c r="L3" s="77"/>
      <c r="M3" s="77">
        <v>2688100</v>
      </c>
      <c r="N3" s="77"/>
      <c r="O3" s="80"/>
      <c r="P3" s="80"/>
      <c r="Q3" s="80">
        <v>0.3</v>
      </c>
      <c r="R3" s="77">
        <f>J3*Q3</f>
        <v>806430</v>
      </c>
      <c r="S3" s="77" t="s">
        <v>83</v>
      </c>
      <c r="T3" s="81" t="s">
        <v>19</v>
      </c>
      <c r="U3" s="82">
        <v>0.7</v>
      </c>
      <c r="V3" s="81">
        <f>R3*U3</f>
        <v>564501</v>
      </c>
      <c r="W3" s="83" t="s">
        <v>20</v>
      </c>
      <c r="X3" s="84">
        <v>0.3</v>
      </c>
      <c r="Y3" s="81">
        <f>R3*X3</f>
        <v>241929</v>
      </c>
    </row>
    <row r="4" s="62" customFormat="1" ht="89" customHeight="1" spans="1:25">
      <c r="A4" s="77">
        <v>2</v>
      </c>
      <c r="B4" s="77" t="s">
        <v>74</v>
      </c>
      <c r="C4" s="77" t="s">
        <v>552</v>
      </c>
      <c r="D4" s="77" t="s">
        <v>553</v>
      </c>
      <c r="E4" s="77" t="s">
        <v>554</v>
      </c>
      <c r="F4" s="77"/>
      <c r="G4" s="79">
        <v>14703686.94</v>
      </c>
      <c r="H4" s="77"/>
      <c r="I4" s="77"/>
      <c r="J4" s="77">
        <f t="shared" ref="J4:J11" si="0">G4-I4</f>
        <v>14703686.94</v>
      </c>
      <c r="K4" s="77">
        <f t="shared" ref="K4:K10" si="1">J4-SUM(L4:P4)</f>
        <v>0</v>
      </c>
      <c r="L4" s="77"/>
      <c r="M4" s="77"/>
      <c r="N4" s="77">
        <v>14703686.94</v>
      </c>
      <c r="O4" s="80"/>
      <c r="P4" s="80"/>
      <c r="Q4" s="80">
        <v>0.4</v>
      </c>
      <c r="R4" s="77">
        <f t="shared" ref="R4:R11" si="2">J4*Q4</f>
        <v>5881474.776</v>
      </c>
      <c r="S4" s="77" t="s">
        <v>64</v>
      </c>
      <c r="T4" s="77" t="s">
        <v>35</v>
      </c>
      <c r="U4" s="80">
        <v>1</v>
      </c>
      <c r="V4" s="77">
        <f t="shared" ref="V4:V11" si="3">R4*U4</f>
        <v>5881474.776</v>
      </c>
      <c r="W4" s="77"/>
      <c r="X4" s="77"/>
      <c r="Y4" s="77"/>
    </row>
    <row r="5" s="62" customFormat="1" ht="89" customHeight="1" spans="1:25">
      <c r="A5" s="77">
        <v>3</v>
      </c>
      <c r="B5" s="77" t="s">
        <v>74</v>
      </c>
      <c r="C5" s="85" t="s">
        <v>100</v>
      </c>
      <c r="D5" s="77" t="s">
        <v>555</v>
      </c>
      <c r="E5" s="77" t="s">
        <v>556</v>
      </c>
      <c r="F5" s="77"/>
      <c r="G5" s="79">
        <v>2172000</v>
      </c>
      <c r="H5" s="77"/>
      <c r="I5" s="77"/>
      <c r="J5" s="77">
        <f t="shared" si="0"/>
        <v>2172000</v>
      </c>
      <c r="K5" s="77">
        <f t="shared" si="1"/>
        <v>0</v>
      </c>
      <c r="L5" s="77">
        <v>0</v>
      </c>
      <c r="M5" s="77">
        <v>2172000</v>
      </c>
      <c r="N5" s="77"/>
      <c r="O5" s="80"/>
      <c r="P5" s="80"/>
      <c r="Q5" s="80">
        <v>0.3</v>
      </c>
      <c r="R5" s="77">
        <f t="shared" si="2"/>
        <v>651600</v>
      </c>
      <c r="S5" s="77" t="s">
        <v>30</v>
      </c>
      <c r="T5" s="77" t="s">
        <v>31</v>
      </c>
      <c r="U5" s="80">
        <v>1</v>
      </c>
      <c r="V5" s="77">
        <f t="shared" si="3"/>
        <v>651600</v>
      </c>
      <c r="W5" s="77"/>
      <c r="X5" s="77"/>
      <c r="Y5" s="77"/>
    </row>
    <row r="6" s="62" customFormat="1" ht="89" customHeight="1" spans="1:25">
      <c r="A6" s="77">
        <v>4</v>
      </c>
      <c r="B6" s="77" t="s">
        <v>74</v>
      </c>
      <c r="C6" s="85" t="s">
        <v>100</v>
      </c>
      <c r="D6" s="77" t="s">
        <v>557</v>
      </c>
      <c r="E6" s="77" t="s">
        <v>558</v>
      </c>
      <c r="F6" s="77"/>
      <c r="G6" s="79">
        <v>2286000</v>
      </c>
      <c r="H6" s="77"/>
      <c r="I6" s="77"/>
      <c r="J6" s="77">
        <f t="shared" si="0"/>
        <v>2286000</v>
      </c>
      <c r="K6" s="77">
        <f t="shared" si="1"/>
        <v>0</v>
      </c>
      <c r="L6" s="77">
        <v>0</v>
      </c>
      <c r="M6" s="77">
        <v>2286000</v>
      </c>
      <c r="N6" s="77"/>
      <c r="O6" s="80"/>
      <c r="P6" s="80"/>
      <c r="Q6" s="80">
        <v>0.3</v>
      </c>
      <c r="R6" s="77">
        <f t="shared" si="2"/>
        <v>685800</v>
      </c>
      <c r="S6" s="77" t="s">
        <v>30</v>
      </c>
      <c r="T6" s="77" t="s">
        <v>31</v>
      </c>
      <c r="U6" s="80">
        <v>1</v>
      </c>
      <c r="V6" s="77">
        <f t="shared" si="3"/>
        <v>685800</v>
      </c>
      <c r="W6" s="77"/>
      <c r="X6" s="77"/>
      <c r="Y6" s="77"/>
    </row>
    <row r="7" s="62" customFormat="1" ht="89" customHeight="1" spans="1:25">
      <c r="A7" s="77">
        <v>5</v>
      </c>
      <c r="B7" s="77" t="s">
        <v>74</v>
      </c>
      <c r="C7" s="77" t="s">
        <v>559</v>
      </c>
      <c r="D7" s="77" t="s">
        <v>560</v>
      </c>
      <c r="E7" s="77" t="s">
        <v>561</v>
      </c>
      <c r="F7" s="77"/>
      <c r="G7" s="79">
        <v>852000</v>
      </c>
      <c r="H7" s="77"/>
      <c r="I7" s="77"/>
      <c r="J7" s="77">
        <f t="shared" si="0"/>
        <v>852000</v>
      </c>
      <c r="K7" s="77">
        <f t="shared" si="1"/>
        <v>0</v>
      </c>
      <c r="L7" s="77">
        <v>0</v>
      </c>
      <c r="M7" s="77">
        <v>852000</v>
      </c>
      <c r="N7" s="77"/>
      <c r="O7" s="80"/>
      <c r="P7" s="80"/>
      <c r="Q7" s="80">
        <v>0.3</v>
      </c>
      <c r="R7" s="77">
        <f t="shared" si="2"/>
        <v>255600</v>
      </c>
      <c r="S7" s="77" t="s">
        <v>83</v>
      </c>
      <c r="T7" s="77" t="s">
        <v>25</v>
      </c>
      <c r="U7" s="80">
        <v>1</v>
      </c>
      <c r="V7" s="77">
        <f t="shared" si="3"/>
        <v>255600</v>
      </c>
      <c r="W7" s="77"/>
      <c r="X7" s="77"/>
      <c r="Y7" s="77"/>
    </row>
    <row r="8" s="62" customFormat="1" ht="89" customHeight="1" spans="1:25">
      <c r="A8" s="77">
        <v>6</v>
      </c>
      <c r="B8" s="77" t="s">
        <v>60</v>
      </c>
      <c r="C8" s="77" t="s">
        <v>562</v>
      </c>
      <c r="D8" s="78" t="s">
        <v>563</v>
      </c>
      <c r="E8" s="78" t="s">
        <v>564</v>
      </c>
      <c r="F8" s="77"/>
      <c r="G8" s="86">
        <v>12042958</v>
      </c>
      <c r="H8" s="87"/>
      <c r="I8" s="87"/>
      <c r="J8" s="77">
        <f t="shared" si="0"/>
        <v>12042958</v>
      </c>
      <c r="K8" s="77">
        <f t="shared" si="1"/>
        <v>0</v>
      </c>
      <c r="L8" s="77"/>
      <c r="M8" s="77">
        <v>5421000</v>
      </c>
      <c r="N8" s="88">
        <v>6621958</v>
      </c>
      <c r="O8" s="88"/>
      <c r="P8" s="88"/>
      <c r="Q8" s="82">
        <v>0.2</v>
      </c>
      <c r="R8" s="77">
        <f t="shared" si="2"/>
        <v>2408591.6</v>
      </c>
      <c r="S8" s="81" t="s">
        <v>64</v>
      </c>
      <c r="T8" s="81" t="s">
        <v>36</v>
      </c>
      <c r="U8" s="82">
        <v>1</v>
      </c>
      <c r="V8" s="77">
        <f t="shared" si="3"/>
        <v>2408591.6</v>
      </c>
      <c r="W8" s="77"/>
      <c r="X8" s="77"/>
      <c r="Y8" s="77"/>
    </row>
    <row r="9" s="62" customFormat="1" ht="89" customHeight="1" spans="1:25">
      <c r="A9" s="77">
        <v>7</v>
      </c>
      <c r="B9" s="77" t="s">
        <v>60</v>
      </c>
      <c r="C9" s="83" t="s">
        <v>217</v>
      </c>
      <c r="D9" s="88" t="s">
        <v>218</v>
      </c>
      <c r="E9" s="83" t="s">
        <v>219</v>
      </c>
      <c r="F9" s="77"/>
      <c r="G9" s="88">
        <v>150000</v>
      </c>
      <c r="H9" s="88"/>
      <c r="I9" s="89"/>
      <c r="J9" s="77">
        <f t="shared" si="0"/>
        <v>150000</v>
      </c>
      <c r="K9" s="77">
        <f t="shared" si="1"/>
        <v>0</v>
      </c>
      <c r="L9" s="77"/>
      <c r="M9" s="77"/>
      <c r="N9" s="88"/>
      <c r="O9" s="88"/>
      <c r="P9" s="88">
        <v>150000</v>
      </c>
      <c r="Q9" s="82">
        <v>0.3</v>
      </c>
      <c r="R9" s="77">
        <f t="shared" si="2"/>
        <v>45000</v>
      </c>
      <c r="S9" s="81" t="s">
        <v>64</v>
      </c>
      <c r="T9" s="81" t="s">
        <v>38</v>
      </c>
      <c r="U9" s="82">
        <v>1</v>
      </c>
      <c r="V9" s="77">
        <f t="shared" si="3"/>
        <v>45000</v>
      </c>
      <c r="W9" s="77"/>
      <c r="X9" s="77"/>
      <c r="Y9" s="77"/>
    </row>
    <row r="10" s="62" customFormat="1" ht="89" customHeight="1" spans="1:25">
      <c r="A10" s="77">
        <v>8</v>
      </c>
      <c r="B10" s="77" t="s">
        <v>74</v>
      </c>
      <c r="C10" s="85" t="s">
        <v>100</v>
      </c>
      <c r="D10" s="78" t="s">
        <v>565</v>
      </c>
      <c r="E10" s="78" t="s">
        <v>566</v>
      </c>
      <c r="F10" s="77"/>
      <c r="G10" s="88">
        <v>5121000</v>
      </c>
      <c r="H10" s="77"/>
      <c r="I10" s="77"/>
      <c r="J10" s="77">
        <f t="shared" si="0"/>
        <v>5121000</v>
      </c>
      <c r="K10" s="77">
        <f t="shared" si="1"/>
        <v>0</v>
      </c>
      <c r="L10" s="77">
        <v>0</v>
      </c>
      <c r="M10" s="77">
        <v>5121000</v>
      </c>
      <c r="N10" s="77"/>
      <c r="O10" s="80"/>
      <c r="P10" s="80"/>
      <c r="Q10" s="80">
        <v>0.5</v>
      </c>
      <c r="R10" s="77">
        <f t="shared" si="2"/>
        <v>2560500</v>
      </c>
      <c r="S10" s="77" t="s">
        <v>30</v>
      </c>
      <c r="T10" s="77" t="s">
        <v>31</v>
      </c>
      <c r="U10" s="80">
        <v>1</v>
      </c>
      <c r="V10" s="77">
        <f t="shared" si="3"/>
        <v>2560500</v>
      </c>
      <c r="W10" s="77"/>
      <c r="X10" s="77"/>
      <c r="Y10" s="77"/>
    </row>
    <row r="13" spans="1:25">
      <c r="Y13" s="23"/>
    </row>
    <row r="14" spans="1:25">
      <c r="Y14" s="23"/>
    </row>
    <row r="15" spans="1:25">
      <c r="J15" s="90"/>
      <c r="Y15" s="23"/>
    </row>
  </sheetData>
  <mergeCells count="15">
    <mergeCell ref="L1:P1"/>
    <mergeCell ref="Q1:R1"/>
    <mergeCell ref="T1:V1"/>
    <mergeCell ref="W1:Y1"/>
    <mergeCell ref="A1:A2"/>
    <mergeCell ref="B1:B2"/>
    <mergeCell ref="C1:C2"/>
    <mergeCell ref="D1:D2"/>
    <mergeCell ref="E1:E2"/>
    <mergeCell ref="F1:F2"/>
    <mergeCell ref="G1:G2"/>
    <mergeCell ref="H1:H2"/>
    <mergeCell ref="I1:I2"/>
    <mergeCell ref="J1:J2"/>
    <mergeCell ref="K1:K2"/>
  </mergeCells>
  <conditionalFormatting sqref="Q9">
    <cfRule type="expression" dxfId="1" priority="1">
      <formula>Q9&lt;&gt;""</formula>
    </cfRule>
  </conditionalFormatting>
  <pageMargins left="0.75" right="0.75" top="1" bottom="1" header="0.5" footer="0.5"/>
  <pageSetup paperSize="9" orientation="portrait"/>
  <headerFooter/>
  <ignoredErrors>
    <ignoredError sqref="K3:K10" formulaRange="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workbookViewId="0">
      <selection activeCell="E3" sqref="E3"/>
    </sheetView>
  </sheetViews>
  <sheetFormatPr defaultColWidth="8.72727272727273" defaultRowHeight="14" outlineLevelCol="5"/>
  <cols>
    <col min="1" max="1" width="12.5454545454545" customWidth="1"/>
    <col min="2" max="2" width="47" style="55" customWidth="1"/>
    <col min="3" max="3" width="13.9090909090909" customWidth="1"/>
    <col min="4" max="4" width="13.8181818181818" style="58" customWidth="1"/>
    <col min="5" max="5" width="13.8181818181818" customWidth="1"/>
    <col min="6" max="6" width="12.9090909090909" customWidth="1"/>
  </cols>
  <sheetData>
    <row r="1" ht="25" customHeight="1" spans="1:6">
      <c r="A1" s="56" t="s">
        <v>567</v>
      </c>
      <c r="B1" s="56" t="s">
        <v>568</v>
      </c>
      <c r="C1" s="56" t="s">
        <v>569</v>
      </c>
      <c r="D1" s="57" t="s">
        <v>570</v>
      </c>
      <c r="E1" s="56" t="s">
        <v>571</v>
      </c>
      <c r="F1" s="56" t="s">
        <v>572</v>
      </c>
    </row>
    <row r="2" ht="30" customHeight="1" spans="1:6">
      <c r="A2" s="56" t="s">
        <v>74</v>
      </c>
      <c r="B2" s="56" t="s">
        <v>573</v>
      </c>
      <c r="C2" s="57">
        <f>(SUMIF(华东区域指挥部主办逾期!$C$3:$C$31,B2,华东区域指挥部主办逾期!$R$3:$R$31)+SUMIF(华东区域指挥协办逾期!$C$3:$C$10,B2,华东区域指挥协办逾期!$R$3:$R$10))/10000</f>
        <v>0</v>
      </c>
      <c r="D2" s="57">
        <f>(SUMIF([1]华东区域指挥部主办逾期!$C$3:$C$30,B2,[1]华东区域指挥部主办逾期!$R$3:$R$30)+SUMIF([1]华东区域指挥协办逾期!$C$3:$C$10,B2,[1]华东区域指挥协办逾期!$R$3:$R$10))/10000</f>
        <v>4426</v>
      </c>
      <c r="E2" s="57">
        <f t="shared" ref="E2:E40" si="0">SUM(C2:D2)</f>
        <v>4426</v>
      </c>
      <c r="F2" s="56">
        <f t="shared" ref="F2:F32" si="1">_xlfn.RANK.EQ(E2,$E$2:$E$40)</f>
        <v>1</v>
      </c>
    </row>
    <row r="3" ht="30" customHeight="1" spans="1:6">
      <c r="A3" s="56" t="s">
        <v>74</v>
      </c>
      <c r="B3" s="56" t="s">
        <v>109</v>
      </c>
      <c r="C3" s="57">
        <f>(SUMIF(华东区域指挥部主办逾期!$C$3:$C$31,B3,华东区域指挥部主办逾期!$R$3:$R$31)+SUMIF(华东区域指挥协办逾期!$C$3:$C$10,B3,华东区域指挥协办逾期!$R$3:$R$10))/10000</f>
        <v>2370.05</v>
      </c>
      <c r="D3" s="57">
        <f>(SUMIF([1]华东区域指挥部主办逾期!$C$3:$C$30,B3,[1]华东区域指挥部主办逾期!$R$3:$R$30)+SUMIF([1]华东区域指挥协办逾期!$C$3:$C$10,B3,[1]华东区域指挥协办逾期!$R$3:$R$10))/10000</f>
        <v>1013.45</v>
      </c>
      <c r="E3" s="57">
        <f t="shared" si="0"/>
        <v>3383.5</v>
      </c>
      <c r="F3" s="56">
        <f t="shared" si="1"/>
        <v>2</v>
      </c>
    </row>
    <row r="4" ht="30" customHeight="1" spans="1:6">
      <c r="A4" s="56" t="s">
        <v>74</v>
      </c>
      <c r="B4" s="56" t="s">
        <v>574</v>
      </c>
      <c r="C4" s="57">
        <f>(SUMIF(华东区域指挥部主办逾期!$C$3:$C$31,B4,华东区域指挥部主办逾期!$R$3:$R$31)+SUMIF(华东区域指挥协办逾期!$C$3:$C$10,B4,华东区域指挥协办逾期!$R$3:$R$10))/10000</f>
        <v>0</v>
      </c>
      <c r="D4" s="57">
        <f>(SUMIF([1]华东区域指挥部主办逾期!$C$3:$C$30,B4,[1]华东区域指挥部主办逾期!$R$3:$R$30)+SUMIF([1]华东区域指挥协办逾期!$C$3:$C$10,B4,[1]华东区域指挥协办逾期!$R$3:$R$10))/10000</f>
        <v>2989</v>
      </c>
      <c r="E4" s="57">
        <f t="shared" si="0"/>
        <v>2989</v>
      </c>
      <c r="F4" s="56">
        <f t="shared" si="1"/>
        <v>3</v>
      </c>
    </row>
    <row r="5" ht="30" customHeight="1" spans="1:6">
      <c r="A5" s="56" t="s">
        <v>74</v>
      </c>
      <c r="B5" s="56" t="s">
        <v>575</v>
      </c>
      <c r="C5" s="57">
        <f>(SUMIF(华东区域指挥部主办逾期!$C$3:$C$31,B5,华东区域指挥部主办逾期!$R$3:$R$31)+SUMIF(华东区域指挥协办逾期!$C$3:$C$10,B5,华东区域指挥协办逾期!$R$3:$R$10))/10000</f>
        <v>0</v>
      </c>
      <c r="D5" s="57">
        <f>(SUMIF([1]华东区域指挥部主办逾期!$C$3:$C$30,B5,[1]华东区域指挥部主办逾期!$R$3:$R$30)+SUMIF([1]华东区域指挥协办逾期!$C$3:$C$10,B5,[1]华东区域指挥协办逾期!$R$3:$R$10))/10000</f>
        <v>2559.2</v>
      </c>
      <c r="E5" s="57">
        <f t="shared" si="0"/>
        <v>2559.2</v>
      </c>
      <c r="F5" s="56">
        <f t="shared" si="1"/>
        <v>4</v>
      </c>
    </row>
    <row r="6" ht="30" customHeight="1" spans="1:6">
      <c r="A6" s="56" t="s">
        <v>74</v>
      </c>
      <c r="B6" s="56" t="s">
        <v>576</v>
      </c>
      <c r="C6" s="57">
        <f>(SUMIF(华东区域指挥部主办逾期!$C$3:$C$31,B6,华东区域指挥部主办逾期!$R$3:$R$31)+SUMIF(华东区域指挥协办逾期!$C$3:$C$10,B6,华东区域指挥协办逾期!$R$3:$R$10))/10000</f>
        <v>0</v>
      </c>
      <c r="D6" s="57">
        <f>(SUMIF([1]华东区域指挥部主办逾期!$C$3:$C$30,B6,[1]华东区域指挥部主办逾期!$R$3:$R$30)+SUMIF([1]华东区域指挥协办逾期!$C$3:$C$10,B6,[1]华东区域指挥协办逾期!$R$3:$R$10))/10000</f>
        <v>1191.68</v>
      </c>
      <c r="E6" s="57">
        <f t="shared" si="0"/>
        <v>1191.68</v>
      </c>
      <c r="F6" s="56">
        <f t="shared" si="1"/>
        <v>5</v>
      </c>
    </row>
    <row r="7" ht="30" customHeight="1" spans="1:6">
      <c r="A7" s="56" t="s">
        <v>74</v>
      </c>
      <c r="B7" s="56" t="s">
        <v>577</v>
      </c>
      <c r="C7" s="57">
        <f>(SUMIF(华东区域指挥部主办逾期!$C$3:$C$31,B7,华东区域指挥部主办逾期!$R$3:$R$31)+SUMIF(华东区域指挥协办逾期!$C$3:$C$10,B7,华东区域指挥协办逾期!$R$3:$R$10))/10000</f>
        <v>0</v>
      </c>
      <c r="D7" s="57">
        <f>(SUMIF([1]华东区域指挥部主办逾期!$C$3:$C$30,B7,[1]华东区域指挥部主办逾期!$R$3:$R$30)+SUMIF([1]华东区域指挥协办逾期!$C$3:$C$10,B7,[1]华东区域指挥协办逾期!$R$3:$R$10))/10000</f>
        <v>925.643</v>
      </c>
      <c r="E7" s="57">
        <f t="shared" si="0"/>
        <v>925.643</v>
      </c>
      <c r="F7" s="56">
        <f t="shared" si="1"/>
        <v>8</v>
      </c>
    </row>
    <row r="8" ht="30" customHeight="1" spans="1:6">
      <c r="A8" s="56" t="s">
        <v>60</v>
      </c>
      <c r="B8" s="56" t="s">
        <v>61</v>
      </c>
      <c r="C8" s="57">
        <f>(SUMIF(华东区域指挥部主办逾期!$C$3:$C$31,B8,华东区域指挥部主办逾期!$R$3:$R$31)+SUMIF(华东区域指挥协办逾期!$C$3:$C$10,B8,华东区域指挥协办逾期!$R$3:$R$10))/10000</f>
        <v>1037.6551</v>
      </c>
      <c r="D8" s="57">
        <f>(SUMIF([1]华东区域指挥部主办逾期!$C$3:$C$30,B8,[1]华东区域指挥部主办逾期!$R$3:$R$30)+SUMIF([1]华东区域指挥协办逾期!$C$3:$C$10,B8,[1]华东区域指挥协办逾期!$R$3:$R$10))/10000</f>
        <v>0</v>
      </c>
      <c r="E8" s="57">
        <f t="shared" si="0"/>
        <v>1037.6551</v>
      </c>
      <c r="F8" s="56">
        <f t="shared" si="1"/>
        <v>6</v>
      </c>
    </row>
    <row r="9" ht="30" customHeight="1" spans="1:6">
      <c r="A9" s="56" t="s">
        <v>60</v>
      </c>
      <c r="B9" s="56" t="s">
        <v>71</v>
      </c>
      <c r="C9" s="57">
        <f>(SUMIF(华东区域指挥部主办逾期!$C$3:$C$31,B9,华东区域指挥部主办逾期!$R$3:$R$31)+SUMIF(华东区域指挥协办逾期!$C$3:$C$10,B9,华东区域指挥协办逾期!$R$3:$R$10))/10000</f>
        <v>442.9554</v>
      </c>
      <c r="D9" s="57">
        <f>(SUMIF([1]华东区域指挥部主办逾期!$C$3:$C$30,B9,[1]华东区域指挥部主办逾期!$R$3:$R$30)+SUMIF([1]华东区域指挥协办逾期!$C$3:$C$10,B9,[1]华东区域指挥协办逾期!$R$3:$R$10))/10000</f>
        <v>543.1155</v>
      </c>
      <c r="E9" s="57">
        <f t="shared" si="0"/>
        <v>986.0709</v>
      </c>
      <c r="F9" s="56">
        <f t="shared" si="1"/>
        <v>7</v>
      </c>
    </row>
    <row r="10" ht="30" customHeight="1" spans="1:6">
      <c r="A10" s="56" t="s">
        <v>74</v>
      </c>
      <c r="B10" s="56" t="s">
        <v>578</v>
      </c>
      <c r="C10" s="57">
        <f>(SUMIF(华东区域指挥部主办逾期!$C$3:$C$31,B10,华东区域指挥部主办逾期!$R$3:$R$31)+SUMIF(华东区域指挥协办逾期!$C$3:$C$10,B10,华东区域指挥协办逾期!$R$3:$R$10))/10000</f>
        <v>0</v>
      </c>
      <c r="D10" s="57">
        <f>(SUMIF([1]华东区域指挥部主办逾期!$C$3:$C$30,B10,[1]华东区域指挥部主办逾期!$R$3:$R$30)+SUMIF([1]华东区域指挥协办逾期!$C$3:$C$10,B10,[1]华东区域指挥协办逾期!$R$3:$R$10))/10000</f>
        <v>858.9978</v>
      </c>
      <c r="E10" s="57">
        <f t="shared" si="0"/>
        <v>858.9978</v>
      </c>
      <c r="F10" s="56">
        <f t="shared" si="1"/>
        <v>9</v>
      </c>
    </row>
    <row r="11" ht="30" customHeight="1" spans="1:6">
      <c r="A11" s="56" t="s">
        <v>74</v>
      </c>
      <c r="B11" s="56" t="s">
        <v>559</v>
      </c>
      <c r="C11" s="57">
        <f>(SUMIF(华东区域指挥部主办逾期!$C$3:$C$31,B11,华东区域指挥部主办逾期!$R$3:$R$31)+SUMIF(华东区域指挥协办逾期!$C$3:$C$10,B11,华东区域指挥协办逾期!$R$3:$R$10))/10000</f>
        <v>25.56</v>
      </c>
      <c r="D11" s="57">
        <f>(SUMIF([1]华东区域指挥部主办逾期!$C$3:$C$30,B11,[1]华东区域指挥部主办逾期!$R$3:$R$30)+SUMIF([1]华东区域指挥协办逾期!$C$3:$C$10,B11,[1]华东区域指挥协办逾期!$R$3:$R$10))/10000</f>
        <v>710.76</v>
      </c>
      <c r="E11" s="57">
        <f t="shared" si="0"/>
        <v>736.32</v>
      </c>
      <c r="F11" s="56">
        <f t="shared" si="1"/>
        <v>10</v>
      </c>
    </row>
    <row r="12" ht="30" customHeight="1" spans="1:6">
      <c r="A12" s="56" t="s">
        <v>74</v>
      </c>
      <c r="B12" s="56" t="s">
        <v>552</v>
      </c>
      <c r="C12" s="57">
        <f>(SUMIF(华东区域指挥部主办逾期!$C$3:$C$31,B12,华东区域指挥部主办逾期!$R$3:$R$31)+SUMIF(华东区域指挥协办逾期!$C$3:$C$10,B12,华东区域指挥协办逾期!$R$3:$R$10))/10000</f>
        <v>588.1474776</v>
      </c>
      <c r="D12" s="57">
        <f>(SUMIF([1]华东区域指挥部主办逾期!$C$3:$C$30,B12,[1]华东区域指挥部主办逾期!$R$3:$R$30)+SUMIF([1]华东区域指挥协办逾期!$C$3:$C$10,B12,[1]华东区域指挥协办逾期!$R$3:$R$10))/10000</f>
        <v>0</v>
      </c>
      <c r="E12" s="57">
        <f t="shared" si="0"/>
        <v>588.1474776</v>
      </c>
      <c r="F12" s="56">
        <f t="shared" si="1"/>
        <v>11</v>
      </c>
    </row>
    <row r="13" ht="30" customHeight="1" spans="1:6">
      <c r="A13" s="56" t="s">
        <v>74</v>
      </c>
      <c r="B13" s="56" t="s">
        <v>579</v>
      </c>
      <c r="C13" s="57">
        <f>(SUMIF(华东区域指挥部主办逾期!$C$3:$C$31,B13,华东区域指挥部主办逾期!$R$3:$R$31)+SUMIF(华东区域指挥协办逾期!$C$3:$C$10,B13,华东区域指挥协办逾期!$R$3:$R$10))/10000</f>
        <v>0</v>
      </c>
      <c r="D13" s="57">
        <f>(SUMIF([1]华东区域指挥部主办逾期!$C$3:$C$30,B13,[1]华东区域指挥部主办逾期!$R$3:$R$30)+SUMIF([1]华东区域指挥协办逾期!$C$3:$C$10,B13,[1]华东区域指挥协办逾期!$R$3:$R$10))/10000</f>
        <v>560.15008</v>
      </c>
      <c r="E13" s="57">
        <f t="shared" si="0"/>
        <v>560.15008</v>
      </c>
      <c r="F13" s="56">
        <f t="shared" si="1"/>
        <v>12</v>
      </c>
    </row>
    <row r="14" ht="30" customHeight="1" spans="1:6">
      <c r="A14" s="56" t="s">
        <v>74</v>
      </c>
      <c r="B14" s="56" t="s">
        <v>100</v>
      </c>
      <c r="C14" s="57">
        <f>(SUMIF(华东区域指挥部主办逾期!$C$3:$C$31,B14,华东区域指挥部主办逾期!$R$3:$R$31)+SUMIF(华东区域指挥协办逾期!$C$3:$C$10,B14,华东区域指挥协办逾期!$R$3:$R$10))/10000</f>
        <v>520.09</v>
      </c>
      <c r="D14" s="57">
        <f>(SUMIF([1]华东区域指挥部主办逾期!$C$3:$C$30,B14,[1]华东区域指挥部主办逾期!$R$3:$R$30)+SUMIF([1]华东区域指挥协办逾期!$C$3:$C$10,B14,[1]华东区域指挥协办逾期!$R$3:$R$10))/10000</f>
        <v>12.7</v>
      </c>
      <c r="E14" s="57">
        <f t="shared" si="0"/>
        <v>532.79</v>
      </c>
      <c r="F14" s="56">
        <f t="shared" si="1"/>
        <v>13</v>
      </c>
    </row>
    <row r="15" ht="30" customHeight="1" spans="1:6">
      <c r="A15" s="56" t="s">
        <v>74</v>
      </c>
      <c r="B15" s="56" t="s">
        <v>580</v>
      </c>
      <c r="C15" s="57">
        <f>(SUMIF(华东区域指挥部主办逾期!$C$3:$C$31,B15,华东区域指挥部主办逾期!$R$3:$R$31)+SUMIF(华东区域指挥协办逾期!$C$3:$C$10,B15,华东区域指挥协办逾期!$R$3:$R$10))/10000</f>
        <v>0</v>
      </c>
      <c r="D15" s="57">
        <f>(SUMIF([1]华东区域指挥部主办逾期!$C$3:$C$30,B15,[1]华东区域指挥部主办逾期!$R$3:$R$30)+SUMIF([1]华东区域指挥协办逾期!$C$3:$C$10,B15,[1]华东区域指挥协办逾期!$R$3:$R$10))/10000</f>
        <v>0</v>
      </c>
      <c r="E15" s="57">
        <f t="shared" si="0"/>
        <v>0</v>
      </c>
      <c r="F15" s="56">
        <f t="shared" si="1"/>
        <v>35</v>
      </c>
    </row>
    <row r="16" ht="30" customHeight="1" spans="1:6">
      <c r="A16" s="56" t="s">
        <v>74</v>
      </c>
      <c r="B16" s="56" t="s">
        <v>75</v>
      </c>
      <c r="C16" s="57">
        <f>(SUMIF(华东区域指挥部主办逾期!$C$3:$C$31,B16,华东区域指挥部主办逾期!$R$3:$R$31)+SUMIF(华东区域指挥协办逾期!$C$3:$C$10,B16,华东区域指挥协办逾期!$R$3:$R$10))/10000</f>
        <v>62.45232</v>
      </c>
      <c r="D16" s="57">
        <f>(SUMIF([1]华东区域指挥部主办逾期!$C$3:$C$30,B16,[1]华东区域指挥部主办逾期!$R$3:$R$30)+SUMIF([1]华东区域指挥协办逾期!$C$3:$C$10,B16,[1]华东区域指挥协办逾期!$R$3:$R$10))/10000</f>
        <v>335.24442</v>
      </c>
      <c r="E16" s="57">
        <f t="shared" si="0"/>
        <v>397.69674</v>
      </c>
      <c r="F16" s="56">
        <f t="shared" si="1"/>
        <v>14</v>
      </c>
    </row>
    <row r="17" ht="30" customHeight="1" spans="1:6">
      <c r="A17" s="56" t="s">
        <v>74</v>
      </c>
      <c r="B17" s="56" t="s">
        <v>84</v>
      </c>
      <c r="C17" s="57">
        <f>(SUMIF(华东区域指挥部主办逾期!$C$3:$C$31,B17,华东区域指挥部主办逾期!$R$3:$R$31)+SUMIF(华东区域指挥协办逾期!$C$3:$C$10,B17,华东区域指挥协办逾期!$R$3:$R$10))/10000</f>
        <v>269.78</v>
      </c>
      <c r="D17" s="57">
        <f>(SUMIF([1]华东区域指挥部主办逾期!$C$3:$C$30,B17,[1]华东区域指挥部主办逾期!$R$3:$R$30)+SUMIF([1]华东区域指挥协办逾期!$C$3:$C$10,B17,[1]华东区域指挥协办逾期!$R$3:$R$10))/10000</f>
        <v>73.5</v>
      </c>
      <c r="E17" s="57">
        <f t="shared" si="0"/>
        <v>343.28</v>
      </c>
      <c r="F17" s="56">
        <f t="shared" si="1"/>
        <v>15</v>
      </c>
    </row>
    <row r="18" ht="30" customHeight="1" spans="1:6">
      <c r="A18" s="56" t="s">
        <v>74</v>
      </c>
      <c r="B18" s="56" t="s">
        <v>581</v>
      </c>
      <c r="C18" s="57">
        <f>(SUMIF(华东区域指挥部主办逾期!$C$3:$C$31,B18,华东区域指挥部主办逾期!$R$3:$R$31)+SUMIF(华东区域指挥协办逾期!$C$3:$C$10,B18,华东区域指挥协办逾期!$R$3:$R$10))/10000</f>
        <v>0</v>
      </c>
      <c r="D18" s="57">
        <f>(SUMIF([1]华东区域指挥部主办逾期!$C$3:$C$30,B18,[1]华东区域指挥部主办逾期!$R$3:$R$30)+SUMIF([1]华东区域指挥协办逾期!$C$3:$C$10,B18,[1]华东区域指挥协办逾期!$R$3:$R$10))/10000</f>
        <v>329.1</v>
      </c>
      <c r="E18" s="57">
        <f t="shared" si="0"/>
        <v>329.1</v>
      </c>
      <c r="F18" s="56">
        <f t="shared" si="1"/>
        <v>16</v>
      </c>
    </row>
    <row r="19" ht="30" customHeight="1" spans="1:6">
      <c r="A19" s="56" t="s">
        <v>74</v>
      </c>
      <c r="B19" s="56" t="s">
        <v>112</v>
      </c>
      <c r="C19" s="57">
        <f>(SUMIF(华东区域指挥部主办逾期!$C$3:$C$31,B19,华东区域指挥部主办逾期!$R$3:$R$31)+SUMIF(华东区域指挥协办逾期!$C$3:$C$10,B19,华东区域指挥协办逾期!$R$3:$R$10))/10000</f>
        <v>0</v>
      </c>
      <c r="D19" s="57">
        <f>(SUMIF([1]华东区域指挥部主办逾期!$C$3:$C$30,B19,[1]华东区域指挥部主办逾期!$R$3:$R$30)+SUMIF([1]华东区域指挥协办逾期!$C$3:$C$10,B19,[1]华东区域指挥协办逾期!$R$3:$R$10))/10000</f>
        <v>304.38149</v>
      </c>
      <c r="E19" s="57">
        <f t="shared" si="0"/>
        <v>304.38149</v>
      </c>
      <c r="F19" s="56">
        <f t="shared" si="1"/>
        <v>17</v>
      </c>
    </row>
    <row r="20" ht="30" customHeight="1" spans="1:6">
      <c r="A20" s="56" t="s">
        <v>60</v>
      </c>
      <c r="B20" s="56" t="s">
        <v>68</v>
      </c>
      <c r="C20" s="57">
        <f>(SUMIF(华东区域指挥部主办逾期!$C$3:$C$31,B20,华东区域指挥部主办逾期!$R$3:$R$31)+SUMIF(华东区域指挥协办逾期!$C$3:$C$10,B20,华东区域指挥协办逾期!$R$3:$R$10))/10000</f>
        <v>275.195885200001</v>
      </c>
      <c r="D20" s="57">
        <f>(SUMIF([1]华东区域指挥部主办逾期!$C$3:$C$30,B20,[1]华东区域指挥部主办逾期!$R$3:$R$30)+SUMIF([1]华东区域指挥协办逾期!$C$3:$C$10,B20,[1]华东区域指挥协办逾期!$R$3:$R$10))/10000</f>
        <v>0</v>
      </c>
      <c r="E20" s="57">
        <f t="shared" si="0"/>
        <v>275.195885200001</v>
      </c>
      <c r="F20" s="56">
        <f t="shared" si="1"/>
        <v>18</v>
      </c>
    </row>
    <row r="21" ht="30" customHeight="1" spans="1:6">
      <c r="A21" s="56" t="s">
        <v>60</v>
      </c>
      <c r="B21" s="56" t="s">
        <v>562</v>
      </c>
      <c r="C21" s="57">
        <f>(SUMIF(华东区域指挥部主办逾期!$C$3:$C$31,B21,华东区域指挥部主办逾期!$R$3:$R$31)+SUMIF(华东区域指挥协办逾期!$C$3:$C$10,B21,华东区域指挥协办逾期!$R$3:$R$10))/10000</f>
        <v>240.85916</v>
      </c>
      <c r="D21" s="57">
        <f>(SUMIF([1]华东区域指挥部主办逾期!$C$3:$C$30,B21,[1]华东区域指挥部主办逾期!$R$3:$R$30)+SUMIF([1]华东区域指挥协办逾期!$C$3:$C$10,B21,[1]华东区域指挥协办逾期!$R$3:$R$10))/10000</f>
        <v>0</v>
      </c>
      <c r="E21" s="57">
        <f t="shared" si="0"/>
        <v>240.85916</v>
      </c>
      <c r="F21" s="56">
        <f t="shared" si="1"/>
        <v>19</v>
      </c>
    </row>
    <row r="22" ht="30" customHeight="1" spans="1:6">
      <c r="A22" s="56" t="s">
        <v>74</v>
      </c>
      <c r="B22" s="56" t="s">
        <v>130</v>
      </c>
      <c r="C22" s="57">
        <f>(SUMIF(华东区域指挥部主办逾期!$C$3:$C$31,B22,华东区域指挥部主办逾期!$R$3:$R$31)+SUMIF(华东区域指挥协办逾期!$C$3:$C$10,B22,华东区域指挥协办逾期!$R$3:$R$10))/10000</f>
        <v>193.899895</v>
      </c>
      <c r="D22" s="57">
        <f>(SUMIF([1]华东区域指挥部主办逾期!$C$3:$C$30,B22,[1]华东区域指挥部主办逾期!$R$3:$R$30)+SUMIF([1]华东区域指挥协办逾期!$C$3:$C$10,B22,[1]华东区域指挥协办逾期!$R$3:$R$10))/10000</f>
        <v>0</v>
      </c>
      <c r="E22" s="57">
        <f t="shared" si="0"/>
        <v>193.899895</v>
      </c>
      <c r="F22" s="56">
        <f t="shared" si="1"/>
        <v>20</v>
      </c>
    </row>
    <row r="23" ht="30" customHeight="1" spans="1:6">
      <c r="A23" s="56" t="s">
        <v>60</v>
      </c>
      <c r="B23" s="56" t="s">
        <v>106</v>
      </c>
      <c r="C23" s="57">
        <f>(SUMIF(华东区域指挥部主办逾期!$C$3:$C$31,B23,华东区域指挥部主办逾期!$R$3:$R$31)+SUMIF(华东区域指挥协办逾期!$C$3:$C$10,B23,华东区域指挥协办逾期!$R$3:$R$10))/10000</f>
        <v>80.643</v>
      </c>
      <c r="D23" s="57">
        <f>(SUMIF([1]华东区域指挥部主办逾期!$C$3:$C$30,B23,[1]华东区域指挥部主办逾期!$R$3:$R$30)+SUMIF([1]华东区域指挥协办逾期!$C$3:$C$10,B23,[1]华东区域指挥协办逾期!$R$3:$R$10))/10000</f>
        <v>98</v>
      </c>
      <c r="E23" s="57">
        <f t="shared" si="0"/>
        <v>178.643</v>
      </c>
      <c r="F23" s="56">
        <f t="shared" si="1"/>
        <v>21</v>
      </c>
    </row>
    <row r="24" ht="30" customHeight="1" spans="1:6">
      <c r="A24" s="56" t="s">
        <v>60</v>
      </c>
      <c r="B24" s="56" t="s">
        <v>87</v>
      </c>
      <c r="C24" s="57">
        <f>(SUMIF(华东区域指挥部主办逾期!$C$3:$C$31,B24,华东区域指挥部主办逾期!$R$3:$R$31)+SUMIF(华东区域指挥协办逾期!$C$3:$C$10,B24,华东区域指挥协办逾期!$R$3:$R$10))/10000</f>
        <v>55.88</v>
      </c>
      <c r="D24" s="57">
        <f>(SUMIF([1]华东区域指挥部主办逾期!$C$3:$C$30,B24,[1]华东区域指挥部主办逾期!$R$3:$R$30)+SUMIF([1]华东区域指挥协办逾期!$C$3:$C$10,B24,[1]华东区域指挥协办逾期!$R$3:$R$10))/10000</f>
        <v>0</v>
      </c>
      <c r="E24" s="57">
        <f t="shared" si="0"/>
        <v>55.88</v>
      </c>
      <c r="F24" s="56">
        <f t="shared" si="1"/>
        <v>27</v>
      </c>
    </row>
    <row r="25" ht="30" customHeight="1" spans="1:6">
      <c r="A25" s="56" t="s">
        <v>74</v>
      </c>
      <c r="B25" s="56" t="s">
        <v>582</v>
      </c>
      <c r="C25" s="57">
        <f>(SUMIF(华东区域指挥部主办逾期!$C$3:$C$31,B25,华东区域指挥部主办逾期!$R$3:$R$31)+SUMIF(华东区域指挥协办逾期!$C$3:$C$10,B25,华东区域指挥协办逾期!$R$3:$R$10))/10000</f>
        <v>0</v>
      </c>
      <c r="D25" s="57">
        <f>(SUMIF([1]华东区域指挥部主办逾期!$C$3:$C$30,B25,[1]华东区域指挥部主办逾期!$R$3:$R$30)+SUMIF([1]华东区域指挥协办逾期!$C$3:$C$10,B25,[1]华东区域指挥协办逾期!$R$3:$R$10))/10000</f>
        <v>98.784</v>
      </c>
      <c r="E25" s="57">
        <f t="shared" si="0"/>
        <v>98.784</v>
      </c>
      <c r="F25" s="56">
        <f t="shared" si="1"/>
        <v>22</v>
      </c>
    </row>
    <row r="26" ht="30" customHeight="1" spans="1:6">
      <c r="A26" s="56" t="s">
        <v>60</v>
      </c>
      <c r="B26" s="56" t="s">
        <v>65</v>
      </c>
      <c r="C26" s="57">
        <f>(SUMIF(华东区域指挥部主办逾期!$C$3:$C$31,B26,华东区域指挥部主办逾期!$R$3:$R$31)+SUMIF(华东区域指挥协办逾期!$C$3:$C$10,B26,华东区域指挥协办逾期!$R$3:$R$10))/10000</f>
        <v>98.15001</v>
      </c>
      <c r="D26" s="57">
        <f>(SUMIF([1]华东区域指挥部主办逾期!$C$3:$C$30,B26,[1]华东区域指挥部主办逾期!$R$3:$R$30)+SUMIF([1]华东区域指挥协办逾期!$C$3:$C$10,B26,[1]华东区域指挥协办逾期!$R$3:$R$10))/10000</f>
        <v>0</v>
      </c>
      <c r="E26" s="57">
        <f t="shared" si="0"/>
        <v>98.15001</v>
      </c>
      <c r="F26" s="56">
        <f t="shared" si="1"/>
        <v>23</v>
      </c>
    </row>
    <row r="27" ht="29" customHeight="1" spans="1:6">
      <c r="A27" s="56" t="s">
        <v>74</v>
      </c>
      <c r="B27" s="56" t="s">
        <v>126</v>
      </c>
      <c r="C27" s="57">
        <f>(SUMIF(华东区域指挥部主办逾期!$C$3:$C$31,B27,华东区域指挥部主办逾期!$R$3:$R$31)+SUMIF(华东区域指挥协办逾期!$C$3:$C$10,B27,华东区域指挥协办逾期!$R$3:$R$10))/10000</f>
        <v>87.472</v>
      </c>
      <c r="D27" s="57">
        <f>(SUMIF([1]华东区域指挥部主办逾期!$C$3:$C$30,B27,[1]华东区域指挥部主办逾期!$R$3:$R$30)+SUMIF([1]华东区域指挥协办逾期!$C$3:$C$10,B27,[1]华东区域指挥协办逾期!$R$3:$R$10))/10000</f>
        <v>0</v>
      </c>
      <c r="E27" s="57">
        <f t="shared" si="0"/>
        <v>87.472</v>
      </c>
      <c r="F27" s="56">
        <f t="shared" si="1"/>
        <v>24</v>
      </c>
    </row>
    <row r="28" ht="30" customHeight="1" spans="1:6">
      <c r="A28" s="56" t="s">
        <v>74</v>
      </c>
      <c r="B28" s="56" t="s">
        <v>80</v>
      </c>
      <c r="C28" s="57">
        <f>(SUMIF(华东区域指挥部主办逾期!$C$3:$C$31,B28,华东区域指挥部主办逾期!$R$3:$R$31)+SUMIF(华东区域指挥协办逾期!$C$3:$C$10,B28,华东区域指挥协办逾期!$R$3:$R$10))/10000</f>
        <v>86.94</v>
      </c>
      <c r="D28" s="57">
        <f>(SUMIF([1]华东区域指挥部主办逾期!$C$3:$C$30,B28,[1]华东区域指挥部主办逾期!$R$3:$R$30)+SUMIF([1]华东区域指挥协办逾期!$C$3:$C$10,B28,[1]华东区域指挥协办逾期!$R$3:$R$10))/10000</f>
        <v>0</v>
      </c>
      <c r="E28" s="57">
        <f t="shared" si="0"/>
        <v>86.94</v>
      </c>
      <c r="F28" s="56">
        <f t="shared" si="1"/>
        <v>25</v>
      </c>
    </row>
    <row r="29" ht="30" customHeight="1" spans="1:6">
      <c r="A29" s="56" t="s">
        <v>74</v>
      </c>
      <c r="B29" s="56" t="s">
        <v>583</v>
      </c>
      <c r="C29" s="57">
        <f>(SUMIF(华东区域指挥部主办逾期!$C$3:$C$31,B29,华东区域指挥部主办逾期!$R$3:$R$31)+SUMIF(华东区域指挥协办逾期!$C$3:$C$10,B29,华东区域指挥协办逾期!$R$3:$R$10))/10000</f>
        <v>0</v>
      </c>
      <c r="D29" s="57">
        <f>(SUMIF([1]华东区域指挥部主办逾期!$C$3:$C$30,B29,[1]华东区域指挥部主办逾期!$R$3:$R$30)+SUMIF([1]华东区域指挥协办逾期!$C$3:$C$10,B29,[1]华东区域指挥协办逾期!$R$3:$R$10))/10000</f>
        <v>86.81708</v>
      </c>
      <c r="E29" s="57">
        <f t="shared" si="0"/>
        <v>86.81708</v>
      </c>
      <c r="F29" s="56">
        <f t="shared" si="1"/>
        <v>26</v>
      </c>
    </row>
    <row r="30" ht="30" customHeight="1" spans="1:6">
      <c r="A30" s="56" t="s">
        <v>74</v>
      </c>
      <c r="B30" s="56" t="s">
        <v>97</v>
      </c>
      <c r="C30" s="57">
        <f>(SUMIF(华东区域指挥部主办逾期!$C$3:$C$31,B30,华东区域指挥部主办逾期!$R$3:$R$31)+SUMIF(华东区域指挥协办逾期!$C$3:$C$10,B30,华东区域指挥协办逾期!$R$3:$R$10))/10000</f>
        <v>55.8</v>
      </c>
      <c r="D30" s="57">
        <f>(SUMIF([1]华东区域指挥部主办逾期!$C$3:$C$30,B30,[1]华东区域指挥部主办逾期!$R$3:$R$30)+SUMIF([1]华东区域指挥协办逾期!$C$3:$C$10,B30,[1]华东区域指挥协办逾期!$R$3:$R$10))/10000</f>
        <v>0</v>
      </c>
      <c r="E30" s="57">
        <f t="shared" si="0"/>
        <v>55.8</v>
      </c>
      <c r="F30" s="56">
        <f t="shared" si="1"/>
        <v>28</v>
      </c>
    </row>
    <row r="31" ht="30" customHeight="1" spans="1:6">
      <c r="A31" s="56" t="s">
        <v>74</v>
      </c>
      <c r="B31" s="56" t="s">
        <v>584</v>
      </c>
      <c r="C31" s="57">
        <f>(SUMIF(华东区域指挥部主办逾期!$C$3:$C$31,B31,华东区域指挥部主办逾期!$R$3:$R$31)+SUMIF(华东区域指挥协办逾期!$C$3:$C$10,B31,华东区域指挥协办逾期!$R$3:$R$10))/10000</f>
        <v>0</v>
      </c>
      <c r="D31" s="57">
        <f>(SUMIF([1]华东区域指挥部主办逾期!$C$3:$C$30,B31,[1]华东区域指挥部主办逾期!$R$3:$R$30)+SUMIF([1]华东区域指挥协办逾期!$C$3:$C$10,B31,[1]华东区域指挥协办逾期!$R$3:$R$10))/10000</f>
        <v>0</v>
      </c>
      <c r="E31" s="57">
        <f t="shared" si="0"/>
        <v>0</v>
      </c>
      <c r="F31" s="56">
        <f t="shared" si="1"/>
        <v>35</v>
      </c>
    </row>
    <row r="32" ht="30" customHeight="1" spans="1:6">
      <c r="A32" s="56" t="s">
        <v>74</v>
      </c>
      <c r="B32" s="56" t="s">
        <v>585</v>
      </c>
      <c r="C32" s="57">
        <f>(SUMIF(华东区域指挥部主办逾期!$C$3:$C$31,B32,华东区域指挥部主办逾期!$R$3:$R$31)+SUMIF(华东区域指挥协办逾期!$C$3:$C$10,B32,华东区域指挥协办逾期!$R$3:$R$10))/10000</f>
        <v>0</v>
      </c>
      <c r="D32" s="57">
        <f>(SUMIF([1]华东区域指挥部主办逾期!$C$3:$C$30,B32,[1]华东区域指挥部主办逾期!$R$3:$R$30)+SUMIF([1]华东区域指挥协办逾期!$C$3:$C$10,B32,[1]华东区域指挥协办逾期!$R$3:$R$10))/10000</f>
        <v>47.4109</v>
      </c>
      <c r="E32" s="57">
        <f t="shared" si="0"/>
        <v>47.4109</v>
      </c>
      <c r="F32" s="56">
        <f t="shared" si="1"/>
        <v>29</v>
      </c>
    </row>
    <row r="33" ht="30" customHeight="1" spans="1:6">
      <c r="A33" s="56" t="s">
        <v>60</v>
      </c>
      <c r="B33" s="56" t="s">
        <v>586</v>
      </c>
      <c r="C33" s="57">
        <f>(SUMIF(华东区域指挥部主办逾期!$C$3:$C$31,B33,华东区域指挥部主办逾期!$R$3:$R$31)+SUMIF(华东区域指挥协办逾期!$C$3:$C$10,B33,华东区域指挥协办逾期!$R$3:$R$10))/10000</f>
        <v>0</v>
      </c>
      <c r="D33" s="57">
        <f>(SUMIF([1]华东区域指挥部主办逾期!$C$3:$C$30,B33,[1]华东区域指挥部主办逾期!$R$3:$R$30)+SUMIF([1]华东区域指挥协办逾期!$C$3:$C$10,B33,[1]华东区域指挥协办逾期!$R$3:$R$10))/10000</f>
        <v>46.5</v>
      </c>
      <c r="E33" s="57">
        <f t="shared" si="0"/>
        <v>46.5</v>
      </c>
      <c r="F33" s="56">
        <f t="shared" ref="F33:F40" si="2">_xlfn.RANK.EQ(E33,$E$2:$E$40)</f>
        <v>30</v>
      </c>
    </row>
    <row r="34" ht="30" customHeight="1" spans="1:6">
      <c r="A34" s="56" t="s">
        <v>74</v>
      </c>
      <c r="B34" s="56" t="s">
        <v>103</v>
      </c>
      <c r="C34" s="57">
        <f>(SUMIF(华东区域指挥部主办逾期!$C$3:$C$31,B34,华东区域指挥部主办逾期!$R$3:$R$31)+SUMIF(华东区域指挥协办逾期!$C$3:$C$10,B34,华东区域指挥协办逾期!$R$3:$R$10))/10000</f>
        <v>35.28</v>
      </c>
      <c r="D34" s="57">
        <f>(SUMIF([1]华东区域指挥部主办逾期!$C$3:$C$30,B34,[1]华东区域指挥部主办逾期!$R$3:$R$30)+SUMIF([1]华东区域指挥协办逾期!$C$3:$C$10,B34,[1]华东区域指挥协办逾期!$R$3:$R$10))/10000</f>
        <v>0</v>
      </c>
      <c r="E34" s="57">
        <f t="shared" si="0"/>
        <v>35.28</v>
      </c>
      <c r="F34" s="56">
        <f t="shared" si="2"/>
        <v>31</v>
      </c>
    </row>
    <row r="35" ht="30" customHeight="1" spans="1:6">
      <c r="A35" s="56" t="s">
        <v>74</v>
      </c>
      <c r="B35" s="56" t="s">
        <v>115</v>
      </c>
      <c r="C35" s="57">
        <f>(SUMIF(华东区域指挥部主办逾期!$C$3:$C$31,B35,华东区域指挥部主办逾期!$R$3:$R$31)+SUMIF(华东区域指挥协办逾期!$C$3:$C$10,B35,华东区域指挥协办逾期!$R$3:$R$10))/10000</f>
        <v>9</v>
      </c>
      <c r="D35" s="57">
        <f>(SUMIF([1]华东区域指挥部主办逾期!$C$3:$C$30,B35,[1]华东区域指挥部主办逾期!$R$3:$R$30)+SUMIF([1]华东区域指挥协办逾期!$C$3:$C$10,B35,[1]华东区域指挥协办逾期!$R$3:$R$10))/10000</f>
        <v>0</v>
      </c>
      <c r="E35" s="57">
        <f t="shared" si="0"/>
        <v>9</v>
      </c>
      <c r="F35" s="56">
        <f t="shared" si="2"/>
        <v>32</v>
      </c>
    </row>
    <row r="36" ht="30" customHeight="1" spans="1:6">
      <c r="A36" s="56" t="s">
        <v>60</v>
      </c>
      <c r="B36" s="56" t="s">
        <v>118</v>
      </c>
      <c r="C36" s="57">
        <f>(SUMIF(华东区域指挥部主办逾期!$C$3:$C$31,B36,华东区域指挥部主办逾期!$R$3:$R$31)+SUMIF(华东区域指挥协办逾期!$C$3:$C$10,B36,华东区域指挥协办逾期!$R$3:$R$10))/10000</f>
        <v>6.12408</v>
      </c>
      <c r="D36" s="57">
        <f>(SUMIF([1]华东区域指挥部主办逾期!$C$3:$C$30,B36,[1]华东区域指挥部主办逾期!$R$3:$R$30)+SUMIF([1]华东区域指挥协办逾期!$C$3:$C$10,B36,[1]华东区域指挥协办逾期!$R$3:$R$10))/10000</f>
        <v>0</v>
      </c>
      <c r="E36" s="57">
        <f t="shared" si="0"/>
        <v>6.12408</v>
      </c>
      <c r="F36" s="56">
        <f t="shared" si="2"/>
        <v>33</v>
      </c>
    </row>
    <row r="37" ht="30" customHeight="1" spans="1:6">
      <c r="A37" s="56" t="s">
        <v>60</v>
      </c>
      <c r="B37" s="56" t="s">
        <v>217</v>
      </c>
      <c r="C37" s="57">
        <f>(SUMIF(华东区域指挥部主办逾期!$C$3:$C$31,B37,华东区域指挥部主办逾期!$R$3:$R$31)+SUMIF(华东区域指挥协办逾期!$C$3:$C$10,B37,华东区域指挥协办逾期!$R$3:$R$10))/10000</f>
        <v>4.5</v>
      </c>
      <c r="D37" s="57">
        <f>(SUMIF([1]华东区域指挥部主办逾期!$C$3:$C$30,B37,[1]华东区域指挥部主办逾期!$R$3:$R$30)+SUMIF([1]华东区域指挥协办逾期!$C$3:$C$10,B37,[1]华东区域指挥协办逾期!$R$3:$R$10))/10000</f>
        <v>0</v>
      </c>
      <c r="E37" s="57">
        <f t="shared" si="0"/>
        <v>4.5</v>
      </c>
      <c r="F37" s="56">
        <f t="shared" si="2"/>
        <v>34</v>
      </c>
    </row>
    <row r="38" ht="30" customHeight="1" spans="1:6">
      <c r="A38" s="56" t="s">
        <v>74</v>
      </c>
      <c r="B38" s="56" t="s">
        <v>92</v>
      </c>
      <c r="C38" s="57">
        <f>(SUMIF(华东区域指挥部主办逾期!$C$3:$C$31,B38,华东区域指挥部主办逾期!$R$3:$R$31)+SUMIF(华东区域指挥协办逾期!$C$3:$C$10,B38,华东区域指挥协办逾期!$R$3:$R$10))/10000</f>
        <v>0</v>
      </c>
      <c r="D38" s="57">
        <f>(SUMIF([1]华东区域指挥部主办逾期!$C$3:$C$30,B38,[1]华东区域指挥部主办逾期!$R$3:$R$30)+SUMIF([1]华东区域指挥协办逾期!$C$3:$C$10,B38,[1]华东区域指挥协办逾期!$R$3:$R$10))/10000</f>
        <v>0</v>
      </c>
      <c r="E38" s="57">
        <f t="shared" si="0"/>
        <v>0</v>
      </c>
      <c r="F38" s="56">
        <f t="shared" si="2"/>
        <v>35</v>
      </c>
    </row>
    <row r="39" ht="30" customHeight="1" spans="1:6">
      <c r="A39" s="56" t="s">
        <v>74</v>
      </c>
      <c r="B39" s="56" t="s">
        <v>137</v>
      </c>
      <c r="C39" s="57">
        <f>(SUMIF(华东区域指挥部主办逾期!$C$3:$C$31,B39,华东区域指挥部主办逾期!$R$3:$R$31)+SUMIF(华东区域指挥协办逾期!$C$3:$C$10,B39,华东区域指挥协办逾期!$R$3:$R$10))/10000</f>
        <v>0</v>
      </c>
      <c r="D39" s="57">
        <f>(SUMIF([1]华东区域指挥部主办逾期!$C$3:$C$30,B39,[1]华东区域指挥部主办逾期!$R$3:$R$30)+SUMIF([1]华东区域指挥协办逾期!$C$3:$C$10,B39,[1]华东区域指挥协办逾期!$R$3:$R$10))/10000</f>
        <v>0</v>
      </c>
      <c r="E39" s="57">
        <f t="shared" si="0"/>
        <v>0</v>
      </c>
      <c r="F39" s="56">
        <f t="shared" si="2"/>
        <v>35</v>
      </c>
    </row>
    <row r="40" ht="30" customHeight="1" spans="1:6">
      <c r="A40" s="56" t="s">
        <v>74</v>
      </c>
      <c r="B40" s="56" t="s">
        <v>121</v>
      </c>
      <c r="C40" s="57">
        <f>(SUMIF(华东区域指挥部主办逾期!$C$3:$C$31,B40,华东区域指挥部主办逾期!$R$3:$R$31)+SUMIF(华东区域指挥协办逾期!$C$3:$C$10,B40,华东区域指挥协办逾期!$R$3:$R$10))/10000</f>
        <v>0</v>
      </c>
      <c r="D40" s="57">
        <f>(SUMIF([1]华东区域指挥部主办逾期!$C$3:$C$30,B40,[1]华东区域指挥部主办逾期!$R$3:$R$30)+SUMIF([1]华东区域指挥协办逾期!$C$3:$C$10,B40,[1]华东区域指挥协办逾期!$R$3:$R$10))/10000</f>
        <v>0</v>
      </c>
      <c r="E40" s="57">
        <f t="shared" si="0"/>
        <v>0</v>
      </c>
      <c r="F40" s="56">
        <f t="shared" si="2"/>
        <v>35</v>
      </c>
    </row>
    <row r="41" ht="30" customHeight="1" spans="1:6">
      <c r="A41" s="59" t="s">
        <v>571</v>
      </c>
      <c r="B41" s="60"/>
      <c r="C41" s="57">
        <f>SUM(C2:C40)</f>
        <v>6546.4343278</v>
      </c>
      <c r="D41" s="57">
        <f>SUM(D2:D40)</f>
        <v>17210.43427</v>
      </c>
      <c r="E41" s="57">
        <f>SUM(E2:E40)</f>
        <v>23756.8685978</v>
      </c>
      <c r="F41" s="56"/>
    </row>
  </sheetData>
  <autoFilter xmlns:etc="http://www.wps.cn/officeDocument/2017/etCustomData" ref="A1:F41" etc:filterBottomFollowUsedRange="0">
    <extLst/>
  </autoFilter>
  <mergeCells count="1">
    <mergeCell ref="A41:B4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selection activeCell="A23" sqref="A23"/>
    </sheetView>
  </sheetViews>
  <sheetFormatPr defaultColWidth="8.72727272727273" defaultRowHeight="14" outlineLevelCol="6"/>
  <cols>
    <col min="1" max="1" width="41" style="55" customWidth="1"/>
    <col min="2" max="2" width="17.3636363636364" style="55" customWidth="1"/>
  </cols>
  <sheetData>
    <row r="1" spans="1:7">
      <c r="A1" s="56" t="s">
        <v>42</v>
      </c>
      <c r="B1" s="56" t="s">
        <v>587</v>
      </c>
    </row>
    <row r="2" spans="1:7">
      <c r="A2" s="56" t="s">
        <v>75</v>
      </c>
      <c r="B2" s="57">
        <v>1997.767313</v>
      </c>
    </row>
    <row r="3" spans="1:7">
      <c r="A3" s="56" t="s">
        <v>112</v>
      </c>
      <c r="B3" s="57">
        <v>1170.8056592</v>
      </c>
    </row>
    <row r="4" spans="1:7">
      <c r="A4" s="56" t="s">
        <v>109</v>
      </c>
      <c r="B4" s="57">
        <v>650</v>
      </c>
    </row>
    <row r="5" spans="1:7">
      <c r="A5" s="56" t="s">
        <v>312</v>
      </c>
      <c r="B5" s="57">
        <v>649.6</v>
      </c>
    </row>
    <row r="6" spans="1:7">
      <c r="A6" s="56" t="s">
        <v>130</v>
      </c>
      <c r="B6" s="57">
        <v>636.99985</v>
      </c>
    </row>
    <row r="7" spans="1:7">
      <c r="A7" s="56" t="s">
        <v>61</v>
      </c>
      <c r="B7" s="57">
        <v>619.621632</v>
      </c>
      <c r="G7">
        <v>10000</v>
      </c>
    </row>
    <row r="8" spans="1:7">
      <c r="A8" s="56" t="s">
        <v>588</v>
      </c>
      <c r="B8" s="57">
        <v>504.9477912</v>
      </c>
    </row>
    <row r="9" spans="1:7">
      <c r="A9" s="56" t="s">
        <v>589</v>
      </c>
      <c r="B9" s="57">
        <v>482.699691</v>
      </c>
    </row>
    <row r="10" spans="1:7">
      <c r="A10" s="56" t="s">
        <v>590</v>
      </c>
      <c r="B10" s="57">
        <v>283.7005</v>
      </c>
    </row>
    <row r="11" spans="1:7">
      <c r="A11" s="56" t="s">
        <v>538</v>
      </c>
      <c r="B11" s="57">
        <v>256.550964</v>
      </c>
    </row>
    <row r="12" spans="1:7">
      <c r="A12" s="56" t="s">
        <v>222</v>
      </c>
      <c r="B12" s="57">
        <v>230.5</v>
      </c>
    </row>
    <row r="13" spans="1:7">
      <c r="A13" s="56" t="s">
        <v>303</v>
      </c>
      <c r="B13" s="57">
        <v>180</v>
      </c>
    </row>
    <row r="14" spans="1:7">
      <c r="A14" s="56" t="s">
        <v>126</v>
      </c>
      <c r="B14" s="57">
        <v>124.96</v>
      </c>
    </row>
    <row r="15" spans="1:7">
      <c r="A15" s="56" t="s">
        <v>591</v>
      </c>
      <c r="B15" s="57">
        <v>109.8</v>
      </c>
    </row>
    <row r="16" spans="1:7">
      <c r="A16" s="56" t="s">
        <v>592</v>
      </c>
      <c r="B16" s="57">
        <v>107.25</v>
      </c>
    </row>
    <row r="17" spans="1:2">
      <c r="A17" s="56" t="s">
        <v>593</v>
      </c>
      <c r="B17" s="57">
        <v>100.5</v>
      </c>
    </row>
    <row r="18" spans="1:2">
      <c r="A18" s="56" t="s">
        <v>594</v>
      </c>
      <c r="B18" s="57">
        <v>82.5</v>
      </c>
    </row>
    <row r="19" spans="1:2">
      <c r="A19" s="56" t="s">
        <v>578</v>
      </c>
      <c r="B19" s="57">
        <v>82</v>
      </c>
    </row>
    <row r="20" spans="1:2">
      <c r="A20" s="56" t="s">
        <v>595</v>
      </c>
      <c r="B20" s="57">
        <v>77.6452</v>
      </c>
    </row>
    <row r="21" spans="1:2">
      <c r="A21" s="56" t="s">
        <v>100</v>
      </c>
      <c r="B21" s="57">
        <v>71.9</v>
      </c>
    </row>
    <row r="22" spans="1:2">
      <c r="A22" s="56" t="s">
        <v>559</v>
      </c>
      <c r="B22" s="57">
        <v>61.384</v>
      </c>
    </row>
    <row r="23" spans="1:2">
      <c r="A23" s="56" t="s">
        <v>118</v>
      </c>
      <c r="B23" s="57">
        <v>42.155507</v>
      </c>
    </row>
    <row r="24" spans="1:2">
      <c r="A24" s="56" t="s">
        <v>596</v>
      </c>
      <c r="B24" s="57">
        <v>40.478</v>
      </c>
    </row>
    <row r="25" spans="1:2">
      <c r="A25" s="56" t="s">
        <v>597</v>
      </c>
      <c r="B25" s="57">
        <v>32.4</v>
      </c>
    </row>
    <row r="26" spans="1:2">
      <c r="A26" s="56" t="s">
        <v>325</v>
      </c>
      <c r="B26" s="57">
        <v>27</v>
      </c>
    </row>
    <row r="27" spans="1:2">
      <c r="A27" s="56" t="s">
        <v>598</v>
      </c>
      <c r="B27" s="57">
        <v>20.79</v>
      </c>
    </row>
    <row r="28" spans="1:2">
      <c r="A28" s="56" t="s">
        <v>599</v>
      </c>
      <c r="B28" s="57">
        <v>20.65</v>
      </c>
    </row>
    <row r="29" spans="1:2">
      <c r="A29" s="56" t="s">
        <v>491</v>
      </c>
      <c r="B29" s="57">
        <v>19.65</v>
      </c>
    </row>
    <row r="30" spans="1:2">
      <c r="A30" s="56" t="s">
        <v>600</v>
      </c>
      <c r="B30" s="57">
        <v>13.1</v>
      </c>
    </row>
    <row r="31" spans="1:2">
      <c r="A31" s="56" t="s">
        <v>601</v>
      </c>
      <c r="B31" s="57">
        <v>10</v>
      </c>
    </row>
    <row r="32" spans="1:2">
      <c r="A32" s="56" t="s">
        <v>602</v>
      </c>
      <c r="B32" s="57">
        <v>6.6</v>
      </c>
    </row>
    <row r="33" spans="1:2">
      <c r="A33" s="56" t="s">
        <v>603</v>
      </c>
      <c r="B33" s="57">
        <v>0.027</v>
      </c>
    </row>
  </sheetData>
  <autoFilter xmlns:etc="http://www.wps.cn/officeDocument/2017/etCustomData" ref="A1:B33" etc:filterBottomFollowUsedRange="0">
    <sortState ref="A1:B33">
      <sortCondition ref="B1" descending="1"/>
    </sortState>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
  <sheetViews>
    <sheetView zoomScale="85" zoomScaleNormal="85" workbookViewId="0">
      <selection activeCell="A23" sqref="A23"/>
    </sheetView>
  </sheetViews>
  <sheetFormatPr defaultColWidth="8.72727272727273" defaultRowHeight="14"/>
  <cols>
    <col min="1" max="1" width="7.16363636363636" customWidth="1"/>
    <col min="2" max="4" width="13.2545454545455" customWidth="1"/>
    <col min="6" max="7" width="10.1545454545455" customWidth="1"/>
    <col min="9" max="12" width="11.1181818181818" customWidth="1"/>
    <col min="15" max="15" width="11.9090909090909"/>
    <col min="17" max="22" width="10.4818181818182" customWidth="1"/>
  </cols>
  <sheetData>
    <row r="1" spans="1:22">
      <c r="A1" s="1" t="s">
        <v>2</v>
      </c>
      <c r="B1" s="1" t="s">
        <v>42</v>
      </c>
      <c r="C1" s="1" t="s">
        <v>145</v>
      </c>
      <c r="D1" s="1" t="s">
        <v>43</v>
      </c>
      <c r="E1" s="1" t="s">
        <v>44</v>
      </c>
      <c r="F1" s="2" t="s">
        <v>146</v>
      </c>
      <c r="G1" s="3" t="s">
        <v>147</v>
      </c>
      <c r="H1" s="1" t="s">
        <v>45</v>
      </c>
      <c r="I1" s="4" t="s">
        <v>6</v>
      </c>
      <c r="J1" s="4" t="s">
        <v>148</v>
      </c>
      <c r="K1" s="4" t="s">
        <v>8</v>
      </c>
      <c r="L1" s="4" t="s">
        <v>47</v>
      </c>
      <c r="M1" s="5" t="s">
        <v>149</v>
      </c>
      <c r="N1" s="6" t="s">
        <v>549</v>
      </c>
      <c r="O1" s="7" t="s">
        <v>56</v>
      </c>
      <c r="P1" s="8" t="s">
        <v>50</v>
      </c>
      <c r="Q1" s="8" t="s">
        <v>51</v>
      </c>
      <c r="R1" s="8"/>
      <c r="S1" s="8"/>
      <c r="T1" s="8" t="s">
        <v>52</v>
      </c>
      <c r="U1" s="8"/>
      <c r="V1" s="8"/>
    </row>
    <row r="2" spans="1:22">
      <c r="A2" s="9"/>
      <c r="B2" s="9"/>
      <c r="C2" s="9"/>
      <c r="D2" s="9"/>
      <c r="E2" s="9"/>
      <c r="F2" s="10"/>
      <c r="G2" s="11"/>
      <c r="H2" s="9"/>
      <c r="I2" s="4"/>
      <c r="J2" s="4"/>
      <c r="K2" s="4"/>
      <c r="L2" s="4"/>
      <c r="M2" s="5"/>
      <c r="N2" s="12"/>
      <c r="O2" s="7"/>
      <c r="P2" s="8"/>
      <c r="Q2" s="8"/>
      <c r="R2" s="8"/>
      <c r="S2" s="8"/>
      <c r="T2" s="8"/>
      <c r="U2" s="8"/>
      <c r="V2" s="8"/>
    </row>
    <row r="3" spans="1:22">
      <c r="A3" s="9"/>
      <c r="B3" s="9"/>
      <c r="C3" s="9"/>
      <c r="D3" s="9"/>
      <c r="E3" s="9"/>
      <c r="F3" s="10"/>
      <c r="G3" s="11"/>
      <c r="H3" s="9"/>
      <c r="I3" s="4"/>
      <c r="J3" s="4"/>
      <c r="K3" s="4"/>
      <c r="L3" s="4"/>
      <c r="M3" s="5"/>
      <c r="N3" s="12"/>
      <c r="O3" s="7"/>
      <c r="P3" s="13" t="s">
        <v>57</v>
      </c>
      <c r="Q3" s="13" t="s">
        <v>57</v>
      </c>
      <c r="R3" s="6" t="s">
        <v>58</v>
      </c>
      <c r="S3" s="14" t="s">
        <v>59</v>
      </c>
      <c r="T3" s="13" t="s">
        <v>57</v>
      </c>
      <c r="U3" s="6" t="s">
        <v>58</v>
      </c>
      <c r="V3" s="14" t="s">
        <v>59</v>
      </c>
    </row>
    <row r="4" ht="38" customHeight="1" spans="1:22">
      <c r="A4" s="15">
        <v>1</v>
      </c>
      <c r="B4" s="16" t="s">
        <v>481</v>
      </c>
      <c r="C4" s="16" t="s">
        <v>604</v>
      </c>
      <c r="D4" s="17" t="s">
        <v>605</v>
      </c>
      <c r="E4" s="18" t="s">
        <v>606</v>
      </c>
      <c r="F4" s="19">
        <v>14483730</v>
      </c>
      <c r="G4" s="20"/>
      <c r="H4" s="18" t="s">
        <v>607</v>
      </c>
      <c r="I4" s="19">
        <v>81731.0099999998</v>
      </c>
      <c r="J4" s="19"/>
      <c r="K4" s="19">
        <f t="shared" ref="K4:K50" si="0">I4-L4</f>
        <v>81731.0099999998</v>
      </c>
      <c r="L4" s="19">
        <v>0</v>
      </c>
      <c r="M4" s="21" t="s">
        <v>162</v>
      </c>
      <c r="N4" s="22">
        <v>0.3</v>
      </c>
      <c r="O4" s="23">
        <f t="shared" ref="O4:O50" si="1">L4*N4</f>
        <v>0</v>
      </c>
      <c r="P4" s="24" t="s">
        <v>83</v>
      </c>
      <c r="Q4" s="15" t="s">
        <v>30</v>
      </c>
      <c r="R4" s="24">
        <v>1</v>
      </c>
      <c r="S4" s="23">
        <f t="shared" ref="S4:S20" si="2">O4*R4</f>
        <v>0</v>
      </c>
      <c r="T4" s="24"/>
      <c r="U4" s="24"/>
      <c r="V4" s="23"/>
    </row>
    <row r="5" ht="38" customHeight="1" spans="1:22">
      <c r="A5" s="5">
        <v>2</v>
      </c>
      <c r="B5" s="17" t="s">
        <v>481</v>
      </c>
      <c r="C5" s="16" t="s">
        <v>604</v>
      </c>
      <c r="D5" s="17" t="s">
        <v>605</v>
      </c>
      <c r="E5" s="18" t="s">
        <v>608</v>
      </c>
      <c r="F5" s="19">
        <v>8216500</v>
      </c>
      <c r="G5" s="20">
        <v>42454</v>
      </c>
      <c r="H5" s="18" t="s">
        <v>609</v>
      </c>
      <c r="I5" s="5">
        <v>2518268.99</v>
      </c>
      <c r="J5" s="5"/>
      <c r="K5" s="19">
        <f t="shared" si="0"/>
        <v>1418268.99</v>
      </c>
      <c r="L5" s="5">
        <v>1100000</v>
      </c>
      <c r="M5" s="21" t="s">
        <v>162</v>
      </c>
      <c r="N5" s="22">
        <v>0.3</v>
      </c>
      <c r="O5" s="23">
        <f t="shared" si="1"/>
        <v>330000</v>
      </c>
      <c r="P5" s="24" t="s">
        <v>83</v>
      </c>
      <c r="Q5" s="15" t="s">
        <v>30</v>
      </c>
      <c r="R5" s="24">
        <v>1</v>
      </c>
      <c r="S5" s="23">
        <f t="shared" si="2"/>
        <v>330000</v>
      </c>
      <c r="T5" s="24"/>
      <c r="U5" s="24"/>
      <c r="V5" s="23"/>
    </row>
    <row r="6" ht="38" customHeight="1" spans="1:22">
      <c r="A6" s="5">
        <v>3</v>
      </c>
      <c r="B6" s="17" t="s">
        <v>610</v>
      </c>
      <c r="C6" s="16" t="s">
        <v>611</v>
      </c>
      <c r="D6" s="17" t="s">
        <v>612</v>
      </c>
      <c r="E6" s="18" t="s">
        <v>613</v>
      </c>
      <c r="F6" s="19">
        <v>8270381.98333333</v>
      </c>
      <c r="G6" s="20">
        <v>43593</v>
      </c>
      <c r="H6" s="18" t="s">
        <v>614</v>
      </c>
      <c r="I6" s="5">
        <v>7819381.88</v>
      </c>
      <c r="J6" s="5"/>
      <c r="K6" s="19">
        <f t="shared" si="0"/>
        <v>2000000</v>
      </c>
      <c r="L6" s="5">
        <v>5819381.88</v>
      </c>
      <c r="M6" s="21" t="s">
        <v>156</v>
      </c>
      <c r="N6" s="22">
        <v>0.3</v>
      </c>
      <c r="O6" s="23">
        <f t="shared" si="1"/>
        <v>1745814.564</v>
      </c>
      <c r="P6" s="24" t="s">
        <v>83</v>
      </c>
      <c r="Q6" s="25" t="s">
        <v>157</v>
      </c>
      <c r="R6" s="24">
        <v>0.7</v>
      </c>
      <c r="S6" s="23">
        <f t="shared" si="2"/>
        <v>1222070.1948</v>
      </c>
      <c r="T6" s="24" t="s">
        <v>19</v>
      </c>
      <c r="U6" s="24">
        <v>0.3</v>
      </c>
      <c r="V6" s="23">
        <f>O6*U6</f>
        <v>523744.3692</v>
      </c>
    </row>
    <row r="7" ht="38" customHeight="1" spans="1:22">
      <c r="A7" s="15">
        <v>4</v>
      </c>
      <c r="B7" s="16" t="s">
        <v>615</v>
      </c>
      <c r="C7" s="17" t="s">
        <v>615</v>
      </c>
      <c r="D7" s="17" t="s">
        <v>616</v>
      </c>
      <c r="E7" s="18" t="s">
        <v>617</v>
      </c>
      <c r="F7" s="19">
        <v>1660000</v>
      </c>
      <c r="G7" s="20">
        <v>42299</v>
      </c>
      <c r="H7" s="18" t="s">
        <v>618</v>
      </c>
      <c r="I7" s="5">
        <v>0</v>
      </c>
      <c r="J7" s="5"/>
      <c r="K7" s="19">
        <f t="shared" si="0"/>
        <v>0</v>
      </c>
      <c r="L7" s="5">
        <v>0</v>
      </c>
      <c r="M7" s="21" t="s">
        <v>193</v>
      </c>
      <c r="N7" s="22">
        <v>0.3</v>
      </c>
      <c r="O7" s="23">
        <f t="shared" si="1"/>
        <v>0</v>
      </c>
      <c r="P7" s="24" t="s">
        <v>64</v>
      </c>
      <c r="Q7" s="15" t="s">
        <v>38</v>
      </c>
      <c r="R7" s="24">
        <v>1</v>
      </c>
      <c r="S7" s="23">
        <f t="shared" si="2"/>
        <v>0</v>
      </c>
      <c r="T7" s="24"/>
      <c r="U7" s="24"/>
      <c r="V7" s="23"/>
    </row>
    <row r="8" ht="38" customHeight="1" spans="1:22">
      <c r="A8" s="5">
        <v>5</v>
      </c>
      <c r="B8" s="16" t="s">
        <v>619</v>
      </c>
      <c r="C8" s="16" t="s">
        <v>620</v>
      </c>
      <c r="D8" s="17" t="s">
        <v>621</v>
      </c>
      <c r="E8" s="18" t="s">
        <v>622</v>
      </c>
      <c r="F8" s="19">
        <v>1995000</v>
      </c>
      <c r="G8" s="20">
        <v>43026</v>
      </c>
      <c r="H8" s="18" t="s">
        <v>623</v>
      </c>
      <c r="I8" s="5">
        <v>0</v>
      </c>
      <c r="J8" s="5"/>
      <c r="K8" s="19">
        <f t="shared" si="0"/>
        <v>0</v>
      </c>
      <c r="L8" s="5">
        <v>0</v>
      </c>
      <c r="M8" s="21" t="s">
        <v>162</v>
      </c>
      <c r="N8" s="22">
        <v>0.3</v>
      </c>
      <c r="O8" s="23">
        <f t="shared" si="1"/>
        <v>0</v>
      </c>
      <c r="P8" s="24" t="s">
        <v>64</v>
      </c>
      <c r="Q8" s="26" t="s">
        <v>624</v>
      </c>
      <c r="R8" s="24">
        <v>1</v>
      </c>
      <c r="S8" s="23">
        <f t="shared" si="2"/>
        <v>0</v>
      </c>
      <c r="T8" s="24"/>
      <c r="U8" s="24"/>
      <c r="V8" s="23"/>
    </row>
    <row r="9" ht="38" customHeight="1" spans="1:22">
      <c r="A9" s="5">
        <v>6</v>
      </c>
      <c r="B9" s="17" t="s">
        <v>625</v>
      </c>
      <c r="C9" s="16" t="s">
        <v>626</v>
      </c>
      <c r="D9" s="17" t="s">
        <v>238</v>
      </c>
      <c r="E9" s="18" t="s">
        <v>627</v>
      </c>
      <c r="F9" s="19">
        <v>3960000</v>
      </c>
      <c r="G9" s="20">
        <v>43094</v>
      </c>
      <c r="H9" s="18" t="s">
        <v>628</v>
      </c>
      <c r="I9" s="5">
        <v>0</v>
      </c>
      <c r="J9" s="5"/>
      <c r="K9" s="19">
        <f t="shared" si="0"/>
        <v>0</v>
      </c>
      <c r="L9" s="5">
        <v>0</v>
      </c>
      <c r="M9" s="21" t="s">
        <v>178</v>
      </c>
      <c r="N9" s="22">
        <v>0.3</v>
      </c>
      <c r="O9" s="23">
        <f t="shared" si="1"/>
        <v>0</v>
      </c>
      <c r="P9" s="27" t="s">
        <v>64</v>
      </c>
      <c r="Q9" s="25" t="s">
        <v>38</v>
      </c>
      <c r="R9" s="24">
        <v>0.7</v>
      </c>
      <c r="S9" s="23">
        <f t="shared" si="2"/>
        <v>0</v>
      </c>
      <c r="T9" s="28" t="s">
        <v>292</v>
      </c>
      <c r="U9" s="24">
        <v>0.3</v>
      </c>
      <c r="V9" s="23">
        <f>O9*U9</f>
        <v>0</v>
      </c>
    </row>
    <row r="10" ht="38" customHeight="1" spans="1:22">
      <c r="A10" s="15">
        <v>7</v>
      </c>
      <c r="B10" s="29" t="s">
        <v>629</v>
      </c>
      <c r="C10" s="30" t="s">
        <v>630</v>
      </c>
      <c r="D10" s="18" t="s">
        <v>232</v>
      </c>
      <c r="E10" s="18" t="s">
        <v>631</v>
      </c>
      <c r="F10" s="19">
        <v>2042393.16</v>
      </c>
      <c r="G10" s="20">
        <v>43395</v>
      </c>
      <c r="H10" s="31" t="s">
        <v>632</v>
      </c>
      <c r="I10" s="5">
        <v>1324393.16</v>
      </c>
      <c r="J10" s="5"/>
      <c r="K10" s="19">
        <f t="shared" si="0"/>
        <v>0</v>
      </c>
      <c r="L10" s="5">
        <v>1324393.16</v>
      </c>
      <c r="M10" s="21" t="s">
        <v>187</v>
      </c>
      <c r="N10" s="22">
        <v>0.3</v>
      </c>
      <c r="O10" s="23">
        <f t="shared" si="1"/>
        <v>397317.948</v>
      </c>
      <c r="P10" s="27" t="s">
        <v>64</v>
      </c>
      <c r="Q10" s="15" t="s">
        <v>624</v>
      </c>
      <c r="R10" s="24">
        <v>1</v>
      </c>
      <c r="S10" s="23">
        <f t="shared" si="2"/>
        <v>397317.948</v>
      </c>
      <c r="T10" s="24"/>
      <c r="U10" s="24"/>
      <c r="V10" s="23"/>
    </row>
    <row r="11" ht="38" customHeight="1" spans="1:22">
      <c r="A11" s="5">
        <v>8</v>
      </c>
      <c r="B11" s="32" t="s">
        <v>633</v>
      </c>
      <c r="C11" s="32" t="s">
        <v>634</v>
      </c>
      <c r="D11" s="18" t="s">
        <v>266</v>
      </c>
      <c r="E11" s="15" t="s">
        <v>635</v>
      </c>
      <c r="F11" s="19">
        <v>2872000</v>
      </c>
      <c r="G11" s="20">
        <v>43217</v>
      </c>
      <c r="H11" s="31" t="s">
        <v>636</v>
      </c>
      <c r="I11" s="5">
        <v>887400</v>
      </c>
      <c r="J11" s="5"/>
      <c r="K11" s="19">
        <f t="shared" si="0"/>
        <v>0</v>
      </c>
      <c r="L11" s="5">
        <v>887400</v>
      </c>
      <c r="M11" s="21" t="s">
        <v>198</v>
      </c>
      <c r="N11" s="22">
        <v>0.3</v>
      </c>
      <c r="O11" s="23">
        <f t="shared" si="1"/>
        <v>266220</v>
      </c>
      <c r="P11" s="24" t="s">
        <v>64</v>
      </c>
      <c r="Q11" s="15" t="s">
        <v>38</v>
      </c>
      <c r="R11" s="24">
        <v>1</v>
      </c>
      <c r="S11" s="23">
        <f t="shared" si="2"/>
        <v>266220</v>
      </c>
      <c r="T11" s="24"/>
      <c r="U11" s="24"/>
      <c r="V11" s="23"/>
    </row>
    <row r="12" ht="38" customHeight="1" spans="1:22">
      <c r="A12" s="5">
        <v>9</v>
      </c>
      <c r="B12" s="15" t="s">
        <v>633</v>
      </c>
      <c r="C12" s="32" t="s">
        <v>634</v>
      </c>
      <c r="D12" s="15" t="s">
        <v>266</v>
      </c>
      <c r="E12" s="15" t="s">
        <v>637</v>
      </c>
      <c r="F12" s="19">
        <v>1350000</v>
      </c>
      <c r="G12" s="20">
        <v>43227</v>
      </c>
      <c r="H12" s="31" t="s">
        <v>638</v>
      </c>
      <c r="I12" s="5">
        <v>0</v>
      </c>
      <c r="J12" s="5"/>
      <c r="K12" s="19">
        <f t="shared" si="0"/>
        <v>0</v>
      </c>
      <c r="L12" s="5">
        <v>0</v>
      </c>
      <c r="M12" s="21" t="s">
        <v>198</v>
      </c>
      <c r="N12" s="22">
        <v>0.3</v>
      </c>
      <c r="O12" s="23">
        <f t="shared" si="1"/>
        <v>0</v>
      </c>
      <c r="P12" s="24" t="s">
        <v>64</v>
      </c>
      <c r="Q12" s="15" t="s">
        <v>38</v>
      </c>
      <c r="R12" s="24">
        <v>1</v>
      </c>
      <c r="S12" s="23">
        <f t="shared" si="2"/>
        <v>0</v>
      </c>
      <c r="T12" s="24"/>
      <c r="U12" s="24"/>
      <c r="V12" s="23"/>
    </row>
    <row r="13" ht="38" customHeight="1" spans="1:22">
      <c r="A13" s="15">
        <v>10</v>
      </c>
      <c r="B13" s="15" t="s">
        <v>633</v>
      </c>
      <c r="C13" s="32" t="s">
        <v>634</v>
      </c>
      <c r="D13" s="15" t="s">
        <v>266</v>
      </c>
      <c r="E13" s="15" t="s">
        <v>639</v>
      </c>
      <c r="F13" s="19">
        <v>2760000</v>
      </c>
      <c r="G13" s="20">
        <v>43298</v>
      </c>
      <c r="H13" s="31" t="s">
        <v>640</v>
      </c>
      <c r="I13" s="5">
        <v>0</v>
      </c>
      <c r="J13" s="5"/>
      <c r="K13" s="19">
        <f t="shared" si="0"/>
        <v>0</v>
      </c>
      <c r="L13" s="5">
        <v>0</v>
      </c>
      <c r="M13" s="21" t="s">
        <v>198</v>
      </c>
      <c r="N13" s="22">
        <v>0.3</v>
      </c>
      <c r="O13" s="23">
        <f t="shared" si="1"/>
        <v>0</v>
      </c>
      <c r="P13" s="24" t="s">
        <v>194</v>
      </c>
      <c r="Q13" s="26" t="s">
        <v>35</v>
      </c>
      <c r="R13" s="24">
        <v>1</v>
      </c>
      <c r="S13" s="23">
        <f t="shared" si="2"/>
        <v>0</v>
      </c>
      <c r="T13" s="24"/>
      <c r="U13" s="24"/>
      <c r="V13" s="23"/>
    </row>
    <row r="14" ht="38" customHeight="1" spans="1:22">
      <c r="A14" s="5">
        <v>11</v>
      </c>
      <c r="B14" s="15" t="s">
        <v>641</v>
      </c>
      <c r="C14" s="32" t="s">
        <v>642</v>
      </c>
      <c r="D14" s="15" t="s">
        <v>621</v>
      </c>
      <c r="E14" s="15" t="s">
        <v>643</v>
      </c>
      <c r="F14" s="19">
        <v>13110000</v>
      </c>
      <c r="G14" s="20">
        <v>43395</v>
      </c>
      <c r="H14" s="31" t="s">
        <v>644</v>
      </c>
      <c r="I14" s="5">
        <v>13110000</v>
      </c>
      <c r="J14" s="5"/>
      <c r="K14" s="19">
        <f t="shared" si="0"/>
        <v>0</v>
      </c>
      <c r="L14" s="5">
        <v>13110000</v>
      </c>
      <c r="M14" s="21" t="s">
        <v>187</v>
      </c>
      <c r="N14" s="22">
        <v>0.4</v>
      </c>
      <c r="O14" s="23">
        <f t="shared" si="1"/>
        <v>5244000</v>
      </c>
      <c r="P14" s="27" t="s">
        <v>64</v>
      </c>
      <c r="Q14" s="26" t="s">
        <v>38</v>
      </c>
      <c r="R14" s="24">
        <v>1</v>
      </c>
      <c r="S14" s="23">
        <f t="shared" si="2"/>
        <v>5244000</v>
      </c>
      <c r="T14" s="24"/>
      <c r="U14" s="24"/>
      <c r="V14" s="23"/>
    </row>
    <row r="15" ht="38" customHeight="1" spans="1:22">
      <c r="A15" s="5">
        <v>12</v>
      </c>
      <c r="B15" s="15" t="s">
        <v>641</v>
      </c>
      <c r="C15" s="32" t="s">
        <v>642</v>
      </c>
      <c r="D15" s="15" t="s">
        <v>621</v>
      </c>
      <c r="E15" s="15" t="s">
        <v>645</v>
      </c>
      <c r="F15" s="19">
        <v>1760000</v>
      </c>
      <c r="G15" s="20">
        <v>43406</v>
      </c>
      <c r="H15" s="31" t="s">
        <v>646</v>
      </c>
      <c r="I15" s="5">
        <v>176000</v>
      </c>
      <c r="J15" s="5"/>
      <c r="K15" s="19">
        <f t="shared" si="0"/>
        <v>0</v>
      </c>
      <c r="L15" s="5">
        <v>176000</v>
      </c>
      <c r="M15" s="21" t="s">
        <v>156</v>
      </c>
      <c r="N15" s="22">
        <v>0.4</v>
      </c>
      <c r="O15" s="23">
        <f t="shared" si="1"/>
        <v>70400</v>
      </c>
      <c r="P15" s="24" t="s">
        <v>64</v>
      </c>
      <c r="Q15" s="26" t="s">
        <v>38</v>
      </c>
      <c r="R15" s="24">
        <v>1</v>
      </c>
      <c r="S15" s="23">
        <f t="shared" si="2"/>
        <v>70400</v>
      </c>
      <c r="T15" s="24"/>
      <c r="U15" s="24"/>
      <c r="V15" s="23"/>
    </row>
    <row r="16" ht="38" customHeight="1" spans="1:22">
      <c r="A16" s="15">
        <v>13</v>
      </c>
      <c r="B16" s="15" t="s">
        <v>633</v>
      </c>
      <c r="C16" s="32" t="s">
        <v>634</v>
      </c>
      <c r="D16" s="15" t="s">
        <v>647</v>
      </c>
      <c r="E16" s="15" t="s">
        <v>648</v>
      </c>
      <c r="F16" s="19">
        <v>8600000</v>
      </c>
      <c r="G16" s="20">
        <v>43486</v>
      </c>
      <c r="H16" s="31" t="s">
        <v>649</v>
      </c>
      <c r="I16" s="5">
        <v>2600000</v>
      </c>
      <c r="J16" s="5"/>
      <c r="K16" s="19">
        <f t="shared" si="0"/>
        <v>0</v>
      </c>
      <c r="L16" s="5">
        <v>2600000</v>
      </c>
      <c r="M16" s="21" t="s">
        <v>198</v>
      </c>
      <c r="N16" s="22">
        <v>0.3</v>
      </c>
      <c r="O16" s="23">
        <f t="shared" si="1"/>
        <v>780000</v>
      </c>
      <c r="P16" s="24" t="s">
        <v>194</v>
      </c>
      <c r="Q16" s="15" t="s">
        <v>35</v>
      </c>
      <c r="R16" s="24">
        <v>1</v>
      </c>
      <c r="S16" s="23">
        <f t="shared" si="2"/>
        <v>780000</v>
      </c>
      <c r="T16" s="24"/>
      <c r="U16" s="24"/>
      <c r="V16" s="23"/>
    </row>
    <row r="17" ht="38" customHeight="1" spans="1:22">
      <c r="A17" s="5">
        <v>14</v>
      </c>
      <c r="B17" s="15" t="s">
        <v>625</v>
      </c>
      <c r="C17" s="16" t="s">
        <v>626</v>
      </c>
      <c r="D17" s="15" t="s">
        <v>650</v>
      </c>
      <c r="E17" s="15" t="s">
        <v>651</v>
      </c>
      <c r="F17" s="19">
        <v>19960000</v>
      </c>
      <c r="G17" s="20">
        <v>43111</v>
      </c>
      <c r="H17" s="31" t="s">
        <v>652</v>
      </c>
      <c r="I17" s="5">
        <v>9980000</v>
      </c>
      <c r="J17" s="5"/>
      <c r="K17" s="19">
        <f t="shared" si="0"/>
        <v>0</v>
      </c>
      <c r="L17" s="5">
        <v>9980000</v>
      </c>
      <c r="M17" s="21" t="s">
        <v>198</v>
      </c>
      <c r="N17" s="22">
        <v>0.3</v>
      </c>
      <c r="O17" s="23">
        <f t="shared" si="1"/>
        <v>2994000</v>
      </c>
      <c r="P17" s="24" t="s">
        <v>64</v>
      </c>
      <c r="Q17" s="25" t="s">
        <v>38</v>
      </c>
      <c r="R17" s="24">
        <v>0.7</v>
      </c>
      <c r="S17" s="23">
        <f t="shared" si="2"/>
        <v>2095800</v>
      </c>
      <c r="T17" s="33" t="s">
        <v>292</v>
      </c>
      <c r="U17" s="24">
        <v>0.3</v>
      </c>
      <c r="V17" s="23">
        <f>O17*U17</f>
        <v>898200</v>
      </c>
    </row>
    <row r="18" ht="38" customHeight="1" spans="1:22">
      <c r="A18" s="5">
        <v>15</v>
      </c>
      <c r="B18" s="15" t="s">
        <v>115</v>
      </c>
      <c r="C18" s="32" t="s">
        <v>418</v>
      </c>
      <c r="D18" s="15" t="s">
        <v>653</v>
      </c>
      <c r="E18" s="15" t="s">
        <v>654</v>
      </c>
      <c r="F18" s="19">
        <v>2600000</v>
      </c>
      <c r="G18" s="20">
        <v>43391</v>
      </c>
      <c r="H18" s="31" t="s">
        <v>655</v>
      </c>
      <c r="I18" s="5">
        <v>0</v>
      </c>
      <c r="J18" s="5"/>
      <c r="K18" s="19">
        <f t="shared" si="0"/>
        <v>0</v>
      </c>
      <c r="L18" s="5">
        <v>0</v>
      </c>
      <c r="M18" s="21" t="s">
        <v>187</v>
      </c>
      <c r="N18" s="22">
        <v>0.3</v>
      </c>
      <c r="O18" s="23">
        <f t="shared" si="1"/>
        <v>0</v>
      </c>
      <c r="P18" s="24" t="s">
        <v>194</v>
      </c>
      <c r="Q18" s="26" t="s">
        <v>35</v>
      </c>
      <c r="R18" s="24">
        <v>1</v>
      </c>
      <c r="S18" s="23">
        <f t="shared" si="2"/>
        <v>0</v>
      </c>
      <c r="T18" s="22"/>
      <c r="U18" s="22"/>
      <c r="V18" s="23"/>
    </row>
    <row r="19" ht="38" customHeight="1" spans="1:22">
      <c r="A19" s="15">
        <v>16</v>
      </c>
      <c r="B19" s="32" t="s">
        <v>619</v>
      </c>
      <c r="C19" s="32" t="s">
        <v>620</v>
      </c>
      <c r="D19" s="32" t="s">
        <v>656</v>
      </c>
      <c r="E19" s="15" t="s">
        <v>657</v>
      </c>
      <c r="F19" s="19">
        <v>1740000</v>
      </c>
      <c r="G19" s="20">
        <v>43640</v>
      </c>
      <c r="H19" s="31" t="s">
        <v>658</v>
      </c>
      <c r="I19" s="5">
        <v>0</v>
      </c>
      <c r="J19" s="5"/>
      <c r="K19" s="19">
        <f t="shared" si="0"/>
        <v>0</v>
      </c>
      <c r="L19" s="5">
        <v>0</v>
      </c>
      <c r="M19" s="21" t="s">
        <v>165</v>
      </c>
      <c r="N19" s="22">
        <v>0.3</v>
      </c>
      <c r="O19" s="23">
        <f t="shared" si="1"/>
        <v>0</v>
      </c>
      <c r="P19" s="24" t="s">
        <v>83</v>
      </c>
      <c r="Q19" s="26" t="s">
        <v>24</v>
      </c>
      <c r="R19" s="24">
        <v>1</v>
      </c>
      <c r="S19" s="23">
        <f t="shared" si="2"/>
        <v>0</v>
      </c>
      <c r="T19" s="22"/>
      <c r="U19" s="22"/>
      <c r="V19" s="23"/>
    </row>
    <row r="20" ht="38" customHeight="1" spans="1:22">
      <c r="A20" s="5">
        <v>17</v>
      </c>
      <c r="B20" s="15" t="s">
        <v>659</v>
      </c>
      <c r="C20" s="32" t="s">
        <v>660</v>
      </c>
      <c r="D20" s="15" t="s">
        <v>661</v>
      </c>
      <c r="E20" s="15" t="s">
        <v>662</v>
      </c>
      <c r="F20" s="19">
        <v>2475000</v>
      </c>
      <c r="G20" s="20">
        <v>43790</v>
      </c>
      <c r="H20" s="31" t="s">
        <v>663</v>
      </c>
      <c r="I20" s="5">
        <v>0</v>
      </c>
      <c r="J20" s="5"/>
      <c r="K20" s="19">
        <f t="shared" si="0"/>
        <v>0</v>
      </c>
      <c r="L20" s="5">
        <v>0</v>
      </c>
      <c r="M20" s="21" t="s">
        <v>165</v>
      </c>
      <c r="N20" s="22">
        <v>0.4</v>
      </c>
      <c r="O20" s="23">
        <f t="shared" si="1"/>
        <v>0</v>
      </c>
      <c r="P20" s="24" t="s">
        <v>194</v>
      </c>
      <c r="Q20" s="26" t="s">
        <v>35</v>
      </c>
      <c r="R20" s="24">
        <v>1</v>
      </c>
      <c r="S20" s="23">
        <f t="shared" si="2"/>
        <v>0</v>
      </c>
      <c r="T20" s="22"/>
      <c r="U20" s="22"/>
      <c r="V20" s="23"/>
    </row>
    <row r="21" ht="38" customHeight="1" spans="1:22">
      <c r="A21" s="5">
        <v>18</v>
      </c>
      <c r="B21" s="15" t="s">
        <v>115</v>
      </c>
      <c r="C21" s="32" t="s">
        <v>418</v>
      </c>
      <c r="D21" s="32" t="s">
        <v>664</v>
      </c>
      <c r="E21" s="15" t="s">
        <v>665</v>
      </c>
      <c r="F21" s="19">
        <v>2600000</v>
      </c>
      <c r="G21" s="20">
        <v>43794</v>
      </c>
      <c r="H21" s="31" t="s">
        <v>666</v>
      </c>
      <c r="I21" s="5">
        <v>0</v>
      </c>
      <c r="J21" s="5"/>
      <c r="K21" s="19">
        <f t="shared" si="0"/>
        <v>0</v>
      </c>
      <c r="L21" s="5">
        <v>0</v>
      </c>
      <c r="M21" s="21" t="s">
        <v>193</v>
      </c>
      <c r="N21" s="22">
        <v>0.3</v>
      </c>
      <c r="O21" s="23">
        <f t="shared" si="1"/>
        <v>0</v>
      </c>
      <c r="P21" s="24" t="s">
        <v>194</v>
      </c>
      <c r="Q21" s="26" t="s">
        <v>35</v>
      </c>
      <c r="R21" s="24">
        <v>1</v>
      </c>
      <c r="S21" s="23">
        <v>0</v>
      </c>
      <c r="T21" s="22"/>
      <c r="U21" s="22"/>
      <c r="V21" s="23"/>
    </row>
    <row r="22" ht="38" customHeight="1" spans="1:22">
      <c r="A22" s="15">
        <v>19</v>
      </c>
      <c r="B22" s="15" t="s">
        <v>667</v>
      </c>
      <c r="C22" s="32" t="s">
        <v>668</v>
      </c>
      <c r="D22" s="32" t="s">
        <v>669</v>
      </c>
      <c r="E22" s="15" t="s">
        <v>670</v>
      </c>
      <c r="F22" s="19">
        <v>2400000</v>
      </c>
      <c r="G22" s="20">
        <v>43994</v>
      </c>
      <c r="H22" s="31" t="s">
        <v>671</v>
      </c>
      <c r="I22" s="5">
        <v>0</v>
      </c>
      <c r="J22" s="5"/>
      <c r="K22" s="19">
        <f t="shared" si="0"/>
        <v>0</v>
      </c>
      <c r="L22" s="5">
        <v>0</v>
      </c>
      <c r="M22" s="21" t="s">
        <v>165</v>
      </c>
      <c r="N22" s="22">
        <v>0.2</v>
      </c>
      <c r="O22" s="23">
        <f t="shared" si="1"/>
        <v>0</v>
      </c>
      <c r="P22" s="24" t="s">
        <v>64</v>
      </c>
      <c r="Q22" s="15" t="s">
        <v>292</v>
      </c>
      <c r="R22" s="24">
        <v>1</v>
      </c>
      <c r="S22" s="23">
        <f t="shared" ref="S22:S31" si="3">O22*R22</f>
        <v>0</v>
      </c>
      <c r="T22" s="22"/>
      <c r="U22" s="22"/>
      <c r="V22" s="23"/>
    </row>
    <row r="23" ht="38" customHeight="1" spans="1:22">
      <c r="A23" s="5">
        <v>20</v>
      </c>
      <c r="B23" s="15" t="s">
        <v>590</v>
      </c>
      <c r="C23" s="32" t="s">
        <v>672</v>
      </c>
      <c r="D23" s="15" t="s">
        <v>673</v>
      </c>
      <c r="E23" s="32" t="s">
        <v>674</v>
      </c>
      <c r="F23" s="19">
        <v>2652000</v>
      </c>
      <c r="G23" s="20">
        <v>43937</v>
      </c>
      <c r="H23" s="31" t="s">
        <v>675</v>
      </c>
      <c r="I23" s="5">
        <v>0</v>
      </c>
      <c r="J23" s="5"/>
      <c r="K23" s="19">
        <f t="shared" si="0"/>
        <v>0</v>
      </c>
      <c r="L23" s="5">
        <v>0</v>
      </c>
      <c r="M23" s="21" t="s">
        <v>165</v>
      </c>
      <c r="N23" s="22">
        <v>0.4</v>
      </c>
      <c r="O23" s="23">
        <f t="shared" si="1"/>
        <v>0</v>
      </c>
      <c r="P23" s="24" t="s">
        <v>194</v>
      </c>
      <c r="Q23" s="15" t="s">
        <v>35</v>
      </c>
      <c r="R23" s="24">
        <v>1</v>
      </c>
      <c r="S23" s="23">
        <f t="shared" si="3"/>
        <v>0</v>
      </c>
      <c r="T23" s="22"/>
      <c r="U23" s="22"/>
      <c r="V23" s="23"/>
    </row>
    <row r="24" ht="38" customHeight="1" spans="1:22">
      <c r="A24" s="5">
        <v>21</v>
      </c>
      <c r="B24" s="32" t="s">
        <v>676</v>
      </c>
      <c r="C24" s="15" t="s">
        <v>676</v>
      </c>
      <c r="D24" s="15" t="s">
        <v>677</v>
      </c>
      <c r="E24" s="15" t="s">
        <v>678</v>
      </c>
      <c r="F24" s="19">
        <v>15200000</v>
      </c>
      <c r="G24" s="20">
        <v>43055</v>
      </c>
      <c r="H24" s="31" t="s">
        <v>679</v>
      </c>
      <c r="I24" s="5">
        <v>0</v>
      </c>
      <c r="J24" s="5"/>
      <c r="K24" s="19">
        <f t="shared" si="0"/>
        <v>0</v>
      </c>
      <c r="L24" s="5">
        <v>0</v>
      </c>
      <c r="M24" s="21" t="s">
        <v>193</v>
      </c>
      <c r="N24" s="22">
        <v>0.4</v>
      </c>
      <c r="O24" s="23">
        <f t="shared" si="1"/>
        <v>0</v>
      </c>
      <c r="P24" s="24" t="s">
        <v>64</v>
      </c>
      <c r="Q24" s="15" t="s">
        <v>38</v>
      </c>
      <c r="R24" s="24">
        <v>1</v>
      </c>
      <c r="S24" s="23">
        <f t="shared" si="3"/>
        <v>0</v>
      </c>
      <c r="T24" s="22"/>
      <c r="U24" s="22"/>
      <c r="V24" s="23"/>
    </row>
    <row r="25" ht="38" customHeight="1" spans="1:22">
      <c r="A25" s="15">
        <v>22</v>
      </c>
      <c r="B25" s="15" t="s">
        <v>97</v>
      </c>
      <c r="C25" s="32" t="s">
        <v>680</v>
      </c>
      <c r="D25" s="15" t="s">
        <v>415</v>
      </c>
      <c r="E25" s="15" t="s">
        <v>681</v>
      </c>
      <c r="F25" s="19">
        <v>12318130</v>
      </c>
      <c r="G25" s="20">
        <v>43751</v>
      </c>
      <c r="H25" s="31" t="s">
        <v>682</v>
      </c>
      <c r="I25" s="5">
        <v>0</v>
      </c>
      <c r="J25" s="5"/>
      <c r="K25" s="19">
        <f t="shared" si="0"/>
        <v>0</v>
      </c>
      <c r="L25" s="5">
        <v>0</v>
      </c>
      <c r="M25" s="21" t="s">
        <v>156</v>
      </c>
      <c r="N25" s="34">
        <v>0.2</v>
      </c>
      <c r="O25" s="23">
        <f t="shared" si="1"/>
        <v>0</v>
      </c>
      <c r="P25" s="35" t="s">
        <v>83</v>
      </c>
      <c r="Q25" s="36" t="s">
        <v>30</v>
      </c>
      <c r="R25" s="26">
        <v>1</v>
      </c>
      <c r="S25" s="23">
        <f t="shared" si="3"/>
        <v>0</v>
      </c>
      <c r="T25" s="5"/>
      <c r="U25" s="5"/>
      <c r="V25" s="5"/>
    </row>
    <row r="26" ht="38" customHeight="1" spans="1:22">
      <c r="A26" s="5">
        <v>23</v>
      </c>
      <c r="B26" s="32" t="s">
        <v>97</v>
      </c>
      <c r="C26" s="32" t="s">
        <v>680</v>
      </c>
      <c r="D26" s="32" t="s">
        <v>415</v>
      </c>
      <c r="E26" s="15" t="s">
        <v>681</v>
      </c>
      <c r="F26" s="19">
        <v>12318130</v>
      </c>
      <c r="G26" s="20">
        <v>43751</v>
      </c>
      <c r="H26" s="31" t="s">
        <v>683</v>
      </c>
      <c r="I26" s="5">
        <v>0</v>
      </c>
      <c r="J26" s="5"/>
      <c r="K26" s="19">
        <f t="shared" si="0"/>
        <v>0</v>
      </c>
      <c r="L26" s="5">
        <v>0</v>
      </c>
      <c r="M26" s="37" t="s">
        <v>684</v>
      </c>
      <c r="N26" s="34">
        <v>0.2</v>
      </c>
      <c r="O26" s="23">
        <f t="shared" si="1"/>
        <v>0</v>
      </c>
      <c r="P26" s="35" t="s">
        <v>83</v>
      </c>
      <c r="Q26" s="36" t="s">
        <v>30</v>
      </c>
      <c r="R26" s="26">
        <v>1</v>
      </c>
      <c r="S26" s="23">
        <f t="shared" si="3"/>
        <v>0</v>
      </c>
      <c r="T26" s="5"/>
      <c r="U26" s="5"/>
      <c r="V26" s="5"/>
    </row>
    <row r="27" ht="38" customHeight="1" spans="1:22">
      <c r="A27" s="5">
        <v>24</v>
      </c>
      <c r="B27" s="38" t="s">
        <v>685</v>
      </c>
      <c r="C27" s="38" t="s">
        <v>686</v>
      </c>
      <c r="D27" s="38" t="s">
        <v>687</v>
      </c>
      <c r="E27" s="38" t="s">
        <v>688</v>
      </c>
      <c r="F27" s="39">
        <v>3930000</v>
      </c>
      <c r="G27" s="40">
        <v>43573</v>
      </c>
      <c r="H27" s="38" t="s">
        <v>689</v>
      </c>
      <c r="I27" s="5">
        <v>337000</v>
      </c>
      <c r="J27" s="5"/>
      <c r="K27" s="19">
        <f t="shared" si="0"/>
        <v>337000</v>
      </c>
      <c r="L27" s="5">
        <v>0</v>
      </c>
      <c r="M27" s="41" t="s">
        <v>165</v>
      </c>
      <c r="N27" s="34">
        <v>0.4</v>
      </c>
      <c r="O27" s="23">
        <f t="shared" si="1"/>
        <v>0</v>
      </c>
      <c r="P27" s="23" t="s">
        <v>64</v>
      </c>
      <c r="Q27" s="23" t="s">
        <v>38</v>
      </c>
      <c r="R27" s="23">
        <v>1</v>
      </c>
      <c r="S27" s="23">
        <f t="shared" si="3"/>
        <v>0</v>
      </c>
      <c r="T27" s="23"/>
      <c r="U27" s="23"/>
      <c r="V27" s="23"/>
    </row>
    <row r="28" ht="38" customHeight="1" spans="1:22">
      <c r="A28" s="15">
        <v>25</v>
      </c>
      <c r="B28" s="42" t="s">
        <v>690</v>
      </c>
      <c r="C28" s="42" t="s">
        <v>690</v>
      </c>
      <c r="D28" s="15" t="s">
        <v>691</v>
      </c>
      <c r="E28" s="15" t="s">
        <v>692</v>
      </c>
      <c r="F28" s="39"/>
      <c r="G28" s="40"/>
      <c r="H28" s="15" t="s">
        <v>693</v>
      </c>
      <c r="I28" s="5">
        <v>2228656.23999999</v>
      </c>
      <c r="J28" s="5"/>
      <c r="K28" s="19">
        <f t="shared" si="0"/>
        <v>0</v>
      </c>
      <c r="L28" s="5">
        <v>2228656.23999999</v>
      </c>
      <c r="M28" s="41" t="s">
        <v>165</v>
      </c>
      <c r="N28" s="34">
        <v>0.4</v>
      </c>
      <c r="O28" s="23">
        <f t="shared" si="1"/>
        <v>891462.495999996</v>
      </c>
      <c r="P28" s="43" t="s">
        <v>157</v>
      </c>
      <c r="Q28" s="43" t="s">
        <v>157</v>
      </c>
      <c r="R28" s="23">
        <v>1</v>
      </c>
      <c r="S28" s="23">
        <f t="shared" si="3"/>
        <v>891462.495999996</v>
      </c>
      <c r="T28" s="23"/>
      <c r="U28" s="23"/>
      <c r="V28" s="23"/>
    </row>
    <row r="29" ht="38" customHeight="1" spans="1:22">
      <c r="A29" s="5">
        <v>26</v>
      </c>
      <c r="B29" s="44" t="s">
        <v>694</v>
      </c>
      <c r="C29" s="44" t="s">
        <v>667</v>
      </c>
      <c r="D29" s="15" t="s">
        <v>695</v>
      </c>
      <c r="E29" s="15" t="s">
        <v>696</v>
      </c>
      <c r="F29" s="39"/>
      <c r="G29" s="40"/>
      <c r="H29" s="15" t="s">
        <v>697</v>
      </c>
      <c r="I29" s="5">
        <v>0</v>
      </c>
      <c r="J29" s="5"/>
      <c r="K29" s="19">
        <f t="shared" si="0"/>
        <v>0</v>
      </c>
      <c r="L29" s="5">
        <v>0</v>
      </c>
      <c r="M29" s="41" t="s">
        <v>165</v>
      </c>
      <c r="N29" s="34">
        <v>0.2</v>
      </c>
      <c r="O29" s="23">
        <f t="shared" si="1"/>
        <v>0</v>
      </c>
      <c r="P29" s="43" t="s">
        <v>194</v>
      </c>
      <c r="Q29" s="43" t="s">
        <v>38</v>
      </c>
      <c r="R29" s="23">
        <v>1</v>
      </c>
      <c r="S29" s="23">
        <f t="shared" si="3"/>
        <v>0</v>
      </c>
      <c r="T29" s="23"/>
      <c r="U29" s="23"/>
      <c r="V29" s="23"/>
    </row>
    <row r="30" ht="38" customHeight="1" spans="1:22">
      <c r="A30" s="5">
        <v>27</v>
      </c>
      <c r="B30" s="44" t="s">
        <v>698</v>
      </c>
      <c r="C30" s="44" t="s">
        <v>667</v>
      </c>
      <c r="D30" s="15" t="s">
        <v>699</v>
      </c>
      <c r="E30" s="15" t="s">
        <v>700</v>
      </c>
      <c r="F30" s="39"/>
      <c r="G30" s="40"/>
      <c r="H30" s="15" t="s">
        <v>701</v>
      </c>
      <c r="I30" s="5">
        <v>0</v>
      </c>
      <c r="J30" s="5"/>
      <c r="K30" s="19">
        <f t="shared" si="0"/>
        <v>0</v>
      </c>
      <c r="L30" s="5">
        <v>0</v>
      </c>
      <c r="M30" s="41" t="s">
        <v>165</v>
      </c>
      <c r="N30" s="34">
        <v>0.2</v>
      </c>
      <c r="O30" s="23">
        <f t="shared" si="1"/>
        <v>0</v>
      </c>
      <c r="P30" s="43" t="s">
        <v>194</v>
      </c>
      <c r="Q30" s="43" t="s">
        <v>38</v>
      </c>
      <c r="R30" s="23">
        <v>1</v>
      </c>
      <c r="S30" s="23">
        <f t="shared" si="3"/>
        <v>0</v>
      </c>
      <c r="T30" s="23"/>
      <c r="U30" s="23"/>
      <c r="V30" s="23"/>
    </row>
    <row r="31" ht="38" customHeight="1" spans="1:22">
      <c r="A31" s="15">
        <v>28</v>
      </c>
      <c r="B31" s="15" t="s">
        <v>481</v>
      </c>
      <c r="C31" s="15" t="s">
        <v>481</v>
      </c>
      <c r="D31" s="15" t="s">
        <v>702</v>
      </c>
      <c r="E31" s="15" t="s">
        <v>703</v>
      </c>
      <c r="F31" s="45">
        <v>14919990</v>
      </c>
      <c r="G31" s="20">
        <v>44084</v>
      </c>
      <c r="H31" s="15" t="s">
        <v>704</v>
      </c>
      <c r="I31" s="5">
        <v>3556500</v>
      </c>
      <c r="J31" s="5"/>
      <c r="K31" s="19">
        <f t="shared" si="0"/>
        <v>0</v>
      </c>
      <c r="L31" s="5">
        <v>3556500</v>
      </c>
      <c r="M31" s="5" t="s">
        <v>411</v>
      </c>
      <c r="N31" s="22">
        <v>0.3</v>
      </c>
      <c r="O31" s="23">
        <f t="shared" si="1"/>
        <v>1066950</v>
      </c>
      <c r="P31" s="27" t="s">
        <v>83</v>
      </c>
      <c r="Q31" s="25" t="s">
        <v>30</v>
      </c>
      <c r="R31" s="24">
        <v>0.7</v>
      </c>
      <c r="S31" s="23">
        <f t="shared" si="3"/>
        <v>746865</v>
      </c>
      <c r="T31" s="33" t="s">
        <v>31</v>
      </c>
      <c r="U31" s="24">
        <v>0.3</v>
      </c>
      <c r="V31" s="23">
        <f>O31*0.3</f>
        <v>320085</v>
      </c>
    </row>
    <row r="32" ht="38" customHeight="1" spans="1:22">
      <c r="A32" s="5">
        <v>29</v>
      </c>
      <c r="B32" s="15" t="s">
        <v>97</v>
      </c>
      <c r="C32" s="15" t="s">
        <v>97</v>
      </c>
      <c r="D32" s="15" t="s">
        <v>415</v>
      </c>
      <c r="E32" s="15" t="s">
        <v>681</v>
      </c>
      <c r="F32" s="19">
        <v>12318130</v>
      </c>
      <c r="G32" s="20">
        <v>43751</v>
      </c>
      <c r="H32" s="31" t="s">
        <v>682</v>
      </c>
      <c r="I32" s="5">
        <v>2986740.82</v>
      </c>
      <c r="J32" s="5"/>
      <c r="K32" s="19">
        <f t="shared" si="0"/>
        <v>0</v>
      </c>
      <c r="L32" s="5">
        <v>2986740.82</v>
      </c>
      <c r="M32" s="5" t="s">
        <v>156</v>
      </c>
      <c r="N32" s="34">
        <v>0.2</v>
      </c>
      <c r="O32" s="23">
        <f t="shared" si="1"/>
        <v>597348.164</v>
      </c>
      <c r="P32" s="35" t="s">
        <v>83</v>
      </c>
      <c r="Q32" s="36" t="s">
        <v>30</v>
      </c>
      <c r="R32" s="26">
        <v>1</v>
      </c>
      <c r="S32" s="46">
        <f>R32*O32</f>
        <v>597348.164</v>
      </c>
      <c r="T32" s="46"/>
      <c r="U32" s="46"/>
      <c r="V32" s="46"/>
    </row>
    <row r="33" ht="38" customHeight="1" spans="1:22">
      <c r="A33" s="5">
        <v>30</v>
      </c>
      <c r="B33" s="15" t="s">
        <v>97</v>
      </c>
      <c r="C33" s="15" t="s">
        <v>97</v>
      </c>
      <c r="D33" s="15" t="s">
        <v>415</v>
      </c>
      <c r="E33" s="15" t="s">
        <v>681</v>
      </c>
      <c r="F33" s="19">
        <v>12318130</v>
      </c>
      <c r="G33" s="20">
        <v>43751</v>
      </c>
      <c r="H33" s="31" t="s">
        <v>683</v>
      </c>
      <c r="I33" s="5">
        <v>2986740.82</v>
      </c>
      <c r="J33" s="5"/>
      <c r="K33" s="19">
        <f t="shared" si="0"/>
        <v>0</v>
      </c>
      <c r="L33" s="5">
        <v>2986740.82</v>
      </c>
      <c r="M33" s="5" t="s">
        <v>156</v>
      </c>
      <c r="N33" s="34">
        <v>0.2</v>
      </c>
      <c r="O33" s="23">
        <f t="shared" si="1"/>
        <v>597348.164</v>
      </c>
      <c r="P33" s="35" t="s">
        <v>83</v>
      </c>
      <c r="Q33" s="36" t="s">
        <v>30</v>
      </c>
      <c r="R33" s="26">
        <v>1</v>
      </c>
      <c r="S33" s="46">
        <f>R33*O33</f>
        <v>597348.164</v>
      </c>
      <c r="T33" s="46"/>
      <c r="U33" s="46"/>
      <c r="V33" s="46"/>
    </row>
    <row r="34" ht="38" customHeight="1" spans="1:22">
      <c r="A34" s="15">
        <v>31</v>
      </c>
      <c r="B34" s="32" t="s">
        <v>659</v>
      </c>
      <c r="C34" s="32" t="s">
        <v>659</v>
      </c>
      <c r="D34" s="32" t="s">
        <v>661</v>
      </c>
      <c r="E34" s="15" t="s">
        <v>662</v>
      </c>
      <c r="F34" s="19">
        <v>2475000</v>
      </c>
      <c r="G34" s="20">
        <v>43790</v>
      </c>
      <c r="H34" s="31" t="s">
        <v>705</v>
      </c>
      <c r="I34" s="5">
        <v>225000</v>
      </c>
      <c r="J34" s="5"/>
      <c r="K34" s="19">
        <f t="shared" si="0"/>
        <v>168750</v>
      </c>
      <c r="L34" s="5">
        <v>56250</v>
      </c>
      <c r="M34" s="5" t="s">
        <v>156</v>
      </c>
      <c r="N34" s="34">
        <v>0.4</v>
      </c>
      <c r="O34" s="23">
        <f t="shared" si="1"/>
        <v>22500</v>
      </c>
      <c r="P34" s="35" t="s">
        <v>194</v>
      </c>
      <c r="Q34" s="47" t="s">
        <v>35</v>
      </c>
      <c r="R34" s="26">
        <v>1</v>
      </c>
      <c r="S34" s="48">
        <f>R34*O34</f>
        <v>22500</v>
      </c>
      <c r="T34" s="48"/>
      <c r="U34" s="48"/>
      <c r="V34" s="48"/>
    </row>
    <row r="35" ht="38" customHeight="1" spans="1:22">
      <c r="A35" s="5">
        <v>32</v>
      </c>
      <c r="B35" s="32" t="s">
        <v>685</v>
      </c>
      <c r="C35" s="32" t="s">
        <v>685</v>
      </c>
      <c r="D35" s="49" t="s">
        <v>687</v>
      </c>
      <c r="E35" s="50" t="s">
        <v>688</v>
      </c>
      <c r="F35" s="51">
        <v>3930000</v>
      </c>
      <c r="G35" s="52">
        <v>43573</v>
      </c>
      <c r="H35" s="21" t="s">
        <v>706</v>
      </c>
      <c r="I35" s="5">
        <v>393000</v>
      </c>
      <c r="J35" s="5"/>
      <c r="K35" s="19">
        <f t="shared" si="0"/>
        <v>393000</v>
      </c>
      <c r="L35" s="5">
        <v>0</v>
      </c>
      <c r="M35" s="5" t="s">
        <v>156</v>
      </c>
      <c r="N35" s="24">
        <v>0.4</v>
      </c>
      <c r="O35" s="23">
        <f t="shared" si="1"/>
        <v>0</v>
      </c>
      <c r="P35" s="48" t="s">
        <v>64</v>
      </c>
      <c r="Q35" s="25" t="s">
        <v>38</v>
      </c>
      <c r="R35" s="24">
        <v>1</v>
      </c>
      <c r="S35" s="23">
        <f>O35*R35</f>
        <v>0</v>
      </c>
      <c r="T35" s="48"/>
      <c r="U35" s="48"/>
      <c r="V35" s="48"/>
    </row>
    <row r="36" ht="38" customHeight="1" spans="1:22">
      <c r="A36" s="5">
        <v>33</v>
      </c>
      <c r="B36" s="53" t="s">
        <v>707</v>
      </c>
      <c r="C36" s="53" t="s">
        <v>707</v>
      </c>
      <c r="D36" s="32" t="s">
        <v>708</v>
      </c>
      <c r="E36" s="15" t="s">
        <v>709</v>
      </c>
      <c r="F36" s="51">
        <v>3960000</v>
      </c>
      <c r="G36" s="52">
        <v>43780</v>
      </c>
      <c r="H36" s="15" t="s">
        <v>710</v>
      </c>
      <c r="I36" s="5">
        <v>910000</v>
      </c>
      <c r="J36" s="5"/>
      <c r="K36" s="19">
        <f t="shared" si="0"/>
        <v>250000</v>
      </c>
      <c r="L36" s="5">
        <v>660000</v>
      </c>
      <c r="M36" s="5" t="s">
        <v>156</v>
      </c>
      <c r="N36" s="22">
        <v>0.4</v>
      </c>
      <c r="O36" s="23">
        <f t="shared" si="1"/>
        <v>264000</v>
      </c>
      <c r="P36" s="54" t="s">
        <v>194</v>
      </c>
      <c r="Q36" s="32" t="s">
        <v>35</v>
      </c>
      <c r="R36" s="24">
        <v>1</v>
      </c>
      <c r="S36" s="23">
        <f>O36*R36</f>
        <v>264000</v>
      </c>
      <c r="T36" s="48"/>
      <c r="U36" s="48"/>
      <c r="V36" s="48"/>
    </row>
    <row r="37" ht="38" customHeight="1" spans="1:22">
      <c r="A37" s="15">
        <v>34</v>
      </c>
      <c r="B37" s="15" t="s">
        <v>115</v>
      </c>
      <c r="C37" s="15" t="s">
        <v>115</v>
      </c>
      <c r="D37" s="32" t="s">
        <v>664</v>
      </c>
      <c r="E37" s="15" t="s">
        <v>665</v>
      </c>
      <c r="F37" s="19">
        <v>2600000</v>
      </c>
      <c r="G37" s="20">
        <v>43794</v>
      </c>
      <c r="H37" s="31" t="s">
        <v>666</v>
      </c>
      <c r="I37" s="5">
        <v>150000</v>
      </c>
      <c r="J37" s="5"/>
      <c r="K37" s="19">
        <f t="shared" si="0"/>
        <v>0</v>
      </c>
      <c r="L37" s="5">
        <v>150000</v>
      </c>
      <c r="M37" s="5" t="s">
        <v>156</v>
      </c>
      <c r="N37" s="24">
        <v>0.3</v>
      </c>
      <c r="O37" s="23">
        <f t="shared" si="1"/>
        <v>45000</v>
      </c>
      <c r="P37" s="54" t="s">
        <v>194</v>
      </c>
      <c r="Q37" s="32" t="s">
        <v>35</v>
      </c>
      <c r="R37" s="24">
        <v>1</v>
      </c>
      <c r="S37" s="23">
        <f>O37*R37</f>
        <v>45000</v>
      </c>
      <c r="T37" s="46"/>
      <c r="U37" s="46"/>
      <c r="V37" s="46"/>
    </row>
    <row r="38" ht="38" customHeight="1" spans="1:22">
      <c r="A38" s="5">
        <v>35</v>
      </c>
      <c r="B38" s="15" t="s">
        <v>711</v>
      </c>
      <c r="C38" s="15"/>
      <c r="D38" s="32" t="s">
        <v>712</v>
      </c>
      <c r="E38" s="15" t="s">
        <v>713</v>
      </c>
      <c r="F38" s="19">
        <v>5340000</v>
      </c>
      <c r="G38" s="20">
        <v>43818</v>
      </c>
      <c r="H38" s="31" t="s">
        <v>714</v>
      </c>
      <c r="I38" s="5">
        <v>0</v>
      </c>
      <c r="J38" s="5"/>
      <c r="K38" s="19">
        <f t="shared" si="0"/>
        <v>0</v>
      </c>
      <c r="L38" s="5">
        <v>0</v>
      </c>
      <c r="M38" s="5" t="s">
        <v>156</v>
      </c>
      <c r="N38" s="24">
        <v>0.3</v>
      </c>
      <c r="O38" s="23">
        <f t="shared" si="1"/>
        <v>0</v>
      </c>
      <c r="P38" s="54" t="s">
        <v>194</v>
      </c>
      <c r="Q38" s="54" t="s">
        <v>38</v>
      </c>
      <c r="R38" s="24">
        <v>1</v>
      </c>
      <c r="S38" s="23">
        <f>O38*R38</f>
        <v>0</v>
      </c>
      <c r="T38" s="46"/>
      <c r="U38" s="46"/>
      <c r="V38" s="46"/>
    </row>
    <row r="39" ht="38" customHeight="1" spans="1:22">
      <c r="A39" s="5">
        <v>36</v>
      </c>
      <c r="B39" s="32" t="s">
        <v>715</v>
      </c>
      <c r="C39" s="15"/>
      <c r="D39" s="32" t="s">
        <v>716</v>
      </c>
      <c r="E39" s="15" t="s">
        <v>717</v>
      </c>
      <c r="F39" s="19"/>
      <c r="G39" s="20"/>
      <c r="H39" s="31" t="s">
        <v>718</v>
      </c>
      <c r="I39" s="5">
        <v>0</v>
      </c>
      <c r="J39" s="5"/>
      <c r="K39" s="19">
        <f t="shared" si="0"/>
        <v>0</v>
      </c>
      <c r="L39" s="5">
        <v>0</v>
      </c>
      <c r="M39" s="5" t="s">
        <v>411</v>
      </c>
      <c r="N39" s="24">
        <v>0.4</v>
      </c>
      <c r="O39" s="23">
        <f t="shared" si="1"/>
        <v>0</v>
      </c>
      <c r="P39" s="27"/>
      <c r="Q39" s="27"/>
      <c r="R39" s="24"/>
      <c r="S39" s="23"/>
      <c r="T39" s="46"/>
      <c r="U39" s="46"/>
      <c r="V39" s="46"/>
    </row>
    <row r="40" ht="38" customHeight="1" spans="1:22">
      <c r="A40" s="15">
        <v>37</v>
      </c>
      <c r="B40" s="15" t="s">
        <v>719</v>
      </c>
      <c r="C40" s="15"/>
      <c r="D40" s="32" t="s">
        <v>327</v>
      </c>
      <c r="E40" s="15" t="s">
        <v>720</v>
      </c>
      <c r="F40" s="19"/>
      <c r="G40" s="20"/>
      <c r="H40" s="31" t="s">
        <v>721</v>
      </c>
      <c r="I40" s="5">
        <v>1480000</v>
      </c>
      <c r="J40" s="5"/>
      <c r="K40" s="19">
        <f t="shared" si="0"/>
        <v>0</v>
      </c>
      <c r="L40" s="5">
        <v>1480000</v>
      </c>
      <c r="M40" s="5" t="s">
        <v>165</v>
      </c>
      <c r="N40" s="24">
        <v>0.3</v>
      </c>
      <c r="O40" s="23">
        <f t="shared" si="1"/>
        <v>444000</v>
      </c>
      <c r="P40" s="54" t="s">
        <v>194</v>
      </c>
      <c r="Q40" s="32" t="s">
        <v>35</v>
      </c>
      <c r="R40" s="24">
        <v>1</v>
      </c>
      <c r="S40" s="23">
        <f t="shared" ref="S40:S50" si="4">O40*R40</f>
        <v>444000</v>
      </c>
      <c r="T40" s="46"/>
      <c r="U40" s="46"/>
      <c r="V40" s="46"/>
    </row>
    <row r="41" ht="38" customHeight="1" spans="1:22">
      <c r="A41" s="5">
        <v>38</v>
      </c>
      <c r="B41" s="15" t="s">
        <v>722</v>
      </c>
      <c r="C41" s="15"/>
      <c r="D41" s="32" t="s">
        <v>723</v>
      </c>
      <c r="E41" s="15" t="s">
        <v>724</v>
      </c>
      <c r="F41" s="19"/>
      <c r="G41" s="20"/>
      <c r="H41" s="31" t="s">
        <v>725</v>
      </c>
      <c r="I41" s="5">
        <v>192500</v>
      </c>
      <c r="J41" s="5"/>
      <c r="K41" s="19">
        <f t="shared" si="0"/>
        <v>0</v>
      </c>
      <c r="L41" s="5">
        <v>192500</v>
      </c>
      <c r="M41" s="5" t="s">
        <v>411</v>
      </c>
      <c r="N41" s="24">
        <v>0.3</v>
      </c>
      <c r="O41" s="23">
        <f t="shared" si="1"/>
        <v>57750</v>
      </c>
      <c r="P41" s="27" t="s">
        <v>157</v>
      </c>
      <c r="Q41" s="25" t="s">
        <v>157</v>
      </c>
      <c r="R41" s="24">
        <v>0.7</v>
      </c>
      <c r="S41" s="23">
        <f t="shared" si="4"/>
        <v>40425</v>
      </c>
      <c r="T41" s="33" t="s">
        <v>19</v>
      </c>
      <c r="U41" s="24">
        <v>0.3</v>
      </c>
      <c r="V41" s="23">
        <f>O41*0.3</f>
        <v>17325</v>
      </c>
    </row>
    <row r="42" ht="38" customHeight="1" spans="1:22">
      <c r="A42" s="5">
        <v>39</v>
      </c>
      <c r="B42" s="15" t="s">
        <v>726</v>
      </c>
      <c r="C42" s="15"/>
      <c r="D42" s="32" t="s">
        <v>727</v>
      </c>
      <c r="E42" s="15" t="s">
        <v>724</v>
      </c>
      <c r="F42" s="19"/>
      <c r="G42" s="20"/>
      <c r="H42" s="31" t="s">
        <v>728</v>
      </c>
      <c r="I42" s="5">
        <v>963807</v>
      </c>
      <c r="J42" s="5"/>
      <c r="K42" s="19">
        <f t="shared" si="0"/>
        <v>0</v>
      </c>
      <c r="L42" s="5">
        <v>963807</v>
      </c>
      <c r="M42" s="5" t="s">
        <v>411</v>
      </c>
      <c r="N42" s="24">
        <v>0.3</v>
      </c>
      <c r="O42" s="23">
        <f t="shared" si="1"/>
        <v>289142.1</v>
      </c>
      <c r="P42" s="27" t="s">
        <v>157</v>
      </c>
      <c r="Q42" s="25" t="s">
        <v>157</v>
      </c>
      <c r="R42" s="24">
        <v>0.7</v>
      </c>
      <c r="S42" s="23">
        <f t="shared" si="4"/>
        <v>202399.47</v>
      </c>
      <c r="T42" s="33" t="s">
        <v>19</v>
      </c>
      <c r="U42" s="24">
        <v>0.3</v>
      </c>
      <c r="V42" s="23">
        <f>O42*0.3</f>
        <v>86742.63</v>
      </c>
    </row>
    <row r="43" ht="38" customHeight="1" spans="1:22">
      <c r="A43" s="15">
        <v>40</v>
      </c>
      <c r="B43" s="15" t="s">
        <v>729</v>
      </c>
      <c r="C43" s="15"/>
      <c r="D43" s="32" t="s">
        <v>727</v>
      </c>
      <c r="E43" s="15" t="s">
        <v>724</v>
      </c>
      <c r="F43" s="19"/>
      <c r="G43" s="20"/>
      <c r="H43" s="31" t="s">
        <v>730</v>
      </c>
      <c r="I43" s="5">
        <v>775647</v>
      </c>
      <c r="J43" s="5"/>
      <c r="K43" s="19">
        <f t="shared" si="0"/>
        <v>0</v>
      </c>
      <c r="L43" s="5">
        <v>775647</v>
      </c>
      <c r="M43" s="5" t="s">
        <v>411</v>
      </c>
      <c r="N43" s="24">
        <v>0.3</v>
      </c>
      <c r="O43" s="23">
        <f t="shared" si="1"/>
        <v>232694.1</v>
      </c>
      <c r="P43" s="27" t="s">
        <v>157</v>
      </c>
      <c r="Q43" s="25" t="s">
        <v>157</v>
      </c>
      <c r="R43" s="24">
        <v>0.7</v>
      </c>
      <c r="S43" s="23">
        <f t="shared" si="4"/>
        <v>162885.87</v>
      </c>
      <c r="T43" s="33" t="s">
        <v>19</v>
      </c>
      <c r="U43" s="24">
        <v>0.3</v>
      </c>
      <c r="V43" s="23">
        <f>O43*0.3</f>
        <v>69808.23</v>
      </c>
    </row>
    <row r="44" ht="38" customHeight="1" spans="1:22">
      <c r="A44" s="5">
        <v>41</v>
      </c>
      <c r="B44" s="49" t="s">
        <v>610</v>
      </c>
      <c r="C44" s="15"/>
      <c r="D44" s="49" t="s">
        <v>612</v>
      </c>
      <c r="E44" s="50" t="s">
        <v>613</v>
      </c>
      <c r="F44" s="19"/>
      <c r="G44" s="20"/>
      <c r="H44" s="31" t="s">
        <v>614</v>
      </c>
      <c r="I44" s="5">
        <v>3147760.41</v>
      </c>
      <c r="J44" s="5"/>
      <c r="K44" s="19">
        <f t="shared" si="0"/>
        <v>0</v>
      </c>
      <c r="L44" s="5">
        <v>3147760.41</v>
      </c>
      <c r="M44" s="5" t="s">
        <v>165</v>
      </c>
      <c r="N44" s="24">
        <v>0.3</v>
      </c>
      <c r="O44" s="23">
        <f t="shared" si="1"/>
        <v>944328.123</v>
      </c>
      <c r="P44" s="54" t="s">
        <v>157</v>
      </c>
      <c r="Q44" s="25" t="s">
        <v>157</v>
      </c>
      <c r="R44" s="24">
        <v>0.7</v>
      </c>
      <c r="S44" s="23">
        <f t="shared" si="4"/>
        <v>661029.6861</v>
      </c>
      <c r="T44" s="33" t="s">
        <v>19</v>
      </c>
      <c r="U44" s="24">
        <v>0.3</v>
      </c>
      <c r="V44" s="23">
        <f>O44*0.3</f>
        <v>283298.4369</v>
      </c>
    </row>
    <row r="45" ht="38" customHeight="1" spans="1:22">
      <c r="A45" s="5">
        <v>42</v>
      </c>
      <c r="B45" s="49" t="s">
        <v>731</v>
      </c>
      <c r="C45" s="15"/>
      <c r="D45" s="49" t="s">
        <v>732</v>
      </c>
      <c r="E45" s="50" t="s">
        <v>733</v>
      </c>
      <c r="F45" s="19"/>
      <c r="G45" s="20"/>
      <c r="H45" s="31" t="s">
        <v>734</v>
      </c>
      <c r="I45" s="5">
        <v>6129601</v>
      </c>
      <c r="J45" s="5"/>
      <c r="K45" s="19">
        <f t="shared" si="0"/>
        <v>362500</v>
      </c>
      <c r="L45" s="5">
        <v>5767101</v>
      </c>
      <c r="M45" s="5" t="s">
        <v>411</v>
      </c>
      <c r="N45" s="24">
        <v>0.4</v>
      </c>
      <c r="O45" s="23">
        <f t="shared" si="1"/>
        <v>2306840.4</v>
      </c>
      <c r="P45" s="54" t="s">
        <v>157</v>
      </c>
      <c r="Q45" s="25" t="s">
        <v>157</v>
      </c>
      <c r="R45" s="24">
        <v>0.7</v>
      </c>
      <c r="S45" s="23">
        <f t="shared" si="4"/>
        <v>1614788.28</v>
      </c>
      <c r="T45" s="33" t="s">
        <v>19</v>
      </c>
      <c r="U45" s="24">
        <v>0.3</v>
      </c>
      <c r="V45" s="23">
        <f>O45*0.3</f>
        <v>692052.12</v>
      </c>
    </row>
    <row r="46" ht="38" customHeight="1" spans="1:22">
      <c r="A46" s="15">
        <v>43</v>
      </c>
      <c r="B46" s="49" t="s">
        <v>325</v>
      </c>
      <c r="C46" s="15"/>
      <c r="D46" s="49" t="s">
        <v>735</v>
      </c>
      <c r="E46" s="50" t="s">
        <v>736</v>
      </c>
      <c r="F46" s="19"/>
      <c r="G46" s="20"/>
      <c r="H46" s="31" t="s">
        <v>737</v>
      </c>
      <c r="I46" s="5">
        <v>2927530</v>
      </c>
      <c r="J46" s="5"/>
      <c r="K46" s="19">
        <f t="shared" si="0"/>
        <v>0</v>
      </c>
      <c r="L46" s="5">
        <v>2927530</v>
      </c>
      <c r="M46" s="5" t="s">
        <v>411</v>
      </c>
      <c r="N46" s="24">
        <v>0.4</v>
      </c>
      <c r="O46" s="23">
        <f t="shared" si="1"/>
        <v>1171012</v>
      </c>
      <c r="P46" s="54" t="s">
        <v>35</v>
      </c>
      <c r="Q46" s="25" t="s">
        <v>35</v>
      </c>
      <c r="R46" s="24">
        <v>1</v>
      </c>
      <c r="S46" s="23">
        <f t="shared" si="4"/>
        <v>1171012</v>
      </c>
      <c r="T46" s="33"/>
      <c r="U46" s="24"/>
      <c r="V46" s="23"/>
    </row>
    <row r="47" ht="38" customHeight="1" spans="1:22">
      <c r="A47" s="5">
        <v>44</v>
      </c>
      <c r="B47" s="49" t="s">
        <v>738</v>
      </c>
      <c r="C47" s="15"/>
      <c r="D47" s="49" t="s">
        <v>673</v>
      </c>
      <c r="E47" s="50" t="s">
        <v>739</v>
      </c>
      <c r="F47" s="19"/>
      <c r="G47" s="20"/>
      <c r="H47" s="31" t="s">
        <v>740</v>
      </c>
      <c r="I47" s="5">
        <v>256400</v>
      </c>
      <c r="J47" s="5"/>
      <c r="K47" s="19">
        <f t="shared" si="0"/>
        <v>256400</v>
      </c>
      <c r="L47" s="5">
        <v>0</v>
      </c>
      <c r="M47" s="5" t="s">
        <v>411</v>
      </c>
      <c r="N47" s="24">
        <v>0.4</v>
      </c>
      <c r="O47" s="23">
        <f t="shared" si="1"/>
        <v>0</v>
      </c>
      <c r="P47" s="54" t="s">
        <v>35</v>
      </c>
      <c r="Q47" s="25" t="s">
        <v>35</v>
      </c>
      <c r="R47" s="24">
        <v>1</v>
      </c>
      <c r="S47" s="23">
        <f t="shared" si="4"/>
        <v>0</v>
      </c>
      <c r="T47" s="33"/>
      <c r="U47" s="24"/>
      <c r="V47" s="23"/>
    </row>
    <row r="48" ht="38" customHeight="1" spans="1:22">
      <c r="A48" s="5">
        <v>45</v>
      </c>
      <c r="B48" s="15" t="s">
        <v>430</v>
      </c>
      <c r="C48" s="15"/>
      <c r="D48" s="15" t="s">
        <v>741</v>
      </c>
      <c r="E48" s="15" t="s">
        <v>742</v>
      </c>
      <c r="F48" s="19"/>
      <c r="G48" s="20"/>
      <c r="H48" s="15" t="s">
        <v>743</v>
      </c>
      <c r="I48" s="5">
        <v>7668000</v>
      </c>
      <c r="J48" s="5"/>
      <c r="K48" s="19">
        <f t="shared" si="0"/>
        <v>0</v>
      </c>
      <c r="L48" s="5">
        <v>7668000</v>
      </c>
      <c r="M48" s="5" t="s">
        <v>411</v>
      </c>
      <c r="N48" s="24">
        <v>0.4</v>
      </c>
      <c r="O48" s="23">
        <f t="shared" si="1"/>
        <v>3067200</v>
      </c>
      <c r="P48" s="23" t="s">
        <v>38</v>
      </c>
      <c r="Q48" s="23" t="s">
        <v>38</v>
      </c>
      <c r="R48" s="24">
        <v>0.7</v>
      </c>
      <c r="S48" s="23">
        <f t="shared" si="4"/>
        <v>2147040</v>
      </c>
      <c r="T48" s="33" t="s">
        <v>292</v>
      </c>
      <c r="U48" s="24">
        <v>0.3</v>
      </c>
      <c r="V48" s="23">
        <f>O48*0.3</f>
        <v>920160</v>
      </c>
    </row>
    <row r="49" ht="38" customHeight="1" spans="1:22">
      <c r="A49" s="15">
        <v>46</v>
      </c>
      <c r="B49" s="15" t="s">
        <v>744</v>
      </c>
      <c r="C49" s="15"/>
      <c r="D49" s="15" t="s">
        <v>745</v>
      </c>
      <c r="E49" s="15" t="s">
        <v>746</v>
      </c>
      <c r="F49" s="19"/>
      <c r="G49" s="20"/>
      <c r="H49" s="15" t="s">
        <v>747</v>
      </c>
      <c r="I49" s="5">
        <v>1791600</v>
      </c>
      <c r="J49" s="5"/>
      <c r="K49" s="19">
        <f t="shared" si="0"/>
        <v>0</v>
      </c>
      <c r="L49" s="5">
        <v>1791600</v>
      </c>
      <c r="M49" s="5" t="s">
        <v>411</v>
      </c>
      <c r="N49" s="22">
        <v>0.3</v>
      </c>
      <c r="O49" s="23">
        <f t="shared" si="1"/>
        <v>537480</v>
      </c>
      <c r="P49" s="23" t="s">
        <v>38</v>
      </c>
      <c r="Q49" s="23" t="s">
        <v>38</v>
      </c>
      <c r="R49" s="24">
        <v>1</v>
      </c>
      <c r="S49" s="23">
        <f t="shared" si="4"/>
        <v>537480</v>
      </c>
      <c r="T49" s="33"/>
      <c r="U49" s="24"/>
      <c r="V49" s="23"/>
    </row>
    <row r="50" ht="38" customHeight="1" spans="1:22">
      <c r="A50" s="5">
        <v>47</v>
      </c>
      <c r="B50" s="15" t="s">
        <v>748</v>
      </c>
      <c r="C50" s="15"/>
      <c r="D50" s="15" t="s">
        <v>749</v>
      </c>
      <c r="E50" s="15" t="s">
        <v>750</v>
      </c>
      <c r="F50" s="19"/>
      <c r="G50" s="20"/>
      <c r="H50" s="15" t="s">
        <v>751</v>
      </c>
      <c r="I50" s="5">
        <v>3200000</v>
      </c>
      <c r="J50" s="5"/>
      <c r="K50" s="19">
        <f t="shared" si="0"/>
        <v>0</v>
      </c>
      <c r="L50" s="5">
        <v>3200000</v>
      </c>
      <c r="M50" s="5" t="s">
        <v>411</v>
      </c>
      <c r="N50" s="22">
        <v>0.5</v>
      </c>
      <c r="O50" s="23">
        <f t="shared" si="1"/>
        <v>1600000</v>
      </c>
      <c r="P50" s="23" t="s">
        <v>30</v>
      </c>
      <c r="Q50" s="23" t="s">
        <v>30</v>
      </c>
      <c r="R50" s="24">
        <v>1</v>
      </c>
      <c r="S50" s="23">
        <f t="shared" si="4"/>
        <v>1600000</v>
      </c>
      <c r="T50" s="33"/>
      <c r="U50" s="24"/>
      <c r="V50" s="23"/>
    </row>
  </sheetData>
  <protectedRanges>
    <protectedRange sqref="B44 B44" name="区域1"/>
    <protectedRange sqref="D44 D44" name="区域1_1"/>
    <protectedRange sqref="B45:B46 B45 B45" name="区域1_2"/>
    <protectedRange sqref="D45:D46 D45 D45" name="区域1_3"/>
    <protectedRange sqref="E45:E46 E45 E45" name="区域1_4"/>
    <protectedRange sqref="H45:H46 H45 H45" name="区域1_5"/>
  </protectedRanges>
  <mergeCells count="18">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2"/>
    <mergeCell ref="Q1:S2"/>
    <mergeCell ref="T1:V2"/>
  </mergeCells>
  <conditionalFormatting sqref="E16">
    <cfRule type="expression" dxfId="1" priority="31">
      <formula>E16&lt;&gt;""</formula>
    </cfRule>
  </conditionalFormatting>
  <conditionalFormatting sqref="P36:Q36">
    <cfRule type="expression" dxfId="1" priority="25">
      <formula>P36&lt;&gt;""</formula>
    </cfRule>
    <cfRule type="expression" dxfId="2" priority="24">
      <formula>AND(P36="",$Y36&lt;&gt;"")</formula>
    </cfRule>
  </conditionalFormatting>
  <conditionalFormatting sqref="N37">
    <cfRule type="expression" dxfId="1" priority="23">
      <formula>N37&lt;&gt;""</formula>
    </cfRule>
  </conditionalFormatting>
  <conditionalFormatting sqref="P37:Q37">
    <cfRule type="expression" dxfId="1" priority="22">
      <formula>P37&lt;&gt;""</formula>
    </cfRule>
    <cfRule type="expression" dxfId="2" priority="21">
      <formula>AND(P37="",$Y37&lt;&gt;"")</formula>
    </cfRule>
  </conditionalFormatting>
  <conditionalFormatting sqref="P40:Q40">
    <cfRule type="expression" dxfId="1" priority="17">
      <formula>P40&lt;&gt;""</formula>
    </cfRule>
    <cfRule type="expression" dxfId="2" priority="16">
      <formula>AND(P40="",$Y40&lt;&gt;"")</formula>
    </cfRule>
  </conditionalFormatting>
  <conditionalFormatting sqref="N44">
    <cfRule type="expression" dxfId="1" priority="15">
      <formula>N44&lt;&gt;""</formula>
    </cfRule>
  </conditionalFormatting>
  <conditionalFormatting sqref="P44">
    <cfRule type="expression" dxfId="1" priority="14">
      <formula>P44&lt;&gt;""</formula>
    </cfRule>
    <cfRule type="expression" dxfId="2" priority="13">
      <formula>AND(P44="",$W44&lt;&gt;"")</formula>
    </cfRule>
  </conditionalFormatting>
  <conditionalFormatting sqref="N45">
    <cfRule type="expression" dxfId="1" priority="12">
      <formula>N45&lt;&gt;""</formula>
    </cfRule>
  </conditionalFormatting>
  <conditionalFormatting sqref="P45">
    <cfRule type="expression" dxfId="1" priority="10">
      <formula>P45&lt;&gt;""</formula>
    </cfRule>
    <cfRule type="expression" dxfId="2" priority="8">
      <formula>AND(P45="",$W45&lt;&gt;"")</formula>
    </cfRule>
  </conditionalFormatting>
  <conditionalFormatting sqref="N46">
    <cfRule type="expression" dxfId="1" priority="11">
      <formula>N46&lt;&gt;""</formula>
    </cfRule>
  </conditionalFormatting>
  <conditionalFormatting sqref="P46">
    <cfRule type="expression" dxfId="1" priority="9">
      <formula>P46&lt;&gt;""</formula>
    </cfRule>
    <cfRule type="expression" dxfId="2" priority="7">
      <formula>AND(P46="",$W46&lt;&gt;"")</formula>
    </cfRule>
  </conditionalFormatting>
  <conditionalFormatting sqref="N47">
    <cfRule type="expression" dxfId="1" priority="6">
      <formula>N47&lt;&gt;""</formula>
    </cfRule>
  </conditionalFormatting>
  <conditionalFormatting sqref="P47">
    <cfRule type="expression" dxfId="1" priority="5">
      <formula>P47&lt;&gt;""</formula>
    </cfRule>
    <cfRule type="expression" dxfId="2" priority="4">
      <formula>AND(P47="",$W47&lt;&gt;"")</formula>
    </cfRule>
  </conditionalFormatting>
  <conditionalFormatting sqref="N48">
    <cfRule type="expression" dxfId="1" priority="3">
      <formula>N48&lt;&gt;""</formula>
    </cfRule>
  </conditionalFormatting>
  <conditionalFormatting sqref="N49">
    <cfRule type="expression" dxfId="1" priority="2">
      <formula>N49&lt;&gt;""</formula>
    </cfRule>
  </conditionalFormatting>
  <conditionalFormatting sqref="N50">
    <cfRule type="expression" dxfId="1" priority="1">
      <formula>N50&lt;&gt;""</formula>
    </cfRule>
  </conditionalFormatting>
  <conditionalFormatting sqref="B28:B30">
    <cfRule type="expression" dxfId="1" priority="34">
      <formula>B28&lt;&gt;""</formula>
    </cfRule>
  </conditionalFormatting>
  <conditionalFormatting sqref="B35:B36">
    <cfRule type="expression" dxfId="1" priority="27">
      <formula>B35&lt;&gt;""</formula>
    </cfRule>
  </conditionalFormatting>
  <conditionalFormatting sqref="C28:C30">
    <cfRule type="expression" dxfId="1" priority="33">
      <formula>C28&lt;&gt;""</formula>
    </cfRule>
  </conditionalFormatting>
  <conditionalFormatting sqref="D28:D30">
    <cfRule type="expression" dxfId="1" priority="32">
      <formula>D28&lt;&gt;""</formula>
    </cfRule>
  </conditionalFormatting>
  <conditionalFormatting sqref="E28:E30">
    <cfRule type="expression" dxfId="1" priority="30">
      <formula>E28&lt;&gt;""</formula>
    </cfRule>
  </conditionalFormatting>
  <conditionalFormatting sqref="H28:H30">
    <cfRule type="expression" dxfId="1" priority="29">
      <formula>H28&lt;&gt;""</formula>
    </cfRule>
  </conditionalFormatting>
  <conditionalFormatting sqref="N35:N36">
    <cfRule type="expression" dxfId="1" priority="26">
      <formula>N35&lt;&gt;""</formula>
    </cfRule>
  </conditionalFormatting>
  <conditionalFormatting sqref="N38:N43">
    <cfRule type="expression" dxfId="1" priority="20">
      <formula>N38&lt;&gt;""</formula>
    </cfRule>
  </conditionalFormatting>
  <conditionalFormatting sqref="C35:H36">
    <cfRule type="expression" dxfId="1" priority="28">
      <formula>C35&lt;&gt;""</formula>
    </cfRule>
  </conditionalFormatting>
  <conditionalFormatting sqref="P38:Q39 P41:P43">
    <cfRule type="expression" dxfId="1" priority="19">
      <formula>P38&lt;&gt;""</formula>
    </cfRule>
    <cfRule type="expression" dxfId="2" priority="18">
      <formula>AND(P38="",$W38&lt;&gt;"")</formula>
    </cfRule>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1" master="" otherUserPermission="visible"/>
  <rangeList sheetStid="4" master="" otherUserPermission="visible">
    <arrUserId title="区域1" rangeCreator="" othersAccessPermission="edit"/>
    <arrUserId title="区域1_2" rangeCreator="" othersAccessPermission="edit"/>
  </rangeList>
  <rangeList sheetStid="3" master="" otherUserPermission="visible"/>
  <rangeList sheetStid="12" master="" otherUserPermission="visible"/>
  <rangeList sheetStid="9" master="" otherUserPermission="visible"/>
  <rangeList sheetStid="5" master="" otherUserPermission="visible">
    <arrUserId title="区域1" rangeCreator="" othersAccessPermission="edit"/>
    <arrUserId title="区域1_1" rangeCreator="" othersAccessPermission="edit"/>
    <arrUserId title="区域1_2" rangeCreator="" othersAccessPermission="edit"/>
    <arrUserId title="区域1_3" rangeCreator="" othersAccessPermission="edit"/>
    <arrUserId title="区域1_4" rangeCreator="" othersAccessPermission="edit"/>
    <arrUserId title="区域1_5"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汇总表</vt:lpstr>
      <vt:lpstr>华东区域指挥部主办逾期</vt:lpstr>
      <vt:lpstr>华东区域指挥部主办逾期 (含2021年已回完的项目)</vt:lpstr>
      <vt:lpstr>华东区域指挥协办逾期</vt:lpstr>
      <vt:lpstr>按客户划分</vt:lpstr>
      <vt:lpstr>期末各单位逾期</vt:lpstr>
      <vt:lpstr>华东区域指挥协办逾期 (含2021年已回完的项目)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刘柯2[E3]</dc:creator>
  <cp:lastModifiedBy>刘柯</cp:lastModifiedBy>
  <dcterms:created xsi:type="dcterms:W3CDTF">2022-02-14T08:02:00Z</dcterms:created>
  <dcterms:modified xsi:type="dcterms:W3CDTF">2026-04-08T01:37:45Z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311F6CD6ED1B49DF9A2F45198DF53DEB_13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